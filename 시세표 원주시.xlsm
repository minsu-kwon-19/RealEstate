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="115" zoomScaleNormal="115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N65" sqref="N65"/>
    </sheetView>
  </sheetViews>
  <sheetFormatPr baseColWidth="8" defaultColWidth="9" defaultRowHeight="14.1" customHeight="1"/>
  <cols>
    <col width="33.7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33000</v>
      </c>
      <c r="J4" s="134" t="inlineStr">
        <is>
          <t>5</t>
        </is>
      </c>
      <c r="K4" s="134" t="n">
        <v>27000</v>
      </c>
      <c r="L4" s="134" t="inlineStr">
        <is>
          <t>15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27500</v>
      </c>
      <c r="J5" s="134" t="inlineStr">
        <is>
          <t>5</t>
        </is>
      </c>
      <c r="K5" s="134" t="n">
        <v>23000</v>
      </c>
      <c r="L5" s="134" t="inlineStr">
        <is>
          <t>5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28500</v>
      </c>
      <c r="J7" s="134" t="inlineStr">
        <is>
          <t>6</t>
        </is>
      </c>
      <c r="K7" s="134" t="n">
        <v>23000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24500</v>
      </c>
      <c r="J8" s="134" t="inlineStr">
        <is>
          <t>8</t>
        </is>
      </c>
      <c r="K8" s="134" t="n">
        <v>20000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22000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45000</v>
      </c>
      <c r="J10" s="134" t="inlineStr">
        <is>
          <t>고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51000</v>
      </c>
      <c r="J11" s="134" t="inlineStr">
        <is>
          <t>6</t>
        </is>
      </c>
      <c r="K11" s="134" t="n">
        <v>26000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38500</v>
      </c>
      <c r="J12" s="134" t="inlineStr">
        <is>
          <t>중</t>
        </is>
      </c>
      <c r="K12" s="134" t="n">
        <v>23000</v>
      </c>
      <c r="L12" s="134" t="inlineStr">
        <is>
          <t>19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37500</v>
      </c>
      <c r="J14" s="134" t="inlineStr">
        <is>
          <t>15</t>
        </is>
      </c>
      <c r="K14" s="134" t="n">
        <v>25000</v>
      </c>
      <c r="L14" s="134" t="inlineStr">
        <is>
          <t>18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38500</v>
      </c>
      <c r="J15" s="134" t="inlineStr">
        <is>
          <t>고</t>
        </is>
      </c>
      <c r="K15" s="134" t="n">
        <v>23000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43000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37000</v>
      </c>
      <c r="J17" s="134" t="inlineStr">
        <is>
          <t>중</t>
        </is>
      </c>
      <c r="K17" s="134" t="n">
        <v>22000</v>
      </c>
      <c r="L17" s="134" t="inlineStr">
        <is>
          <t>27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37500</v>
      </c>
      <c r="J18" s="134" t="inlineStr">
        <is>
          <t>19</t>
        </is>
      </c>
      <c r="K18" s="134" t="n">
        <v>23000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37000</v>
      </c>
      <c r="J19" s="134" t="inlineStr">
        <is>
          <t>7</t>
        </is>
      </c>
      <c r="K19" s="134" t="n">
        <v>25000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41000</v>
      </c>
      <c r="J20" s="134" t="inlineStr">
        <is>
          <t>중</t>
        </is>
      </c>
      <c r="K20" s="134" t="n">
        <v>26000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28000</v>
      </c>
      <c r="J21" s="134" t="inlineStr">
        <is>
          <t>19</t>
        </is>
      </c>
      <c r="K21" s="134" t="n">
        <v>18000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35200</v>
      </c>
      <c r="J22" s="134" t="inlineStr">
        <is>
          <t>7</t>
        </is>
      </c>
      <c r="K22" s="134" t="n">
        <v>22000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35000</v>
      </c>
      <c r="J23" s="134" t="inlineStr">
        <is>
          <t>15</t>
        </is>
      </c>
      <c r="K23" s="134" t="n">
        <v>22000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32000</v>
      </c>
      <c r="J24" s="134" t="inlineStr">
        <is>
          <t>고</t>
        </is>
      </c>
      <c r="K24" s="134" t="n">
        <v>22000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>
        <v>20000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28000</v>
      </c>
      <c r="J26" s="134" t="inlineStr">
        <is>
          <t>5</t>
        </is>
      </c>
      <c r="K26" s="134" t="n">
        <v>20000</v>
      </c>
      <c r="L26" s="134" t="inlineStr">
        <is>
          <t>12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7</t>
        </is>
      </c>
      <c r="K27" s="134" t="n">
        <v>20000</v>
      </c>
      <c r="L27" s="134" t="inlineStr">
        <is>
          <t>19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29000</v>
      </c>
      <c r="J28" s="134" t="inlineStr">
        <is>
          <t>중</t>
        </is>
      </c>
      <c r="K28" s="134" t="n">
        <v>18000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27500</v>
      </c>
      <c r="J29" s="134" t="inlineStr">
        <is>
          <t>11</t>
        </is>
      </c>
      <c r="K29" s="134" t="n">
        <v>18000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26000</v>
      </c>
      <c r="J32" s="134" t="inlineStr">
        <is>
          <t>15</t>
        </is>
      </c>
      <c r="K32" s="134" t="n">
        <v>20000</v>
      </c>
      <c r="L32" s="134" t="inlineStr">
        <is>
          <t>16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25500</v>
      </c>
      <c r="J33" s="134" t="inlineStr">
        <is>
          <t>13</t>
        </is>
      </c>
      <c r="K33" s="134" t="n">
        <v>18000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>
        <v>25000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45500</v>
      </c>
      <c r="J35" s="134" t="inlineStr">
        <is>
          <t>15</t>
        </is>
      </c>
      <c r="K35" s="134" t="n">
        <v>30000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49000</v>
      </c>
      <c r="J36" s="134" t="inlineStr">
        <is>
          <t>중</t>
        </is>
      </c>
      <c r="K36" s="134" t="n">
        <v>35000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39800</v>
      </c>
      <c r="J37" s="134" t="inlineStr">
        <is>
          <t>고</t>
        </is>
      </c>
      <c r="K37" s="134" t="n">
        <v>30000</v>
      </c>
      <c r="L37" s="134" t="inlineStr">
        <is>
          <t>14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28000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38500</v>
      </c>
      <c r="J39" s="134" t="inlineStr">
        <is>
          <t>고</t>
        </is>
      </c>
      <c r="K39" s="134" t="n">
        <v>26000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37000</v>
      </c>
      <c r="J40" s="134" t="inlineStr">
        <is>
          <t>고</t>
        </is>
      </c>
      <c r="K40" s="134" t="n">
        <v>28000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30000</v>
      </c>
      <c r="J43" s="134" t="inlineStr">
        <is>
          <t>중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55000</v>
      </c>
      <c r="J45" s="134" t="inlineStr">
        <is>
          <t>중</t>
        </is>
      </c>
      <c r="K45" s="134" t="n">
        <v>30000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47000</v>
      </c>
      <c r="J46" s="134" t="inlineStr">
        <is>
          <t>15</t>
        </is>
      </c>
      <c r="K46" s="134" t="n">
        <v>32000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>
        <v>33000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34000</v>
      </c>
      <c r="L48" s="134" t="inlineStr">
        <is>
          <t>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41000</v>
      </c>
      <c r="J49" s="134" t="inlineStr">
        <is>
          <t>12</t>
        </is>
      </c>
      <c r="K49" s="134" t="n">
        <v>28000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>
        <v>43000</v>
      </c>
      <c r="J50" s="134" t="inlineStr">
        <is>
          <t>27</t>
        </is>
      </c>
      <c r="K50" s="134" t="n">
        <v>25000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30000</v>
      </c>
      <c r="J51" s="134" t="inlineStr">
        <is>
          <t>14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52200</v>
      </c>
      <c r="J52" s="134" t="inlineStr">
        <is>
          <t>중</t>
        </is>
      </c>
      <c r="K52" s="134" t="n">
        <v>26000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39000</v>
      </c>
      <c r="J53" s="134" t="inlineStr">
        <is>
          <t>중</t>
        </is>
      </c>
      <c r="K53" s="134" t="n">
        <v>35000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35000</v>
      </c>
      <c r="J54" s="134" t="inlineStr">
        <is>
          <t>6</t>
        </is>
      </c>
      <c r="K54" s="134" t="n">
        <v>28000</v>
      </c>
      <c r="L54" s="134" t="inlineStr">
        <is>
          <t>14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37000</v>
      </c>
      <c r="J55" s="134" t="inlineStr">
        <is>
          <t>5</t>
        </is>
      </c>
      <c r="K55" s="134" t="n">
        <v>29000</v>
      </c>
      <c r="L55" s="134" t="inlineStr">
        <is>
          <t>15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>
        <v>40000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40500</v>
      </c>
      <c r="J57" s="134" t="inlineStr">
        <is>
          <t>5</t>
        </is>
      </c>
      <c r="K57" s="134" t="n">
        <v>31000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39500</v>
      </c>
      <c r="J58" s="134" t="inlineStr">
        <is>
          <t>12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36000</v>
      </c>
      <c r="J59" s="134" t="inlineStr">
        <is>
          <t>고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34900</v>
      </c>
      <c r="J60" s="134" t="inlineStr">
        <is>
          <t>8</t>
        </is>
      </c>
      <c r="K60" s="134" t="n">
        <v>27000</v>
      </c>
      <c r="L60" s="134" t="inlineStr">
        <is>
          <t>11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32500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>
        <v>26000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10</t>
        </is>
      </c>
      <c r="K63" s="134" t="n">
        <v>24000</v>
      </c>
      <c r="L63" s="134" t="inlineStr">
        <is>
          <t>26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6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616" operator="lessThan" dxfId="2">
      <formula>15.1</formula>
    </cfRule>
    <cfRule type="cellIs" priority="78617" operator="lessThan" dxfId="2562">
      <formula>18.1</formula>
    </cfRule>
    <cfRule type="cellIs" priority="78618" operator="lessThan" dxfId="2561">
      <formula>21.1</formula>
    </cfRule>
    <cfRule type="cellIs" priority="78619" operator="lessThan" dxfId="2560">
      <formula>24.1</formula>
    </cfRule>
    <cfRule type="cellIs" priority="78620" operator="lessThan" dxfId="1">
      <formula>30</formula>
    </cfRule>
    <cfRule type="cellIs" priority="78621" operator="lessThan" dxfId="2558">
      <formula>34.1</formula>
    </cfRule>
  </conditionalFormatting>
  <conditionalFormatting sqref="Z3">
    <cfRule type="colorScale" priority="786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613" operator="greaterThan" dxfId="17">
      <formula>0.9</formula>
    </cfRule>
    <cfRule type="cellIs" priority="78614" operator="greaterThan" dxfId="16">
      <formula>0.85</formula>
    </cfRule>
  </conditionalFormatting>
  <conditionalFormatting sqref="N2">
    <cfRule type="cellIs" priority="78611" operator="greaterThan" dxfId="17">
      <formula>0.9</formula>
    </cfRule>
    <cfRule type="cellIs" priority="78612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55000</v>
      </c>
      <c r="J4" s="134" t="inlineStr">
        <is>
          <t>중</t>
        </is>
      </c>
      <c r="K4" s="134" t="n">
        <v>30000</v>
      </c>
      <c r="L4" s="134" t="inlineStr">
        <is>
          <t>11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명륜동 원주더샵센트럴파크2단지</t>
        </is>
      </c>
      <c r="B5" s="76" t="inlineStr">
        <is>
          <t>22.01.</t>
        </is>
      </c>
      <c r="C5" s="130" t="n">
        <v>838</v>
      </c>
      <c r="D5" s="131" t="n">
        <v>109</v>
      </c>
      <c r="E5" s="132" t="n">
        <v>33</v>
      </c>
      <c r="F5" s="131" t="n">
        <v>85</v>
      </c>
      <c r="G5" s="17" t="n">
        <v>26</v>
      </c>
      <c r="H5" s="133" t="n">
        <v>483</v>
      </c>
      <c r="I5" s="134" t="n">
        <v>52200</v>
      </c>
      <c r="J5" s="134" t="inlineStr">
        <is>
          <t>중</t>
        </is>
      </c>
      <c r="K5" s="134" t="n">
        <v>26000</v>
      </c>
      <c r="L5" s="134" t="inlineStr">
        <is>
          <t>고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복</t>
        </is>
      </c>
      <c r="T5" s="5" t="n">
        <v>51</v>
      </c>
      <c r="U5" s="9" t="n"/>
    </row>
    <row r="6" ht="12" customFormat="1" customHeight="1" s="37">
      <c r="A6" s="75" t="inlineStr">
        <is>
          <t>지정면 원주롯데캐슬골드파크1차</t>
        </is>
      </c>
      <c r="B6" s="76" t="inlineStr">
        <is>
          <t>19.12.</t>
        </is>
      </c>
      <c r="C6" s="130" t="n">
        <v>624</v>
      </c>
      <c r="D6" s="131" t="n">
        <v>110.3</v>
      </c>
      <c r="E6" s="132" t="n">
        <v>33</v>
      </c>
      <c r="F6" s="131" t="n">
        <v>85</v>
      </c>
      <c r="G6" s="17" t="n">
        <v>26</v>
      </c>
      <c r="H6" s="133" t="n">
        <v>266</v>
      </c>
      <c r="I6" s="134" t="n">
        <v>51000</v>
      </c>
      <c r="J6" s="134" t="inlineStr">
        <is>
          <t>6</t>
        </is>
      </c>
      <c r="K6" s="134" t="n">
        <v>26000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127A</t>
        </is>
      </c>
      <c r="U6" s="9" t="n"/>
    </row>
    <row r="7" ht="12" customFormat="1" customHeight="1" s="37">
      <c r="A7" s="75" t="inlineStr">
        <is>
          <t>반곡동 힐데스하임5단지</t>
        </is>
      </c>
      <c r="B7" s="76" t="inlineStr">
        <is>
          <t>15.05.</t>
        </is>
      </c>
      <c r="C7" s="130" t="n">
        <v>682</v>
      </c>
      <c r="D7" s="131" t="n">
        <v>114.8</v>
      </c>
      <c r="E7" s="132" t="n">
        <v>35</v>
      </c>
      <c r="F7" s="131" t="n">
        <v>85</v>
      </c>
      <c r="G7" s="17" t="n">
        <v>26</v>
      </c>
      <c r="H7" s="133" t="n">
        <v>216</v>
      </c>
      <c r="I7" s="134" t="n">
        <v>49000</v>
      </c>
      <c r="J7" s="134" t="inlineStr">
        <is>
          <t>중</t>
        </is>
      </c>
      <c r="K7" s="134" t="n">
        <v>35000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95</v>
      </c>
      <c r="U7" s="9" t="n"/>
    </row>
    <row r="8" ht="12" customFormat="1" customHeight="1" s="37">
      <c r="A8" s="75" t="inlineStr">
        <is>
          <t>무실동 원주무실세영리첼1차</t>
        </is>
      </c>
      <c r="B8" s="76" t="inlineStr">
        <is>
          <t>14.06.</t>
        </is>
      </c>
      <c r="C8" s="130" t="n">
        <v>482</v>
      </c>
      <c r="D8" s="131" t="n">
        <v>108.4</v>
      </c>
      <c r="E8" s="132" t="n">
        <v>33</v>
      </c>
      <c r="F8" s="131" t="n">
        <v>84.90000000000001</v>
      </c>
      <c r="G8" s="17" t="n">
        <v>26</v>
      </c>
      <c r="H8" s="133" t="n">
        <v>72</v>
      </c>
      <c r="I8" s="134" t="n">
        <v>48000</v>
      </c>
      <c r="J8" s="134" t="inlineStr">
        <is>
          <t>중</t>
        </is>
      </c>
      <c r="K8" s="134" t="n">
        <v>33000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inlineStr">
        <is>
          <t>194A</t>
        </is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47000</v>
      </c>
      <c r="J9" s="134" t="inlineStr">
        <is>
          <t>15</t>
        </is>
      </c>
      <c r="K9" s="134" t="n">
        <v>32000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원주무실세영리첼2차</t>
        </is>
      </c>
      <c r="B10" s="76" t="inlineStr">
        <is>
          <t>15.04.</t>
        </is>
      </c>
      <c r="C10" s="130" t="n">
        <v>526</v>
      </c>
      <c r="D10" s="131" t="n">
        <v>110.4</v>
      </c>
      <c r="E10" s="132" t="n">
        <v>33</v>
      </c>
      <c r="F10" s="131" t="n">
        <v>85</v>
      </c>
      <c r="G10" s="17" t="n">
        <v>26</v>
      </c>
      <c r="H10" s="133" t="n">
        <v>129</v>
      </c>
      <c r="I10" s="134" t="n">
        <v>47000</v>
      </c>
      <c r="J10" s="134" t="inlineStr">
        <is>
          <t>7</t>
        </is>
      </c>
      <c r="K10" s="134" t="n">
        <v>34000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116</v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45500</v>
      </c>
      <c r="J11" s="134" t="inlineStr">
        <is>
          <t>15</t>
        </is>
      </c>
      <c r="K11" s="134" t="n">
        <v>30000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지정면 원주롯데캐슬골드파크2차</t>
        </is>
      </c>
      <c r="B12" s="76" t="inlineStr">
        <is>
          <t>19.12.</t>
        </is>
      </c>
      <c r="C12" s="130" t="n">
        <v>536</v>
      </c>
      <c r="D12" s="131" t="n">
        <v>111</v>
      </c>
      <c r="E12" s="132" t="n">
        <v>34</v>
      </c>
      <c r="F12" s="131" t="n">
        <v>85</v>
      </c>
      <c r="G12" s="17" t="n">
        <v>26</v>
      </c>
      <c r="H12" s="133" t="n">
        <v>243</v>
      </c>
      <c r="I12" s="134" t="n">
        <v>45000</v>
      </c>
      <c r="J12" s="134" t="inlineStr">
        <is>
          <t>고</t>
        </is>
      </c>
      <c r="K12" s="134" t="n">
        <v>25000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113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무실동 더샵원주센트럴파크1단지</t>
        </is>
      </c>
      <c r="B14" s="76" t="inlineStr">
        <is>
          <t>21.11.</t>
        </is>
      </c>
      <c r="C14" s="130" t="n">
        <v>936</v>
      </c>
      <c r="D14" s="131" t="n">
        <v>80</v>
      </c>
      <c r="E14" s="132" t="n">
        <v>24</v>
      </c>
      <c r="F14" s="131" t="n">
        <v>60</v>
      </c>
      <c r="G14" s="17" t="n">
        <v>18</v>
      </c>
      <c r="H14" s="133" t="n">
        <v>312</v>
      </c>
      <c r="I14" s="134" t="n">
        <v>43000</v>
      </c>
      <c r="J14" s="134" t="inlineStr">
        <is>
          <t>27</t>
        </is>
      </c>
      <c r="K14" s="134" t="n">
        <v>25000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85B</t>
        </is>
      </c>
      <c r="U14" s="9" t="n"/>
    </row>
    <row r="15" ht="24" customFormat="1" customHeight="1" s="37">
      <c r="A15" s="75" t="inlineStr">
        <is>
          <t>지정면 원주기업도시라온프라이빗</t>
        </is>
      </c>
      <c r="B15" s="76" t="inlineStr">
        <is>
          <t>18.12.</t>
        </is>
      </c>
      <c r="C15" s="130" t="n">
        <v>713</v>
      </c>
      <c r="D15" s="131" t="n">
        <v>113.4</v>
      </c>
      <c r="E15" s="132" t="n">
        <v>34</v>
      </c>
      <c r="F15" s="131" t="n">
        <v>84.7</v>
      </c>
      <c r="G15" s="17" t="n">
        <v>26</v>
      </c>
      <c r="H15" s="133" t="n">
        <v>178</v>
      </c>
      <c r="I15" s="134" t="n">
        <v>41000</v>
      </c>
      <c r="J15" s="134" t="inlineStr">
        <is>
          <t>중</t>
        </is>
      </c>
      <c r="K15" s="134" t="n">
        <v>26000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137</v>
      </c>
      <c r="U15" s="9" t="n"/>
    </row>
    <row r="16" ht="24" customFormat="1" customHeight="1" s="37">
      <c r="A16" s="75" t="inlineStr">
        <is>
          <t>무실동 무실우미린</t>
        </is>
      </c>
      <c r="B16" s="76" t="inlineStr">
        <is>
          <t>14.09.</t>
        </is>
      </c>
      <c r="C16" s="130" t="n">
        <v>653</v>
      </c>
      <c r="D16" s="131" t="n">
        <v>98.2</v>
      </c>
      <c r="E16" s="132" t="n">
        <v>30</v>
      </c>
      <c r="F16" s="131" t="n">
        <v>75.3</v>
      </c>
      <c r="G16" s="17" t="n">
        <v>23</v>
      </c>
      <c r="H16" s="133" t="n">
        <v>221</v>
      </c>
      <c r="I16" s="134" t="n">
        <v>41000</v>
      </c>
      <c r="J16" s="134" t="inlineStr">
        <is>
          <t>12</t>
        </is>
      </c>
      <c r="K16" s="134" t="n">
        <v>28000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inlineStr">
        <is>
          <t>79B</t>
        </is>
      </c>
      <c r="U16" s="9" t="n"/>
    </row>
    <row r="17" ht="12" customFormat="1" customHeight="1" s="37">
      <c r="A17" s="75" t="inlineStr">
        <is>
          <t>단계동 원주봉화산푸르지오</t>
        </is>
      </c>
      <c r="B17" s="76" t="inlineStr">
        <is>
          <t>17.11.</t>
        </is>
      </c>
      <c r="C17" s="130" t="n">
        <v>996</v>
      </c>
      <c r="D17" s="131" t="n">
        <v>109.8</v>
      </c>
      <c r="E17" s="132" t="n">
        <v>33</v>
      </c>
      <c r="F17" s="131" t="n">
        <v>84.90000000000001</v>
      </c>
      <c r="G17" s="17" t="n">
        <v>26</v>
      </c>
      <c r="H17" s="133" t="n">
        <v>169</v>
      </c>
      <c r="I17" s="134" t="n">
        <v>40500</v>
      </c>
      <c r="J17" s="134" t="inlineStr">
        <is>
          <t>5</t>
        </is>
      </c>
      <c r="K17" s="134" t="n">
        <v>31000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inlineStr">
        <is>
          <t>77B</t>
        </is>
      </c>
      <c r="U17" s="9" t="n"/>
    </row>
    <row r="18" ht="12" customFormat="1" customHeight="1" s="37">
      <c r="A18" s="75" t="inlineStr">
        <is>
          <t>단계동 원주봉화산벨라시티3차</t>
        </is>
      </c>
      <c r="B18" s="76" t="inlineStr">
        <is>
          <t>20.11.</t>
        </is>
      </c>
      <c r="C18" s="130" t="n">
        <v>499</v>
      </c>
      <c r="D18" s="131" t="n">
        <v>115.4</v>
      </c>
      <c r="E18" s="132" t="n">
        <v>35</v>
      </c>
      <c r="F18" s="131" t="n">
        <v>85</v>
      </c>
      <c r="G18" s="17" t="n">
        <v>26</v>
      </c>
      <c r="H18" s="133" t="n">
        <v>121</v>
      </c>
      <c r="I18" s="134" t="n">
        <v>40000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164C</t>
        </is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39800</v>
      </c>
      <c r="J19" s="134" t="inlineStr">
        <is>
          <t>고</t>
        </is>
      </c>
      <c r="K19" s="134" t="n">
        <v>30000</v>
      </c>
      <c r="L19" s="134" t="inlineStr">
        <is>
          <t>14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단계동 원주봉화산벨라시티2차</t>
        </is>
      </c>
      <c r="B20" s="76" t="inlineStr">
        <is>
          <t>18.12.</t>
        </is>
      </c>
      <c r="C20" s="130" t="n">
        <v>839</v>
      </c>
      <c r="D20" s="131" t="n">
        <v>115.8</v>
      </c>
      <c r="E20" s="132" t="n">
        <v>35</v>
      </c>
      <c r="F20" s="131" t="n">
        <v>85</v>
      </c>
      <c r="G20" s="17" t="n">
        <v>26</v>
      </c>
      <c r="H20" s="133" t="n">
        <v>322</v>
      </c>
      <c r="I20" s="134" t="n">
        <v>39500</v>
      </c>
      <c r="J20" s="134" t="inlineStr">
        <is>
          <t>12</t>
        </is>
      </c>
      <c r="K20" s="134" t="n">
        <v>30000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115</v>
      </c>
      <c r="U20" s="9" t="n"/>
    </row>
    <row r="21" ht="12" customFormat="1" customHeight="1" s="37">
      <c r="A21" s="75" t="inlineStr">
        <is>
          <t>단구동 원주단구내안애카운티에듀파크2단지</t>
        </is>
      </c>
      <c r="B21" s="76" t="inlineStr">
        <is>
          <t>20.06.</t>
        </is>
      </c>
      <c r="C21" s="130" t="n">
        <v>348</v>
      </c>
      <c r="D21" s="131" t="n">
        <v>108.3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39000</v>
      </c>
      <c r="J21" s="134" t="inlineStr">
        <is>
          <t>중</t>
        </is>
      </c>
      <c r="K21" s="134" t="n">
        <v>35000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61</v>
      </c>
      <c r="U21" s="9" t="n"/>
    </row>
    <row r="22" ht="24" customFormat="1" customHeight="1" s="37">
      <c r="A22" s="75" t="inlineStr">
        <is>
          <t>지정면 이지더원더그레이스</t>
        </is>
      </c>
      <c r="B22" s="76" t="inlineStr">
        <is>
          <t>20.06.</t>
        </is>
      </c>
      <c r="C22" s="130" t="n">
        <v>776</v>
      </c>
      <c r="D22" s="131" t="n">
        <v>114.7</v>
      </c>
      <c r="E22" s="132" t="n">
        <v>35</v>
      </c>
      <c r="F22" s="131" t="n">
        <v>85</v>
      </c>
      <c r="G22" s="17" t="n">
        <v>26</v>
      </c>
      <c r="H22" s="133" t="n">
        <v>428</v>
      </c>
      <c r="I22" s="134" t="n">
        <v>38500</v>
      </c>
      <c r="J22" s="134" t="inlineStr">
        <is>
          <t>중</t>
        </is>
      </c>
      <c r="K22" s="134" t="n">
        <v>23000</v>
      </c>
      <c r="L22" s="134" t="inlineStr">
        <is>
          <t>19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107B</t>
        </is>
      </c>
      <c r="U22" s="9" t="n"/>
    </row>
    <row r="23" ht="24" customFormat="1" customHeight="1" s="37">
      <c r="A23" s="75" t="inlineStr">
        <is>
          <t>지정면 원주기업도시호반베르디움8단지</t>
        </is>
      </c>
      <c r="B23" s="76" t="inlineStr">
        <is>
          <t>18.08.</t>
        </is>
      </c>
      <c r="C23" s="130" t="n">
        <v>882</v>
      </c>
      <c r="D23" s="131" t="n">
        <v>113.5</v>
      </c>
      <c r="E23" s="132" t="n">
        <v>34</v>
      </c>
      <c r="F23" s="131" t="n">
        <v>85</v>
      </c>
      <c r="G23" s="17" t="n">
        <v>26</v>
      </c>
      <c r="H23" s="133" t="n">
        <v>407</v>
      </c>
      <c r="I23" s="134" t="n">
        <v>38500</v>
      </c>
      <c r="J23" s="134" t="inlineStr">
        <is>
          <t>고</t>
        </is>
      </c>
      <c r="K23" s="134" t="n">
        <v>23000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1</v>
      </c>
      <c r="R23" s="121" t="n">
        <v>1</v>
      </c>
      <c r="S23" s="121" t="inlineStr">
        <is>
          <t>계</t>
        </is>
      </c>
      <c r="T23" s="5" t="inlineStr">
        <is>
          <t>34C</t>
        </is>
      </c>
      <c r="U23" s="9" t="n"/>
    </row>
    <row r="24" ht="12" customFormat="1" customHeight="1" s="37">
      <c r="A24" s="75" t="inlineStr">
        <is>
          <t>반곡동 e편한세상반곡</t>
        </is>
      </c>
      <c r="B24" s="76" t="inlineStr">
        <is>
          <t>18.11.</t>
        </is>
      </c>
      <c r="C24" s="130" t="n">
        <v>508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84</v>
      </c>
      <c r="I24" s="134" t="n">
        <v>38500</v>
      </c>
      <c r="J24" s="134" t="inlineStr">
        <is>
          <t>고</t>
        </is>
      </c>
      <c r="K24" s="134" t="n">
        <v>26000</v>
      </c>
      <c r="L24" s="134" t="inlineStr">
        <is>
          <t>10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inlineStr">
        <is>
          <t>33A</t>
        </is>
      </c>
      <c r="U24" s="9" t="n"/>
    </row>
    <row r="25" ht="12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111.9</v>
      </c>
      <c r="E25" s="132" t="n">
        <v>34</v>
      </c>
      <c r="F25" s="131" t="n">
        <v>85</v>
      </c>
      <c r="G25" s="17" t="n">
        <v>26</v>
      </c>
      <c r="H25" s="133" t="n">
        <v>263</v>
      </c>
      <c r="I25" s="134" t="n">
        <v>37500</v>
      </c>
      <c r="J25" s="134" t="inlineStr">
        <is>
          <t>15</t>
        </is>
      </c>
      <c r="K25" s="134" t="n">
        <v>25000</v>
      </c>
      <c r="L25" s="134" t="inlineStr">
        <is>
          <t>18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77</v>
      </c>
      <c r="U25" s="9" t="n"/>
    </row>
    <row r="26" ht="12" customFormat="1" customHeight="1" s="37">
      <c r="A26" s="75" t="inlineStr">
        <is>
          <t>지정면 원주기업도시호반베르디움(3-1블록)</t>
        </is>
      </c>
      <c r="B26" s="76" t="inlineStr">
        <is>
          <t>19.05.</t>
        </is>
      </c>
      <c r="C26" s="130" t="n">
        <v>892</v>
      </c>
      <c r="D26" s="131" t="n">
        <v>111</v>
      </c>
      <c r="E26" s="132" t="n">
        <v>34</v>
      </c>
      <c r="F26" s="131" t="n">
        <v>84.90000000000001</v>
      </c>
      <c r="G26" s="17" t="n">
        <v>26</v>
      </c>
      <c r="H26" s="133" t="n">
        <v>532</v>
      </c>
      <c r="I26" s="134" t="n">
        <v>37500</v>
      </c>
      <c r="J26" s="134" t="inlineStr">
        <is>
          <t>19</t>
        </is>
      </c>
      <c r="K26" s="134" t="n">
        <v>23000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146</v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0" t="n">
        <v>548</v>
      </c>
      <c r="D27" s="131" t="n">
        <v>109.7</v>
      </c>
      <c r="E27" s="132" t="n">
        <v>33</v>
      </c>
      <c r="F27" s="131" t="n">
        <v>85</v>
      </c>
      <c r="G27" s="17" t="n">
        <v>26</v>
      </c>
      <c r="H27" s="133" t="n">
        <v>180</v>
      </c>
      <c r="I27" s="134" t="n">
        <v>37000</v>
      </c>
      <c r="J27" s="134" t="inlineStr">
        <is>
          <t>중</t>
        </is>
      </c>
      <c r="K27" s="134" t="n">
        <v>22000</v>
      </c>
      <c r="L27" s="134" t="inlineStr">
        <is>
          <t>27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지정면 원주기업도시호반베르디움(3-2블록)</t>
        </is>
      </c>
      <c r="B28" s="76" t="inlineStr">
        <is>
          <t>19.05.</t>
        </is>
      </c>
      <c r="C28" s="130" t="n">
        <v>824</v>
      </c>
      <c r="D28" s="131" t="n">
        <v>110.9</v>
      </c>
      <c r="E28" s="132" t="n">
        <v>34</v>
      </c>
      <c r="F28" s="131" t="n">
        <v>84.90000000000001</v>
      </c>
      <c r="G28" s="17" t="n">
        <v>26</v>
      </c>
      <c r="H28" s="133" t="n">
        <v>494</v>
      </c>
      <c r="I28" s="134" t="n">
        <v>37000</v>
      </c>
      <c r="J28" s="134" t="inlineStr">
        <is>
          <t>7</t>
        </is>
      </c>
      <c r="K28" s="134" t="n">
        <v>25000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87B</t>
        </is>
      </c>
      <c r="U28" s="9" t="n"/>
    </row>
    <row r="29" ht="12" customFormat="1" customHeight="1" s="37">
      <c r="A29" s="75" t="inlineStr">
        <is>
          <t>반곡동 푸른숨LH3단지</t>
        </is>
      </c>
      <c r="B29" s="76" t="inlineStr">
        <is>
          <t>15.06.</t>
        </is>
      </c>
      <c r="C29" s="130" t="n">
        <v>728</v>
      </c>
      <c r="D29" s="131" t="n">
        <v>109.6</v>
      </c>
      <c r="E29" s="132" t="n">
        <v>33</v>
      </c>
      <c r="F29" s="131" t="n">
        <v>84.90000000000001</v>
      </c>
      <c r="G29" s="17" t="n">
        <v>26</v>
      </c>
      <c r="H29" s="133" t="n">
        <v>191</v>
      </c>
      <c r="I29" s="134" t="n">
        <v>37000</v>
      </c>
      <c r="J29" s="134" t="inlineStr">
        <is>
          <t>중</t>
        </is>
      </c>
      <c r="K29" s="134" t="n">
        <v>28000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108C</t>
        </is>
      </c>
      <c r="U29" s="9" t="n"/>
    </row>
    <row r="30" ht="12" customFormat="1" customHeight="1" s="37">
      <c r="A30" s="75" t="inlineStr">
        <is>
          <t>반곡동 LH센트럴파크</t>
        </is>
      </c>
      <c r="B30" s="76" t="inlineStr">
        <is>
          <t>19.02.</t>
        </is>
      </c>
      <c r="C30" s="130" t="n">
        <v>855</v>
      </c>
      <c r="D30" s="131" t="n">
        <v>110.9</v>
      </c>
      <c r="E30" s="132" t="n">
        <v>34</v>
      </c>
      <c r="F30" s="131" t="n">
        <v>85</v>
      </c>
      <c r="G30" s="17" t="n">
        <v>26</v>
      </c>
      <c r="H30" s="133" t="n">
        <v>601</v>
      </c>
      <c r="I30" s="134" t="n">
        <v>37000</v>
      </c>
      <c r="J30" s="134" t="inlineStr">
        <is>
          <t>고</t>
        </is>
      </c>
      <c r="K30" s="134" t="n">
        <v>28000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80</v>
      </c>
      <c r="U30" s="9" t="n"/>
    </row>
    <row r="31" ht="12" customFormat="1" customHeight="1" s="37">
      <c r="A31" s="75" t="inlineStr">
        <is>
          <t>반곡동 푸른숨휴브레스</t>
        </is>
      </c>
      <c r="B31" s="76" t="inlineStr">
        <is>
          <t>13.12.</t>
        </is>
      </c>
      <c r="C31" s="130" t="n">
        <v>1110</v>
      </c>
      <c r="D31" s="131" t="n">
        <v>109.1</v>
      </c>
      <c r="E31" s="132" t="n">
        <v>33</v>
      </c>
      <c r="F31" s="131" t="n">
        <v>84.90000000000001</v>
      </c>
      <c r="G31" s="17" t="n">
        <v>26</v>
      </c>
      <c r="H31" s="133" t="n">
        <v>770</v>
      </c>
      <c r="I31" s="134" t="n">
        <v>37000</v>
      </c>
      <c r="J31" s="134" t="inlineStr">
        <is>
          <t>12</t>
        </is>
      </c>
      <c r="K31" s="134" t="n">
        <v>27000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복</t>
        </is>
      </c>
      <c r="T31" s="5" t="n">
        <v>79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37000</v>
      </c>
      <c r="J32" s="134" t="inlineStr">
        <is>
          <t>5</t>
        </is>
      </c>
      <c r="K32" s="134" t="n">
        <v>29000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단계동 봉화산벨라시티</t>
        </is>
      </c>
      <c r="B33" s="76" t="inlineStr">
        <is>
          <t>16.10.</t>
        </is>
      </c>
      <c r="C33" s="130" t="n">
        <v>566</v>
      </c>
      <c r="D33" s="131" t="n">
        <v>110.9</v>
      </c>
      <c r="E33" s="132" t="n">
        <v>34</v>
      </c>
      <c r="F33" s="131" t="n">
        <v>85</v>
      </c>
      <c r="G33" s="17" t="n">
        <v>26</v>
      </c>
      <c r="H33" s="133" t="n">
        <v>92</v>
      </c>
      <c r="I33" s="134" t="n">
        <v>36000</v>
      </c>
      <c r="J33" s="134" t="inlineStr">
        <is>
          <t>고</t>
        </is>
      </c>
      <c r="K33" s="134" t="n">
        <v>28000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77</v>
      </c>
      <c r="U33" s="9" t="n"/>
    </row>
    <row r="34" ht="12" customFormat="1" customHeight="1" s="37">
      <c r="A34" s="75" t="inlineStr">
        <is>
          <t>지정면 원주롯데캐슬골드파크2차</t>
        </is>
      </c>
      <c r="B34" s="76" t="inlineStr">
        <is>
          <t>19.12.</t>
        </is>
      </c>
      <c r="C34" s="130" t="n">
        <v>536</v>
      </c>
      <c r="D34" s="131" t="n">
        <v>81.2</v>
      </c>
      <c r="E34" s="132" t="n">
        <v>25</v>
      </c>
      <c r="F34" s="131" t="n">
        <v>60</v>
      </c>
      <c r="G34" s="17" t="n">
        <v>18</v>
      </c>
      <c r="H34" s="133" t="n">
        <v>128</v>
      </c>
      <c r="I34" s="134" t="n">
        <v>35200</v>
      </c>
      <c r="J34" s="134" t="inlineStr">
        <is>
          <t>7</t>
        </is>
      </c>
      <c r="K34" s="134" t="n">
        <v>22000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104</v>
      </c>
      <c r="U34" s="9" t="n"/>
    </row>
    <row r="35" ht="12" customFormat="1" customHeight="1" s="37">
      <c r="A35" s="75" t="inlineStr">
        <is>
          <t>지정면 이지더원1차</t>
        </is>
      </c>
      <c r="B35" s="76" t="inlineStr">
        <is>
          <t>19.01.</t>
        </is>
      </c>
      <c r="C35" s="130" t="n">
        <v>1430</v>
      </c>
      <c r="D35" s="131" t="n">
        <v>110.8</v>
      </c>
      <c r="E35" s="132" t="n">
        <v>34</v>
      </c>
      <c r="F35" s="131" t="n">
        <v>85</v>
      </c>
      <c r="G35" s="17" t="n">
        <v>26</v>
      </c>
      <c r="H35" s="133" t="n">
        <v>880</v>
      </c>
      <c r="I35" s="134" t="n">
        <v>35000</v>
      </c>
      <c r="J35" s="134" t="inlineStr">
        <is>
          <t>15</t>
        </is>
      </c>
      <c r="K35" s="134" t="n">
        <v>22000</v>
      </c>
      <c r="L35" s="134" t="inlineStr">
        <is>
          <t>17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n">
        <v>73</v>
      </c>
      <c r="U35" s="9" t="n"/>
    </row>
    <row r="36" ht="12" customFormat="1" customHeight="1" s="37">
      <c r="A36" s="75" t="inlineStr">
        <is>
          <t>단구동 원주단구내안애카운티에듀파크1단지</t>
        </is>
      </c>
      <c r="B36" s="76" t="inlineStr">
        <is>
          <t>20.06.</t>
        </is>
      </c>
      <c r="C36" s="130" t="n">
        <v>571</v>
      </c>
      <c r="D36" s="131" t="n">
        <v>107.3</v>
      </c>
      <c r="E36" s="132" t="n">
        <v>32</v>
      </c>
      <c r="F36" s="131" t="n">
        <v>84.90000000000001</v>
      </c>
      <c r="G36" s="17" t="n">
        <v>26</v>
      </c>
      <c r="H36" s="133" t="n">
        <v>421</v>
      </c>
      <c r="I36" s="134" t="n">
        <v>35000</v>
      </c>
      <c r="J36" s="134" t="inlineStr">
        <is>
          <t>6</t>
        </is>
      </c>
      <c r="K36" s="134" t="n">
        <v>28000</v>
      </c>
      <c r="L36" s="134" t="inlineStr">
        <is>
          <t>14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158</v>
      </c>
      <c r="U36" s="9" t="n"/>
    </row>
    <row r="37" ht="12" customFormat="1" customHeight="1" s="37">
      <c r="A37" s="75" t="inlineStr">
        <is>
          <t>단계동 원주봉화산푸르지오</t>
        </is>
      </c>
      <c r="B37" s="76" t="inlineStr">
        <is>
          <t>17.11.</t>
        </is>
      </c>
      <c r="C37" s="130" t="n">
        <v>996</v>
      </c>
      <c r="D37" s="131" t="n">
        <v>98.59999999999999</v>
      </c>
      <c r="E37" s="132" t="n">
        <v>30</v>
      </c>
      <c r="F37" s="131" t="n">
        <v>72.90000000000001</v>
      </c>
      <c r="G37" s="17" t="n">
        <v>22</v>
      </c>
      <c r="H37" s="133" t="n">
        <v>323</v>
      </c>
      <c r="I37" s="134" t="n">
        <v>34900</v>
      </c>
      <c r="J37" s="134" t="inlineStr">
        <is>
          <t>8</t>
        </is>
      </c>
      <c r="K37" s="134" t="n">
        <v>27000</v>
      </c>
      <c r="L37" s="134" t="inlineStr">
        <is>
          <t>11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inlineStr">
        <is>
          <t>77A</t>
        </is>
      </c>
      <c r="U37" s="9" t="n"/>
    </row>
    <row r="38" ht="12" customFormat="1" customHeight="1" s="37">
      <c r="A38" s="75" t="inlineStr">
        <is>
          <t>판부면 남원주코아루미소지움</t>
        </is>
      </c>
      <c r="B38" s="76" t="inlineStr">
        <is>
          <t>18.03.</t>
        </is>
      </c>
      <c r="C38" s="130" t="n">
        <v>359</v>
      </c>
      <c r="D38" s="131" t="n">
        <v>110</v>
      </c>
      <c r="E38" s="132" t="n">
        <v>33</v>
      </c>
      <c r="F38" s="131" t="n">
        <v>80</v>
      </c>
      <c r="G38" s="17" t="n">
        <v>24</v>
      </c>
      <c r="H38" s="133" t="n">
        <v>157</v>
      </c>
      <c r="I38" s="134" t="n">
        <v>33000</v>
      </c>
      <c r="J38" s="134" t="inlineStr">
        <is>
          <t>5</t>
        </is>
      </c>
      <c r="K38" s="134" t="n">
        <v>27000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77B</t>
        </is>
      </c>
      <c r="U38" s="9" t="n"/>
    </row>
    <row r="39" ht="12" customFormat="1" customHeight="1" s="37">
      <c r="A39" s="75" t="inlineStr">
        <is>
          <t>단계동 원주봉화산벨라시티3차</t>
        </is>
      </c>
      <c r="B39" s="76" t="inlineStr">
        <is>
          <t>20.11.</t>
        </is>
      </c>
      <c r="C39" s="130" t="n">
        <v>499</v>
      </c>
      <c r="D39" s="131" t="n">
        <v>83.09999999999999</v>
      </c>
      <c r="E39" s="132" t="n">
        <v>25</v>
      </c>
      <c r="F39" s="131" t="n">
        <v>59.9</v>
      </c>
      <c r="G39" s="17" t="n">
        <v>18</v>
      </c>
      <c r="H39" s="133" t="n">
        <v>126</v>
      </c>
      <c r="I39" s="134" t="n">
        <v>32500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inlineStr">
        <is>
          <t>163B</t>
        </is>
      </c>
      <c r="U39" s="9" t="n"/>
    </row>
    <row r="40" ht="12" customFormat="1" customHeight="1" s="37">
      <c r="A40" s="75" t="inlineStr">
        <is>
          <t>태장동 이안원주태장</t>
        </is>
      </c>
      <c r="B40" s="76" t="inlineStr">
        <is>
          <t>19.08.</t>
        </is>
      </c>
      <c r="C40" s="130" t="n">
        <v>920</v>
      </c>
      <c r="D40" s="131" t="n">
        <v>116.9</v>
      </c>
      <c r="E40" s="132" t="n">
        <v>35</v>
      </c>
      <c r="F40" s="131" t="n">
        <v>84.90000000000001</v>
      </c>
      <c r="G40" s="17" t="n">
        <v>26</v>
      </c>
      <c r="H40" s="133" t="n">
        <v>62</v>
      </c>
      <c r="I40" s="134" t="n">
        <v>32000</v>
      </c>
      <c r="J40" s="134" t="inlineStr">
        <is>
          <t>고</t>
        </is>
      </c>
      <c r="K40" s="134" t="n">
        <v>27000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115C</t>
        </is>
      </c>
      <c r="U40" s="9" t="n"/>
    </row>
    <row r="41" ht="12" customFormat="1" customHeight="1" s="37">
      <c r="A41" s="75" t="inlineStr">
        <is>
          <t>지정면 원주롯데캐슬골드파크1차</t>
        </is>
      </c>
      <c r="B41" s="76" t="inlineStr">
        <is>
          <t>19.12.</t>
        </is>
      </c>
      <c r="C41" s="130" t="n">
        <v>624</v>
      </c>
      <c r="D41" s="131" t="n">
        <v>81.59999999999999</v>
      </c>
      <c r="E41" s="132" t="n">
        <v>25</v>
      </c>
      <c r="F41" s="131" t="n">
        <v>60</v>
      </c>
      <c r="G41" s="17" t="n">
        <v>18</v>
      </c>
      <c r="H41" s="133" t="n">
        <v>157</v>
      </c>
      <c r="I41" s="134" t="n">
        <v>32000</v>
      </c>
      <c r="J41" s="134" t="inlineStr">
        <is>
          <t>고</t>
        </is>
      </c>
      <c r="K41" s="134" t="n">
        <v>22000</v>
      </c>
      <c r="L41" s="134" t="inlineStr">
        <is>
          <t>고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111B</t>
        </is>
      </c>
      <c r="U41" s="9" t="n"/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</row>
    <row r="43" ht="12" customFormat="1" customHeight="1" s="37">
      <c r="A43" s="75" t="inlineStr">
        <is>
          <t>단계동 원주봉화산벨라시티2차</t>
        </is>
      </c>
      <c r="B43" s="76" t="inlineStr">
        <is>
          <t>18.12.</t>
        </is>
      </c>
      <c r="C43" s="130" t="n">
        <v>839</v>
      </c>
      <c r="D43" s="131" t="n">
        <v>83.8</v>
      </c>
      <c r="E43" s="132" t="n">
        <v>25</v>
      </c>
      <c r="F43" s="131" t="n">
        <v>60</v>
      </c>
      <c r="G43" s="17" t="n">
        <v>18</v>
      </c>
      <c r="H43" s="133" t="n">
        <v>74</v>
      </c>
      <c r="I43" s="134" t="n">
        <v>32000</v>
      </c>
      <c r="J43" s="134" t="inlineStr">
        <is>
          <t>중</t>
        </is>
      </c>
      <c r="K43" s="134" t="n">
        <v>26000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78</v>
      </c>
      <c r="U43" s="9" t="n"/>
    </row>
    <row r="44" ht="12" customFormat="1" customHeight="1" s="37">
      <c r="A44" s="75" t="inlineStr">
        <is>
          <t>우산동 한라비발디2차</t>
        </is>
      </c>
      <c r="B44" s="76" t="inlineStr">
        <is>
          <t>14.09.</t>
        </is>
      </c>
      <c r="C44" s="130" t="n">
        <v>717</v>
      </c>
      <c r="D44" s="131" t="n">
        <v>110.4</v>
      </c>
      <c r="E44" s="132" t="n">
        <v>33</v>
      </c>
      <c r="F44" s="131" t="n">
        <v>84.5</v>
      </c>
      <c r="G44" s="17" t="n">
        <v>26</v>
      </c>
      <c r="H44" s="133" t="n">
        <v>236</v>
      </c>
      <c r="I44" s="134" t="n">
        <v>30000</v>
      </c>
      <c r="J44" s="134" t="inlineStr">
        <is>
          <t>10</t>
        </is>
      </c>
      <c r="K44" s="134" t="n">
        <v>25000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126</v>
      </c>
      <c r="U44" s="9" t="n"/>
    </row>
    <row r="45" ht="12" customFormat="1" customHeight="1" s="37">
      <c r="A45" s="75" t="inlineStr">
        <is>
          <t>반곡동 e편한세상반곡</t>
        </is>
      </c>
      <c r="B45" s="76" t="inlineStr">
        <is>
          <t>18.11.</t>
        </is>
      </c>
      <c r="C45" s="130" t="n">
        <v>508</v>
      </c>
      <c r="D45" s="131" t="n">
        <v>84.5</v>
      </c>
      <c r="E45" s="132" t="n">
        <v>26</v>
      </c>
      <c r="F45" s="131" t="n">
        <v>59.8</v>
      </c>
      <c r="G45" s="17" t="n">
        <v>18</v>
      </c>
      <c r="H45" s="133" t="n">
        <v>164</v>
      </c>
      <c r="I45" s="134" t="n">
        <v>30000</v>
      </c>
      <c r="J45" s="134" t="inlineStr">
        <is>
          <t>중</t>
        </is>
      </c>
      <c r="K45" s="134" t="n">
        <v>23000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107A</t>
        </is>
      </c>
      <c r="U45" s="9" t="n"/>
    </row>
    <row r="46" ht="12" customFormat="1" customHeight="1" s="37">
      <c r="A46" s="75" t="inlineStr">
        <is>
          <t>무실동 사랑으로부영</t>
        </is>
      </c>
      <c r="B46" s="76" t="inlineStr">
        <is>
          <t>12.07.</t>
        </is>
      </c>
      <c r="C46" s="130" t="n">
        <v>639</v>
      </c>
      <c r="D46" s="131" t="n">
        <v>88.59999999999999</v>
      </c>
      <c r="E46" s="132" t="n">
        <v>27</v>
      </c>
      <c r="F46" s="131" t="n">
        <v>59.9</v>
      </c>
      <c r="G46" s="17" t="n">
        <v>18</v>
      </c>
      <c r="H46" s="133" t="n">
        <v>337</v>
      </c>
      <c r="I46" s="134" t="n">
        <v>30000</v>
      </c>
      <c r="J46" s="134" t="inlineStr">
        <is>
          <t>14</t>
        </is>
      </c>
      <c r="K46" s="134" t="n">
        <v>25000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107C</t>
        </is>
      </c>
      <c r="U46" s="9" t="n"/>
    </row>
    <row r="47" ht="12" customFormat="1" customHeight="1" s="37">
      <c r="A47" s="75" t="inlineStr">
        <is>
          <t>지정면 원주기업도시유보라아이비파크2단지</t>
        </is>
      </c>
      <c r="B47" s="76" t="inlineStr">
        <is>
          <t>20.01.</t>
        </is>
      </c>
      <c r="C47" s="130" t="n">
        <v>794</v>
      </c>
      <c r="D47" s="131" t="n">
        <v>80.5</v>
      </c>
      <c r="E47" s="132" t="n">
        <v>24</v>
      </c>
      <c r="F47" s="131" t="n">
        <v>60</v>
      </c>
      <c r="G47" s="17" t="n">
        <v>18</v>
      </c>
      <c r="H47" s="133" t="n">
        <v>34</v>
      </c>
      <c r="I47" s="134" t="n">
        <v>29000</v>
      </c>
      <c r="J47" s="134" t="inlineStr">
        <is>
          <t>16</t>
        </is>
      </c>
      <c r="K47" s="134" t="n">
        <v>20000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135</v>
      </c>
      <c r="U47" s="9" t="n"/>
    </row>
    <row r="48" ht="12" customFormat="1" customHeight="1" s="37">
      <c r="A48" s="75" t="inlineStr">
        <is>
          <t>지정면 원주기업도시호반베르디움8단지</t>
        </is>
      </c>
      <c r="B48" s="76" t="inlineStr">
        <is>
          <t>18.08.</t>
        </is>
      </c>
      <c r="C48" s="130" t="n">
        <v>882</v>
      </c>
      <c r="D48" s="131" t="n">
        <v>85.7</v>
      </c>
      <c r="E48" s="132" t="n">
        <v>26</v>
      </c>
      <c r="F48" s="131" t="n">
        <v>59.9</v>
      </c>
      <c r="G48" s="17" t="n">
        <v>18</v>
      </c>
      <c r="H48" s="133" t="n">
        <v>337</v>
      </c>
      <c r="I48" s="134" t="n">
        <v>29000</v>
      </c>
      <c r="J48" s="134" t="inlineStr">
        <is>
          <t>7</t>
        </is>
      </c>
      <c r="K48" s="134" t="n">
        <v>20000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1</v>
      </c>
      <c r="R48" s="121" t="n">
        <v>1</v>
      </c>
      <c r="S48" s="121" t="inlineStr">
        <is>
          <t>계</t>
        </is>
      </c>
      <c r="T48" s="5" t="inlineStr">
        <is>
          <t>34B</t>
        </is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0" t="n">
        <v>1116</v>
      </c>
      <c r="D49" s="131" t="n">
        <v>84.59999999999999</v>
      </c>
      <c r="E49" s="132" t="n">
        <v>26</v>
      </c>
      <c r="F49" s="131" t="n">
        <v>60</v>
      </c>
      <c r="G49" s="17" t="n">
        <v>18</v>
      </c>
      <c r="H49" s="133" t="n">
        <v>571</v>
      </c>
      <c r="I49" s="134" t="n">
        <v>29000</v>
      </c>
      <c r="J49" s="134" t="inlineStr">
        <is>
          <t>중</t>
        </is>
      </c>
      <c r="K49" s="134" t="n">
        <v>18000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1</v>
      </c>
      <c r="R49" s="121" t="n">
        <v>1</v>
      </c>
      <c r="S49" s="121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단계동 원주봉화산푸르지오</t>
        </is>
      </c>
      <c r="B50" s="76" t="inlineStr">
        <is>
          <t>17.11.</t>
        </is>
      </c>
      <c r="C50" s="130" t="n">
        <v>996</v>
      </c>
      <c r="D50" s="131" t="n">
        <v>85</v>
      </c>
      <c r="E50" s="132" t="n">
        <v>26</v>
      </c>
      <c r="F50" s="131" t="n">
        <v>60.8</v>
      </c>
      <c r="G50" s="17" t="n">
        <v>18</v>
      </c>
      <c r="H50" s="133" t="n">
        <v>337</v>
      </c>
      <c r="I50" s="134" t="n">
        <v>29000</v>
      </c>
      <c r="J50" s="134" t="inlineStr">
        <is>
          <t>10</t>
        </is>
      </c>
      <c r="K50" s="134" t="n">
        <v>24000</v>
      </c>
      <c r="L50" s="134" t="inlineStr">
        <is>
          <t>26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inlineStr">
        <is>
          <t>78A</t>
        </is>
      </c>
      <c r="U50" s="9" t="n"/>
    </row>
    <row r="51" ht="24" customFormat="1" customHeight="1" s="37">
      <c r="A51" s="75" t="inlineStr">
        <is>
          <t>태장동 e편한세상원주태장</t>
        </is>
      </c>
      <c r="B51" s="76" t="inlineStr">
        <is>
          <t>18.12.</t>
        </is>
      </c>
      <c r="C51" s="130" t="n">
        <v>703</v>
      </c>
      <c r="D51" s="131" t="n">
        <v>103.5</v>
      </c>
      <c r="E51" s="132" t="n">
        <v>31</v>
      </c>
      <c r="F51" s="131" t="n">
        <v>75</v>
      </c>
      <c r="G51" s="17" t="n">
        <v>23</v>
      </c>
      <c r="H51" s="133" t="n">
        <v>308</v>
      </c>
      <c r="I51" s="134" t="n">
        <v>28500</v>
      </c>
      <c r="J51" s="134" t="inlineStr">
        <is>
          <t>6</t>
        </is>
      </c>
      <c r="K51" s="134" t="n">
        <v>23000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106B</t>
        </is>
      </c>
      <c r="U51" s="9" t="n"/>
    </row>
    <row r="52" ht="12" customFormat="1" customHeight="1" s="37">
      <c r="A52" s="75" t="inlineStr">
        <is>
          <t>지정면 이지더원더그레이스</t>
        </is>
      </c>
      <c r="B52" s="76" t="inlineStr">
        <is>
          <t>20.06.</t>
        </is>
      </c>
      <c r="C52" s="130" t="n">
        <v>776</v>
      </c>
      <c r="D52" s="131" t="n">
        <v>82</v>
      </c>
      <c r="E52" s="132" t="n">
        <v>25</v>
      </c>
      <c r="F52" s="131" t="n">
        <v>60</v>
      </c>
      <c r="G52" s="17" t="n">
        <v>18</v>
      </c>
      <c r="H52" s="133" t="n">
        <v>172</v>
      </c>
      <c r="I52" s="134" t="n">
        <v>28000</v>
      </c>
      <c r="J52" s="134" t="inlineStr">
        <is>
          <t>19</t>
        </is>
      </c>
      <c r="K52" s="134" t="n">
        <v>18000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102</v>
      </c>
      <c r="U52" s="9" t="n"/>
    </row>
    <row r="53" ht="12" customFormat="1" customHeight="1" s="37">
      <c r="A53" s="75" t="inlineStr">
        <is>
          <t>지정면 원주기업도시호반베르디움(3-2블록)</t>
        </is>
      </c>
      <c r="B53" s="76" t="inlineStr">
        <is>
          <t>19.05.</t>
        </is>
      </c>
      <c r="C53" s="130" t="n">
        <v>824</v>
      </c>
      <c r="D53" s="131" t="n">
        <v>83.09999999999999</v>
      </c>
      <c r="E53" s="132" t="n">
        <v>25</v>
      </c>
      <c r="F53" s="131" t="n">
        <v>60</v>
      </c>
      <c r="G53" s="17" t="n">
        <v>18</v>
      </c>
      <c r="H53" s="133" t="n">
        <v>244</v>
      </c>
      <c r="I53" s="134" t="n">
        <v>28000</v>
      </c>
      <c r="J53" s="134" t="inlineStr">
        <is>
          <t>5</t>
        </is>
      </c>
      <c r="K53" s="134" t="n">
        <v>20000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87A</t>
        </is>
      </c>
      <c r="U53" s="9" t="n"/>
    </row>
    <row r="54" ht="12" customFormat="1" customHeight="1" s="37">
      <c r="A54" s="75" t="inlineStr">
        <is>
          <t>단계동 봉화산벨라시티</t>
        </is>
      </c>
      <c r="B54" s="76" t="inlineStr">
        <is>
          <t>16.10.</t>
        </is>
      </c>
      <c r="C54" s="130" t="n">
        <v>566</v>
      </c>
      <c r="D54" s="131" t="n">
        <v>87.90000000000001</v>
      </c>
      <c r="E54" s="132" t="n">
        <v>27</v>
      </c>
      <c r="F54" s="131" t="n">
        <v>59.9</v>
      </c>
      <c r="G54" s="17" t="n">
        <v>18</v>
      </c>
      <c r="H54" s="133" t="n">
        <v>164</v>
      </c>
      <c r="I54" s="134" t="n">
        <v>28000</v>
      </c>
      <c r="J54" s="134" t="inlineStr">
        <is>
          <t>6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115A</t>
        </is>
      </c>
      <c r="U54" s="9" t="n"/>
    </row>
    <row r="55" ht="12" customFormat="1" customHeight="1" s="37">
      <c r="A55" s="75" t="inlineStr">
        <is>
          <t>지정면 원주롯데캐슬더퍼스트</t>
        </is>
      </c>
      <c r="B55" s="76" t="inlineStr">
        <is>
          <t>18.06.</t>
        </is>
      </c>
      <c r="C55" s="130" t="n">
        <v>1243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532</v>
      </c>
      <c r="I55" s="134" t="n">
        <v>27500</v>
      </c>
      <c r="J55" s="134" t="inlineStr">
        <is>
          <t>11</t>
        </is>
      </c>
      <c r="K55" s="134" t="n">
        <v>18000</v>
      </c>
      <c r="L55" s="134" t="inlineStr">
        <is>
          <t>12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156</v>
      </c>
      <c r="U55" s="9" t="n"/>
    </row>
    <row r="56" ht="12" customFormat="1" customHeight="1" s="37">
      <c r="A56" s="75" t="inlineStr">
        <is>
          <t>지정면 원주기업도시유보라아이비파크1단지</t>
        </is>
      </c>
      <c r="B56" s="76" t="inlineStr">
        <is>
          <t>20.01.</t>
        </is>
      </c>
      <c r="C56" s="130" t="n">
        <v>548</v>
      </c>
      <c r="D56" s="131" t="n">
        <v>81.3</v>
      </c>
      <c r="E56" s="132" t="n">
        <v>25</v>
      </c>
      <c r="F56" s="131" t="n">
        <v>60</v>
      </c>
      <c r="G56" s="17" t="n">
        <v>18</v>
      </c>
      <c r="H56" s="133" t="n">
        <v>178</v>
      </c>
      <c r="I56" s="134" t="n">
        <v>27000</v>
      </c>
      <c r="J56" s="134" t="inlineStr">
        <is>
          <t>중</t>
        </is>
      </c>
      <c r="K56" s="134" t="n">
        <v>22000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107D</t>
        </is>
      </c>
      <c r="U56" s="9" t="n"/>
    </row>
    <row r="57" ht="12" customFormat="1" customHeight="1" s="37">
      <c r="A57" s="75" t="inlineStr">
        <is>
          <t>지정면 원주기업도시호반베르디움(3-1블록)</t>
        </is>
      </c>
      <c r="B57" s="76" t="inlineStr">
        <is>
          <t>19.05.</t>
        </is>
      </c>
      <c r="C57" s="130" t="n">
        <v>892</v>
      </c>
      <c r="D57" s="131" t="n">
        <v>83.09999999999999</v>
      </c>
      <c r="E57" s="132" t="n">
        <v>25</v>
      </c>
      <c r="F57" s="131" t="n">
        <v>60</v>
      </c>
      <c r="G57" s="17" t="n">
        <v>18</v>
      </c>
      <c r="H57" s="133" t="n">
        <v>270</v>
      </c>
      <c r="I57" s="134" t="n">
        <v>26500</v>
      </c>
      <c r="J57" s="134" t="inlineStr">
        <is>
          <t>7</t>
        </is>
      </c>
      <c r="K57" s="134" t="n">
        <v>20000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126</v>
      </c>
      <c r="U57" s="9" t="n"/>
    </row>
    <row r="58" ht="12" customFormat="1" customHeight="1" s="37">
      <c r="A58" s="75" t="inlineStr">
        <is>
          <t>지정면 원주기업도시라온프라이빗</t>
        </is>
      </c>
      <c r="B58" s="76" t="inlineStr">
        <is>
          <t>18.12.</t>
        </is>
      </c>
      <c r="C58" s="130" t="n">
        <v>713</v>
      </c>
      <c r="D58" s="131" t="n">
        <v>81.40000000000001</v>
      </c>
      <c r="E58" s="132" t="n">
        <v>25</v>
      </c>
      <c r="F58" s="131" t="n">
        <v>59.8</v>
      </c>
      <c r="G58" s="17" t="n">
        <v>18</v>
      </c>
      <c r="H58" s="133" t="n">
        <v>280</v>
      </c>
      <c r="I58" s="134" t="n">
        <v>26000</v>
      </c>
      <c r="J58" s="134" t="inlineStr">
        <is>
          <t>15</t>
        </is>
      </c>
      <c r="K58" s="134" t="n">
        <v>20000</v>
      </c>
      <c r="L58" s="134" t="inlineStr">
        <is>
          <t>16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105</v>
      </c>
      <c r="U58" s="9" t="n"/>
    </row>
    <row r="59" ht="12" customFormat="1" customHeight="1" s="37">
      <c r="A59" s="75" t="inlineStr">
        <is>
          <t>지정면 이지더원1차</t>
        </is>
      </c>
      <c r="B59" s="76" t="inlineStr">
        <is>
          <t>19.01.</t>
        </is>
      </c>
      <c r="C59" s="130" t="n">
        <v>1430</v>
      </c>
      <c r="D59" s="131" t="n">
        <v>79.59999999999999</v>
      </c>
      <c r="E59" s="132" t="n">
        <v>24</v>
      </c>
      <c r="F59" s="131" t="n">
        <v>59.9</v>
      </c>
      <c r="G59" s="17" t="n">
        <v>18</v>
      </c>
      <c r="H59" s="133" t="n">
        <v>470</v>
      </c>
      <c r="I59" s="134" t="n">
        <v>25500</v>
      </c>
      <c r="J59" s="134" t="inlineStr">
        <is>
          <t>13</t>
        </is>
      </c>
      <c r="K59" s="134" t="n">
        <v>18000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61</v>
      </c>
      <c r="U59" s="9" t="n"/>
    </row>
    <row r="60" ht="12" customFormat="1" customHeight="1" s="37">
      <c r="A60" s="75" t="inlineStr">
        <is>
          <t>태장동 이안원주태장</t>
        </is>
      </c>
      <c r="B60" s="76" t="inlineStr">
        <is>
          <t>19.08.</t>
        </is>
      </c>
      <c r="C60" s="130" t="n">
        <v>920</v>
      </c>
      <c r="D60" s="131" t="n">
        <v>82.40000000000001</v>
      </c>
      <c r="E60" s="132" t="n">
        <v>25</v>
      </c>
      <c r="F60" s="131" t="n">
        <v>60</v>
      </c>
      <c r="G60" s="17" t="n">
        <v>18</v>
      </c>
      <c r="H60" s="133" t="n">
        <v>372</v>
      </c>
      <c r="I60" s="134" t="n">
        <v>22000</v>
      </c>
      <c r="J60" s="134" t="inlineStr">
        <is>
          <t>고</t>
        </is>
      </c>
      <c r="K60" s="134" t="n">
        <v>20000</v>
      </c>
      <c r="L60" s="134" t="inlineStr">
        <is>
          <t>17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5</v>
      </c>
      <c r="R60" s="121" t="n">
        <v>3</v>
      </c>
      <c r="S60" s="121" t="inlineStr">
        <is>
          <t>계</t>
        </is>
      </c>
      <c r="T60" s="5" t="inlineStr">
        <is>
          <t>204A</t>
        </is>
      </c>
      <c r="U60" s="9" t="n"/>
    </row>
    <row r="61" ht="12" customFormat="1" customHeight="1" s="37">
      <c r="A61" s="75" t="inlineStr">
        <is>
          <t>문막읍 서원주코아루아너스</t>
        </is>
      </c>
      <c r="B61" s="76" t="inlineStr">
        <is>
          <t>18.04.</t>
        </is>
      </c>
      <c r="C61" s="130" t="n">
        <v>842</v>
      </c>
      <c r="D61" s="131" t="n">
        <v>117.4</v>
      </c>
      <c r="E61" s="132" t="n">
        <v>35</v>
      </c>
      <c r="F61" s="131" t="n">
        <v>84.59999999999999</v>
      </c>
      <c r="G61" s="17" t="n">
        <v>26</v>
      </c>
      <c r="H61" s="133" t="n">
        <v>376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103</v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598" operator="greaterThan" dxfId="17">
      <formula>0.9</formula>
    </cfRule>
    <cfRule type="cellIs" priority="40599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8622" dxfId="3">
      <formula>AND(IF(OR($Q4=1,$Q4=2),1,0),IF(#REF!&lt;=20,1,0))</formula>
    </cfRule>
    <cfRule type="expression" priority="78623" dxfId="2">
      <formula>AND(IF($Q4=2,1,0),IF(#REF!&lt;30,1,0))</formula>
    </cfRule>
    <cfRule type="expression" priority="78624" dxfId="1">
      <formula>AND(IF($Q4=3,1,0),IF(#REF!&lt;30,1,0))</formula>
    </cfRule>
    <cfRule type="expression" priority="7862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4"/>
    <col width="17.5" customWidth="1" style="120" min="55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더샵원주센트럴파크1단지(34평/5.5)</t>
        </is>
      </c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무실우미린(34평/4.7)_x000D_
원주무실세영리첼2차(33평/4.7)_x000D_
더샵원주센트럴파크1단지(24평/4.3)_x000D_
무실우미린(30평/4.1)</t>
        </is>
      </c>
      <c r="E12" s="56" t="inlineStr">
        <is>
          <t>원주롯데캐슬골드파크2차(34평/4.5)_x000D_
원주롯데캐슬더퍼스트2차(34평/4.3)_x000D_
원주기업도시라온프라이빗(34평/4.1)</t>
        </is>
      </c>
      <c r="F12" s="56" t="inlineStr">
        <is>
          <t>힐데스하임5단지(35평/4.9)_x000D_
중흥에스-클래스프라디움(34평/4.6)</t>
        </is>
      </c>
      <c r="G12" s="56" t="inlineStr">
        <is>
          <t>원주봉화산푸르지오(33평/4.1)_x000D_
원주봉화산벨라시티3차(35평/4.0)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사랑으로부영(27평/3.0)</t>
        </is>
      </c>
      <c r="E13" s="61" t="inlineStr">
        <is>
          <t>이지더원더그레이스(35평/3.9)_x000D_
원주기업도시호반베르디움8단지(34평/3.9)_x000D_
원주기업도시유보라아이비파크2단지(34평/3.8)_x000D_
원주기업도시호반베르디움(3-1블록)(34평/3.8)_x000D_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    </is>
      </c>
      <c r="F13" s="61" t="inlineStr">
        <is>
          <t>반곡모아엘가(33평/4.0)_x000D_
e편한세상반곡(34평/3.9)_x000D_
푸른숨LH3단지(33평/3.7)_x000D_
LH센트럴파크(34평/3.7)_x000D_
푸른숨휴브레스(33평/3.7)_x000D_
반곡퍼스트힐(33평/3.2)_x000D_
e편한세상반곡(26평/3.0)</t>
        </is>
      </c>
      <c r="G13" s="61" t="inlineStr">
        <is>
          <t>원주봉화산벨라시티2차(35평/4.0)_x000D_
봉화산벨라시티(34평/3.6)_x000D_
원주봉화산푸르지오(30평/3.5)_x000D_
원주봉화산벨라시티3차(25평/3.3)_x000D_
원주봉화산벨라시티2차(25평/3.2)</t>
        </is>
      </c>
      <c r="H13" s="61" t="inlineStr">
        <is>
          <t>원주단구내안애카운티에듀파크2단지(33평/3.9)_x000D_
단구한신더휴(35평/3.7)_x000D_
원주단구내안애카운티에듀파크1단지(32평/3.5)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원주롯데캐슬더퍼스트2차(26평/2.9)_x000D_
이지더원더그레이스(25평/2.8)_x000D_
원주기업도시호반베르디움(3-2블록)(25평/2.8)_x000D_
원주롯데캐슬더퍼스트(26평/2.8)_x000D_
원주기업도시유보라아이비파크1단지(25평/2.7)_x000D_
원주기업도시호반베르디움(3-1블록)(25평/2.7)_x000D_
원주기업도시라온프라이빗(25평/2.6)_x000D_
이지더원1차(24평/2.6)</t>
        </is>
      </c>
      <c r="F14" s="61" t="n"/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더샵원주센트럴파크1단지('21/5.5)</t>
        </is>
      </c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무실우미린('14/4.7)_x000D_
원주무실세영리첼2차('15/4.7)_x000D_
무실우미린('14/4.1)</t>
        </is>
      </c>
      <c r="E25" s="56" t="inlineStr">
        <is>
          <t>원주롯데캐슬골드파크2차('19/4.5)_x000D_
원주롯데캐슬더퍼스트2차('18/4.3)_x000D_
원주기업도시라온프라이빗('18/4.1)</t>
        </is>
      </c>
      <c r="F25" s="56" t="inlineStr">
        <is>
          <t>힐데스하임5단지('15/4.9)_x000D_
중흥에스-클래스프라디움('16/4.6)</t>
        </is>
      </c>
      <c r="G25" s="56" t="inlineStr">
        <is>
          <t>원주봉화산푸르지오('17/4.1)_x000D_
원주봉화산벨라시티3차('20/4.0)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이지더원더그레이스('20/3.9)_x000D_
원주기업도시호반베르디움8단지('18/3.9)_x000D_
원주기업도시유보라아이비파크2단지('20/3.8)_x000D_
원주기업도시호반베르디움(3-1블록)('19/3.8)_x000D_
원주기업도시유보라아이비파크1단지('20/3.7)_x000D_
원주기업도시호반베르디움(3-2블록)('19/3.7)_x000D_
이지더원1차('19/3.5)</t>
        </is>
      </c>
      <c r="F26" s="61" t="inlineStr">
        <is>
          <t>반곡모아엘가('17/4.0)_x000D_
e편한세상반곡('18/3.9)_x000D_
푸른숨LH3단지('15/3.7)_x000D_
LH센트럴파크('19/3.7)_x000D_
푸른숨휴브레스('13/3.7)_x000D_
반곡퍼스트힐('14/3.2)</t>
        </is>
      </c>
      <c r="G26" s="61" t="inlineStr">
        <is>
          <t>원주봉화산벨라시티2차('18/4.0)_x000D_
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원주단구내안애카운티에듀파크1단지('20/3.5)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더샵원주센트럴파크1단지('21/4.3)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원주롯데캐슬골드파크1차('19/3.2)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이지더원더그레이스('20/2.8)_x000D_
원주기업도시호반베르디움(3-2블록)('19/2.8)_x000D_
원주기업도시유보라아이비파크1단지('20/2.7)_x000D_
원주기업도시호반베르디움(3-1블록)('19/2.7)_x000D_
원주기업도시라온프라이빗('18/2.6)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35000</v>
      </c>
      <c r="J6" s="134" t="inlineStr">
        <is>
          <t>11</t>
        </is>
      </c>
      <c r="K6" s="134" t="n">
        <v>23000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28000</v>
      </c>
      <c r="J7" s="134" t="inlineStr">
        <is>
          <t>7</t>
        </is>
      </c>
      <c r="K7" s="134" t="n">
        <v>22000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31500</v>
      </c>
      <c r="J6" s="134" t="inlineStr">
        <is>
          <t>20</t>
        </is>
      </c>
      <c r="K6" s="134" t="n">
        <v>27000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28000</v>
      </c>
      <c r="J8" s="134" t="inlineStr">
        <is>
          <t>6</t>
        </is>
      </c>
      <c r="K8" s="134" t="n">
        <v>22000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23500</v>
      </c>
      <c r="J9" s="134" t="inlineStr">
        <is>
          <t>고</t>
        </is>
      </c>
      <c r="K9" s="134" t="n">
        <v>19000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23500</v>
      </c>
      <c r="J11" s="134" t="inlineStr">
        <is>
          <t>고</t>
        </is>
      </c>
      <c r="K11" s="134" t="n">
        <v>19000</v>
      </c>
      <c r="L11" s="134" t="inlineStr">
        <is>
          <t>19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44000</v>
      </c>
      <c r="J6" s="134" t="inlineStr">
        <is>
          <t>중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46000</v>
      </c>
      <c r="J8" s="134" t="inlineStr">
        <is>
          <t>14</t>
        </is>
      </c>
      <c r="K8" s="134" t="n">
        <v>29000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35000</v>
      </c>
      <c r="J10" s="134" t="inlineStr">
        <is>
          <t>고</t>
        </is>
      </c>
      <c r="K10" s="134" t="n">
        <v>22000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36500</v>
      </c>
      <c r="J12" s="134" t="inlineStr">
        <is>
          <t>6</t>
        </is>
      </c>
      <c r="K12" s="134" t="n">
        <v>25000</v>
      </c>
      <c r="L12" s="134" t="inlineStr">
        <is>
          <t>16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35000</v>
      </c>
      <c r="J14" s="134" t="inlineStr">
        <is>
          <t>8</t>
        </is>
      </c>
      <c r="K14" s="134" t="n">
        <v>22000</v>
      </c>
      <c r="L14" s="134" t="inlineStr">
        <is>
          <t>13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38000</v>
      </c>
      <c r="J16" s="134" t="inlineStr">
        <is>
          <t>24</t>
        </is>
      </c>
      <c r="K16" s="134" t="n">
        <v>23000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36000</v>
      </c>
      <c r="J20" s="134" t="inlineStr">
        <is>
          <t>중</t>
        </is>
      </c>
      <c r="K20" s="134" t="n">
        <v>21000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34000</v>
      </c>
      <c r="J22" s="134" t="inlineStr">
        <is>
          <t>22</t>
        </is>
      </c>
      <c r="K22" s="134" t="n">
        <v>23000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35000</v>
      </c>
      <c r="J24" s="134" t="inlineStr">
        <is>
          <t>5</t>
        </is>
      </c>
      <c r="K24" s="134" t="n">
        <v>22000</v>
      </c>
      <c r="L24" s="134" t="inlineStr">
        <is>
          <t>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39000</v>
      </c>
      <c r="J26" s="134" t="inlineStr">
        <is>
          <t>고</t>
        </is>
      </c>
      <c r="K26" s="134" t="n">
        <v>23000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24000</v>
      </c>
      <c r="J28" s="134" t="inlineStr">
        <is>
          <t>5</t>
        </is>
      </c>
      <c r="K28" s="134" t="n">
        <v>18000</v>
      </c>
      <c r="L28" s="134" t="inlineStr">
        <is>
          <t>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34000</v>
      </c>
      <c r="J30" s="134" t="inlineStr">
        <is>
          <t>중</t>
        </is>
      </c>
      <c r="K30" s="134" t="n">
        <v>21000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15</t>
        </is>
      </c>
      <c r="K32" s="134" t="n">
        <v>22000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31000</v>
      </c>
      <c r="J34" s="134" t="inlineStr">
        <is>
          <t>17</t>
        </is>
      </c>
      <c r="K34" s="134" t="n">
        <v>18000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26000</v>
      </c>
      <c r="J36" s="134" t="inlineStr">
        <is>
          <t>7</t>
        </is>
      </c>
      <c r="K36" s="134" t="n">
        <v>20000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27500</v>
      </c>
      <c r="J38" s="134" t="inlineStr">
        <is>
          <t>10</t>
        </is>
      </c>
      <c r="K38" s="134" t="n">
        <v>20000</v>
      </c>
      <c r="L38" s="134" t="inlineStr">
        <is>
          <t>7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26000</v>
      </c>
      <c r="J40" s="134" t="inlineStr">
        <is>
          <t>22</t>
        </is>
      </c>
      <c r="K40" s="134" t="n">
        <v>18000</v>
      </c>
      <c r="L40" s="134" t="inlineStr">
        <is>
          <t>19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26900</v>
      </c>
      <c r="J42" s="134" t="inlineStr">
        <is>
          <t>고</t>
        </is>
      </c>
      <c r="K42" s="134" t="n">
        <v>19000</v>
      </c>
      <c r="L42" s="134" t="inlineStr">
        <is>
          <t>19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25000</v>
      </c>
      <c r="J44" s="134" t="inlineStr">
        <is>
          <t>고</t>
        </is>
      </c>
      <c r="K44" s="134" t="n">
        <v>18000</v>
      </c>
      <c r="L44" s="134" t="inlineStr">
        <is>
          <t>24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26500</v>
      </c>
      <c r="J46" s="134" t="inlineStr">
        <is>
          <t>13</t>
        </is>
      </c>
      <c r="K46" s="134" t="n">
        <v>20000</v>
      </c>
      <c r="L46" s="134" t="inlineStr">
        <is>
          <t>12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26800</v>
      </c>
      <c r="J48" s="134" t="inlineStr">
        <is>
          <t>22</t>
        </is>
      </c>
      <c r="K48" s="134" t="n">
        <v>19000</v>
      </c>
      <c r="L48" s="134" t="inlineStr">
        <is>
          <t>고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25000</v>
      </c>
      <c r="J50" s="134" t="inlineStr">
        <is>
          <t>10</t>
        </is>
      </c>
      <c r="K50" s="134" t="n">
        <v>18000</v>
      </c>
      <c r="L50" s="134" t="inlineStr">
        <is>
          <t>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25500</v>
      </c>
      <c r="J52" s="134" t="inlineStr">
        <is>
          <t>13</t>
        </is>
      </c>
      <c r="K52" s="134" t="n">
        <v>18000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30000</v>
      </c>
      <c r="J6" s="134" t="inlineStr">
        <is>
          <t>10</t>
        </is>
      </c>
      <c r="K6" s="134" t="n">
        <v>25000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42500</v>
      </c>
      <c r="J6" s="134" t="inlineStr">
        <is>
          <t>6</t>
        </is>
      </c>
      <c r="K6" s="134" t="n">
        <v>28500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46000</v>
      </c>
      <c r="J8" s="134" t="inlineStr">
        <is>
          <t>중</t>
        </is>
      </c>
      <c r="K8" s="134" t="n">
        <v>34000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36000</v>
      </c>
      <c r="J10" s="134" t="inlineStr">
        <is>
          <t>중</t>
        </is>
      </c>
      <c r="K10" s="134" t="n">
        <v>27000</v>
      </c>
      <c r="L10" s="134" t="inlineStr">
        <is>
          <t>11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35000</v>
      </c>
      <c r="J12" s="134" t="inlineStr">
        <is>
          <t>중</t>
        </is>
      </c>
      <c r="K12" s="134" t="n">
        <v>27000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38200</v>
      </c>
      <c r="J14" s="134" t="inlineStr">
        <is>
          <t>고</t>
        </is>
      </c>
      <c r="K14" s="134" t="n">
        <v>26000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35500</v>
      </c>
      <c r="J16" s="134" t="inlineStr">
        <is>
          <t>15</t>
        </is>
      </c>
      <c r="K16" s="134" t="n">
        <v>28000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32000</v>
      </c>
      <c r="J18" s="134" t="inlineStr">
        <is>
          <t>7</t>
        </is>
      </c>
      <c r="K18" s="134" t="n">
        <v>23000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30000</v>
      </c>
      <c r="J20" s="134" t="inlineStr">
        <is>
          <t>14</t>
        </is>
      </c>
      <c r="K20" s="134" t="n">
        <v>23000</v>
      </c>
      <c r="L20" s="134" t="inlineStr">
        <is>
          <t>14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28500</v>
      </c>
      <c r="J22" s="134" t="inlineStr">
        <is>
          <t>6</t>
        </is>
      </c>
      <c r="K22" s="134" t="n">
        <v>22000</v>
      </c>
      <c r="L22" s="134" t="inlineStr">
        <is>
          <t>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55000</v>
      </c>
      <c r="J6" s="134" t="inlineStr">
        <is>
          <t>중</t>
        </is>
      </c>
      <c r="K6" s="134" t="n">
        <v>30000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46000</v>
      </c>
      <c r="J8" s="134" t="inlineStr">
        <is>
          <t>중</t>
        </is>
      </c>
      <c r="K8" s="134" t="n">
        <v>30000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46000</v>
      </c>
      <c r="J10" s="134" t="inlineStr">
        <is>
          <t>6</t>
        </is>
      </c>
      <c r="K10" s="134" t="n">
        <v>33000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45000</v>
      </c>
      <c r="J12" s="134" t="inlineStr">
        <is>
          <t>7</t>
        </is>
      </c>
      <c r="K12" s="134" t="n">
        <v>34000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40000</v>
      </c>
      <c r="J14" s="134" t="inlineStr">
        <is>
          <t>11</t>
        </is>
      </c>
      <c r="K14" s="134" t="n">
        <v>27000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>
        <v>43000</v>
      </c>
      <c r="J16" s="134" t="inlineStr">
        <is>
          <t>27</t>
        </is>
      </c>
      <c r="K16" s="134" t="n">
        <v>25000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32000</v>
      </c>
      <c r="J18" s="134" t="inlineStr">
        <is>
          <t>6</t>
        </is>
      </c>
      <c r="K18" s="134" t="n">
        <v>25000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52200</v>
      </c>
      <c r="J6" s="134" t="inlineStr">
        <is>
          <t>중</t>
        </is>
      </c>
      <c r="K6" s="134" t="n">
        <v>26000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35000</v>
      </c>
      <c r="J6" s="134" t="inlineStr">
        <is>
          <t>5</t>
        </is>
      </c>
      <c r="K6" s="134" t="n">
        <v>27000</v>
      </c>
      <c r="L6" s="134" t="inlineStr">
        <is>
          <t>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31000</v>
      </c>
      <c r="J8" s="134" t="inlineStr">
        <is>
          <t>9</t>
        </is>
      </c>
      <c r="K8" s="134" t="n">
        <v>25000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37000</v>
      </c>
      <c r="J10" s="134" t="inlineStr">
        <is>
          <t>17</t>
        </is>
      </c>
      <c r="K10" s="134" t="n">
        <v>29000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>
        <v>38500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40000</v>
      </c>
      <c r="J8" s="134" t="inlineStr">
        <is>
          <t>5</t>
        </is>
      </c>
      <c r="K8" s="134" t="n">
        <v>30000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38500</v>
      </c>
      <c r="J10" s="134" t="inlineStr">
        <is>
          <t>10</t>
        </is>
      </c>
      <c r="K10" s="134" t="n">
        <v>30000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36000</v>
      </c>
      <c r="J12" s="134" t="inlineStr">
        <is>
          <t>고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34000</v>
      </c>
      <c r="J14" s="134" t="inlineStr">
        <is>
          <t>9</t>
        </is>
      </c>
      <c r="K14" s="134" t="n">
        <v>26000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30000</v>
      </c>
      <c r="J16" s="134" t="inlineStr">
        <is>
          <t>25</t>
        </is>
      </c>
      <c r="K16" s="134" t="n">
        <v>22000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31000</v>
      </c>
      <c r="J18" s="134" t="inlineStr">
        <is>
          <t>중</t>
        </is>
      </c>
      <c r="K18" s="134" t="n">
        <v>22000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30000</v>
      </c>
      <c r="J20" s="134" t="inlineStr">
        <is>
          <t>14</t>
        </is>
      </c>
      <c r="K20" s="134" t="n">
        <v>22000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27000</v>
      </c>
      <c r="J22" s="134" t="inlineStr">
        <is>
          <t>17</t>
        </is>
      </c>
      <c r="K22" s="134" t="n">
        <v>24000</v>
      </c>
      <c r="L22" s="134" t="inlineStr">
        <is>
          <t>15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2022-07-06T15:09:03Z</dcterms:modified>
  <cp:lastModifiedBy>MinsuKwon</cp:lastModifiedBy>
  <cp:lastPrinted>2018-04-28T10:52:41Z</cp:lastPrinted>
</cp:coreProperties>
</file>