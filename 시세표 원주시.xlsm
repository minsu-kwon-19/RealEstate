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판부면" sheetId="6" r:id="rId6"/>
    <sheet name="태장동" sheetId="7" r:id="rId7"/>
    <sheet name="지정면" sheetId="8" r:id="rId8"/>
    <sheet name="우산동" sheetId="9" r:id="rId9"/>
    <sheet name="반곡동" sheetId="10" r:id="rId10"/>
    <sheet name="문막읍" sheetId="11" r:id="rId11"/>
    <sheet name="무실동" sheetId="12" r:id="rId12"/>
    <sheet name="명륜동" sheetId="13" r:id="rId13"/>
    <sheet name="단구동" sheetId="14" r:id="rId14"/>
    <sheet name="단계동" sheetId="15" r:id="rId15"/>
    <sheet name="양식" sheetId="16" r:id="rId16"/>
  </sheets>
  <definedNames>
    <definedName name="_xlnm._FilterDatabase" localSheetId="1" hidden="1">단지추출_가격표용!$A$3:$U$61</definedName>
    <definedName name="_xlnm.Print_Area" localSheetId="14">단계동!$A$1:$U$6</definedName>
    <definedName name="_xlnm.Print_Area" localSheetId="13">단구동!$A$1:$U$6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12">명륜동!$A$1:$U$6</definedName>
    <definedName name="_xlnm.Print_Area" localSheetId="11">무실동!$A$1:$U$6</definedName>
    <definedName name="_xlnm.Print_Area" localSheetId="10">문막읍!$A$1:$U$6</definedName>
    <definedName name="_xlnm.Print_Area" localSheetId="9">반곡동!$A$1:$U$6</definedName>
    <definedName name="_xlnm.Print_Area" localSheetId="15">양식!$A$1:$U$6</definedName>
    <definedName name="_xlnm.Print_Area" localSheetId="8">우산동!$A$1:$U$6</definedName>
    <definedName name="_xlnm.Print_Area" localSheetId="7">지정면!$A$1:$U$6</definedName>
    <definedName name="_xlnm.Print_Area" localSheetId="6">태장동!$A$1:$U$6</definedName>
    <definedName name="_xlnm.Print_Area" localSheetId="5">판부면!$A$1:$U$6</definedName>
    <definedName name="_xlnm.Print_Titles" localSheetId="14">단계동!$1:$3</definedName>
    <definedName name="_xlnm.Print_Titles" localSheetId="13">단구동!$1:$3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12">명륜동!$1:$3</definedName>
    <definedName name="_xlnm.Print_Titles" localSheetId="11">무실동!$1:$3</definedName>
    <definedName name="_xlnm.Print_Titles" localSheetId="10">문막읍!$1:$3</definedName>
    <definedName name="_xlnm.Print_Titles" localSheetId="9">반곡동!$1:$3</definedName>
    <definedName name="_xlnm.Print_Titles" localSheetId="15">양식!$1:$3</definedName>
    <definedName name="_xlnm.Print_Titles" localSheetId="8">우산동!$1:$3</definedName>
    <definedName name="_xlnm.Print_Titles" localSheetId="7">지정면!$1:$3</definedName>
    <definedName name="_xlnm.Print_Titles" localSheetId="6">태장동!$1:$3</definedName>
    <definedName name="_xlnm.Print_Titles" localSheetId="5">판부면!$1:$3</definedName>
  </definedNames>
  <calcPr calcId="162913"/>
</workbook>
</file>

<file path=xl/calcChain.xml><?xml version="1.0" encoding="utf-8"?>
<calcChain xmlns="http://schemas.openxmlformats.org/spreadsheetml/2006/main">
  <c r="P53" i="2" l="1"/>
  <c r="O53" i="2"/>
  <c r="N53" i="2"/>
  <c r="M53" i="2"/>
  <c r="P49" i="2"/>
  <c r="O49" i="2"/>
  <c r="N49" i="2"/>
  <c r="M49" i="2"/>
  <c r="P40" i="2"/>
  <c r="O40" i="2"/>
  <c r="N40" i="2"/>
  <c r="M40" i="2"/>
  <c r="P39" i="2"/>
  <c r="O39" i="2"/>
  <c r="N39" i="2"/>
  <c r="M39" i="2"/>
  <c r="P33" i="2"/>
  <c r="O33" i="2"/>
  <c r="N33" i="2"/>
  <c r="M33" i="2"/>
  <c r="P29" i="2"/>
  <c r="O29" i="2"/>
  <c r="N29" i="2"/>
  <c r="M29" i="2"/>
  <c r="P17" i="2"/>
  <c r="O17" i="2"/>
  <c r="N17" i="2"/>
  <c r="M17" i="2"/>
  <c r="P15" i="2"/>
  <c r="O15" i="2"/>
  <c r="N15" i="2"/>
  <c r="M15" i="2"/>
  <c r="P61" i="2"/>
  <c r="O61" i="2"/>
  <c r="N61" i="2"/>
  <c r="M61" i="2"/>
  <c r="P30" i="2"/>
  <c r="O30" i="2"/>
  <c r="N30" i="2"/>
  <c r="M30" i="2"/>
  <c r="P32" i="2"/>
  <c r="O32" i="2"/>
  <c r="N32" i="2"/>
  <c r="M32" i="2"/>
  <c r="P26" i="2"/>
  <c r="O26" i="2"/>
  <c r="N26" i="2"/>
  <c r="M26" i="2"/>
  <c r="P7" i="2"/>
  <c r="O7" i="2"/>
  <c r="N7" i="2"/>
  <c r="M7" i="2"/>
  <c r="P38" i="2"/>
  <c r="O38" i="2"/>
  <c r="N38" i="2"/>
  <c r="M38" i="2"/>
  <c r="P60" i="2"/>
  <c r="O60" i="2"/>
  <c r="N60" i="2"/>
  <c r="M60" i="2"/>
  <c r="P14" i="2"/>
  <c r="O14" i="2"/>
  <c r="N14" i="2"/>
  <c r="M14" i="2"/>
  <c r="P59" i="2"/>
  <c r="O59" i="2"/>
  <c r="N59" i="2"/>
  <c r="M59" i="2"/>
  <c r="P10" i="2"/>
  <c r="O10" i="2"/>
  <c r="N10" i="2"/>
  <c r="M10" i="2"/>
  <c r="P9" i="2"/>
  <c r="O9" i="2"/>
  <c r="N9" i="2"/>
  <c r="M9" i="2"/>
  <c r="P4" i="2"/>
  <c r="O4" i="2"/>
  <c r="N4" i="2"/>
  <c r="M4" i="2"/>
  <c r="P58" i="2"/>
  <c r="O58" i="2"/>
  <c r="N58" i="2"/>
  <c r="M58" i="2"/>
  <c r="P50" i="2"/>
  <c r="O50" i="2"/>
  <c r="N50" i="2"/>
  <c r="M50" i="2"/>
  <c r="P41" i="2"/>
  <c r="O41" i="2"/>
  <c r="N41" i="2"/>
  <c r="M41" i="2"/>
  <c r="P28" i="2"/>
  <c r="O28" i="2"/>
  <c r="N28" i="2"/>
  <c r="M28" i="2"/>
  <c r="P25" i="2"/>
  <c r="O25" i="2"/>
  <c r="N25" i="2"/>
  <c r="M25" i="2"/>
  <c r="P24" i="2"/>
  <c r="O24" i="2"/>
  <c r="N24" i="2"/>
  <c r="M24" i="2"/>
  <c r="P27" i="2"/>
  <c r="O27" i="2"/>
  <c r="N27" i="2"/>
  <c r="M27" i="2"/>
  <c r="P20" i="2"/>
  <c r="O20" i="2"/>
  <c r="N20" i="2"/>
  <c r="M20" i="2"/>
  <c r="P6" i="2"/>
  <c r="O6" i="2"/>
  <c r="N6" i="2"/>
  <c r="M6" i="2"/>
  <c r="P11" i="2"/>
  <c r="O11" i="2"/>
  <c r="N11" i="2"/>
  <c r="M11" i="2"/>
  <c r="P44" i="2"/>
  <c r="O44" i="2"/>
  <c r="N44" i="2"/>
  <c r="M44" i="2"/>
  <c r="P56" i="2"/>
  <c r="O56" i="2"/>
  <c r="N56" i="2"/>
  <c r="M56" i="2"/>
  <c r="P55" i="2"/>
  <c r="O55" i="2"/>
  <c r="N55" i="2"/>
  <c r="M55" i="2"/>
  <c r="P54" i="2"/>
  <c r="O54" i="2"/>
  <c r="N54" i="2"/>
  <c r="M54" i="2"/>
  <c r="P45" i="2"/>
  <c r="O45" i="2"/>
  <c r="N45" i="2"/>
  <c r="M45" i="2"/>
  <c r="P48" i="2"/>
  <c r="O48" i="2"/>
  <c r="N48" i="2"/>
  <c r="M48" i="2"/>
  <c r="P43" i="2"/>
  <c r="O43" i="2"/>
  <c r="N43" i="2"/>
  <c r="M43" i="2"/>
  <c r="P47" i="2"/>
  <c r="O47" i="2"/>
  <c r="N47" i="2"/>
  <c r="M47" i="2"/>
  <c r="P52" i="2"/>
  <c r="O52" i="2"/>
  <c r="N52" i="2"/>
  <c r="M52" i="2"/>
  <c r="P46" i="2"/>
  <c r="O46" i="2"/>
  <c r="N46" i="2"/>
  <c r="M46" i="2"/>
  <c r="P36" i="2"/>
  <c r="O36" i="2"/>
  <c r="N36" i="2"/>
  <c r="M36" i="2"/>
  <c r="P31" i="2"/>
  <c r="O31" i="2"/>
  <c r="N31" i="2"/>
  <c r="M31" i="2"/>
  <c r="P34" i="2"/>
  <c r="O34" i="2"/>
  <c r="N34" i="2"/>
  <c r="M34" i="2"/>
  <c r="P51" i="2"/>
  <c r="O51" i="2"/>
  <c r="N51" i="2"/>
  <c r="M51" i="2"/>
  <c r="P19" i="2"/>
  <c r="O19" i="2"/>
  <c r="N19" i="2"/>
  <c r="M19" i="2"/>
  <c r="P23" i="2"/>
  <c r="O23" i="2"/>
  <c r="N23" i="2"/>
  <c r="M23" i="2"/>
  <c r="P22" i="2"/>
  <c r="O22" i="2"/>
  <c r="N22" i="2"/>
  <c r="M22" i="2"/>
  <c r="P21" i="2"/>
  <c r="O21" i="2"/>
  <c r="N21" i="2"/>
  <c r="M21" i="2"/>
  <c r="P16" i="2"/>
  <c r="O16" i="2"/>
  <c r="N16" i="2"/>
  <c r="M16" i="2"/>
  <c r="P18" i="2"/>
  <c r="O18" i="2"/>
  <c r="N18" i="2"/>
  <c r="M18" i="2"/>
  <c r="P12" i="2"/>
  <c r="O12" i="2"/>
  <c r="N12" i="2"/>
  <c r="M12" i="2"/>
  <c r="P13" i="2"/>
  <c r="O13" i="2"/>
  <c r="N13" i="2"/>
  <c r="M13" i="2"/>
  <c r="P8" i="2"/>
  <c r="O8" i="2"/>
  <c r="N8" i="2"/>
  <c r="M8" i="2"/>
  <c r="P5" i="2"/>
  <c r="O5" i="2"/>
  <c r="N5" i="2"/>
  <c r="M5" i="2"/>
  <c r="P57" i="2"/>
  <c r="O57" i="2"/>
  <c r="N57" i="2"/>
  <c r="M57" i="2"/>
  <c r="P42" i="2"/>
  <c r="O42" i="2"/>
  <c r="N42" i="2"/>
  <c r="M42" i="2"/>
  <c r="P37" i="2"/>
  <c r="O37" i="2"/>
  <c r="N37" i="2"/>
  <c r="M37" i="2"/>
  <c r="P35" i="2"/>
  <c r="O35" i="2"/>
  <c r="N35" i="2"/>
  <c r="M35" i="2"/>
  <c r="AU64" i="1" l="1"/>
  <c r="AT64" i="1"/>
  <c r="AR64" i="1"/>
  <c r="AP64" i="1"/>
  <c r="AI64" i="1"/>
  <c r="AN64" i="1" s="1"/>
  <c r="AH64" i="1"/>
  <c r="AF64" i="1"/>
  <c r="AE64" i="1"/>
  <c r="AD64" i="1"/>
  <c r="AC64" i="1"/>
  <c r="AB64" i="1"/>
  <c r="AA64" i="1"/>
  <c r="Z64" i="1"/>
  <c r="Y64" i="1"/>
  <c r="X64" i="1"/>
  <c r="W64" i="1"/>
  <c r="P64" i="1"/>
  <c r="O64" i="1"/>
  <c r="AQ64" i="1" s="1"/>
  <c r="N64" i="1"/>
  <c r="AO64" i="1" s="1"/>
  <c r="AV64" i="1" s="1"/>
  <c r="M64" i="1"/>
  <c r="AU63" i="1"/>
  <c r="AT63" i="1"/>
  <c r="AP63" i="1"/>
  <c r="AO63" i="1"/>
  <c r="AN63" i="1"/>
  <c r="AJ63" i="1"/>
  <c r="AI63" i="1"/>
  <c r="AH63" i="1"/>
  <c r="AF63" i="1"/>
  <c r="AE63" i="1"/>
  <c r="AD63" i="1"/>
  <c r="AC63" i="1"/>
  <c r="AA63" i="1"/>
  <c r="Z63" i="1"/>
  <c r="Y63" i="1"/>
  <c r="X63" i="1"/>
  <c r="W63" i="1"/>
  <c r="P63" i="1"/>
  <c r="O63" i="1"/>
  <c r="AQ63" i="1" s="1"/>
  <c r="N63" i="1"/>
  <c r="M63" i="1"/>
  <c r="AR63" i="1" s="1"/>
  <c r="AU62" i="1"/>
  <c r="AP62" i="1"/>
  <c r="AO62" i="1"/>
  <c r="AN62" i="1"/>
  <c r="AI62" i="1"/>
  <c r="AT62" i="1" s="1"/>
  <c r="AH62" i="1"/>
  <c r="AF62" i="1"/>
  <c r="AE62" i="1"/>
  <c r="AD62" i="1"/>
  <c r="AA62" i="1"/>
  <c r="Z62" i="1"/>
  <c r="Y62" i="1"/>
  <c r="X62" i="1"/>
  <c r="W62" i="1"/>
  <c r="P62" i="1"/>
  <c r="O62" i="1"/>
  <c r="AQ62" i="1" s="1"/>
  <c r="N62" i="1"/>
  <c r="AC62" i="1" s="1"/>
  <c r="M62" i="1"/>
  <c r="AU61" i="1"/>
  <c r="AT61" i="1"/>
  <c r="AP61" i="1"/>
  <c r="AO61" i="1"/>
  <c r="AJ61" i="1"/>
  <c r="AI61" i="1"/>
  <c r="AN61" i="1" s="1"/>
  <c r="AH61" i="1"/>
  <c r="AF61" i="1"/>
  <c r="AE61" i="1"/>
  <c r="AA61" i="1"/>
  <c r="Z61" i="1"/>
  <c r="Y61" i="1"/>
  <c r="X61" i="1"/>
  <c r="W61" i="1"/>
  <c r="P61" i="1"/>
  <c r="O61" i="1"/>
  <c r="AQ61" i="1" s="1"/>
  <c r="N61" i="1"/>
  <c r="AC61" i="1" s="1"/>
  <c r="M61" i="1"/>
  <c r="AU60" i="1"/>
  <c r="AR60" i="1"/>
  <c r="AP60" i="1"/>
  <c r="AI60" i="1"/>
  <c r="AT60" i="1" s="1"/>
  <c r="AH60" i="1"/>
  <c r="AF60" i="1"/>
  <c r="AE60" i="1"/>
  <c r="AB60" i="1"/>
  <c r="AA60" i="1"/>
  <c r="Z60" i="1"/>
  <c r="Y60" i="1"/>
  <c r="X60" i="1"/>
  <c r="W60" i="1"/>
  <c r="P60" i="1"/>
  <c r="O60" i="1"/>
  <c r="AD60" i="1" s="1"/>
  <c r="N60" i="1"/>
  <c r="M60" i="1"/>
  <c r="AU59" i="1"/>
  <c r="AR59" i="1"/>
  <c r="AP59" i="1"/>
  <c r="AO59" i="1"/>
  <c r="AI59" i="1"/>
  <c r="AH59" i="1"/>
  <c r="AF59" i="1"/>
  <c r="AE59" i="1"/>
  <c r="AC59" i="1"/>
  <c r="AB59" i="1"/>
  <c r="AA59" i="1"/>
  <c r="Z59" i="1"/>
  <c r="Y59" i="1"/>
  <c r="X59" i="1"/>
  <c r="W59" i="1"/>
  <c r="P59" i="1"/>
  <c r="O59" i="1"/>
  <c r="AD59" i="1" s="1"/>
  <c r="N59" i="1"/>
  <c r="M59" i="1"/>
  <c r="AU58" i="1"/>
  <c r="AR58" i="1"/>
  <c r="AP58" i="1"/>
  <c r="AI58" i="1"/>
  <c r="AN58" i="1" s="1"/>
  <c r="AH58" i="1"/>
  <c r="AF58" i="1"/>
  <c r="AE58" i="1"/>
  <c r="AD58" i="1"/>
  <c r="AC58" i="1"/>
  <c r="AB58" i="1"/>
  <c r="AA58" i="1"/>
  <c r="Z58" i="1"/>
  <c r="Y58" i="1"/>
  <c r="X58" i="1"/>
  <c r="W58" i="1"/>
  <c r="P58" i="1"/>
  <c r="O58" i="1"/>
  <c r="AQ58" i="1" s="1"/>
  <c r="N58" i="1"/>
  <c r="AO58" i="1" s="1"/>
  <c r="M58" i="1"/>
  <c r="AU57" i="1"/>
  <c r="AT57" i="1"/>
  <c r="AP57" i="1"/>
  <c r="AO57" i="1"/>
  <c r="AN57" i="1"/>
  <c r="AJ57" i="1"/>
  <c r="AI57" i="1"/>
  <c r="AH57" i="1"/>
  <c r="AF57" i="1"/>
  <c r="AE57" i="1"/>
  <c r="AD57" i="1"/>
  <c r="AC57" i="1"/>
  <c r="AA57" i="1"/>
  <c r="Z57" i="1"/>
  <c r="Y57" i="1"/>
  <c r="X57" i="1"/>
  <c r="W57" i="1"/>
  <c r="P57" i="1"/>
  <c r="O57" i="1"/>
  <c r="AQ57" i="1" s="1"/>
  <c r="N57" i="1"/>
  <c r="M57" i="1"/>
  <c r="AR57" i="1" s="1"/>
  <c r="AU56" i="1"/>
  <c r="AP56" i="1"/>
  <c r="AO56" i="1"/>
  <c r="AV56" i="1" s="1"/>
  <c r="AN56" i="1"/>
  <c r="AI56" i="1"/>
  <c r="AT56" i="1" s="1"/>
  <c r="AH56" i="1"/>
  <c r="AF56" i="1"/>
  <c r="AE56" i="1"/>
  <c r="AD56" i="1"/>
  <c r="AA56" i="1"/>
  <c r="Z56" i="1"/>
  <c r="Y56" i="1"/>
  <c r="X56" i="1"/>
  <c r="W56" i="1"/>
  <c r="P56" i="1"/>
  <c r="O56" i="1"/>
  <c r="AQ56" i="1" s="1"/>
  <c r="N56" i="1"/>
  <c r="AC56" i="1" s="1"/>
  <c r="M56" i="1"/>
  <c r="AU55" i="1"/>
  <c r="AT55" i="1"/>
  <c r="AP55" i="1"/>
  <c r="AO55" i="1"/>
  <c r="AN55" i="1"/>
  <c r="AJ55" i="1"/>
  <c r="AI55" i="1"/>
  <c r="AH55" i="1"/>
  <c r="AF55" i="1"/>
  <c r="AE55" i="1"/>
  <c r="AA55" i="1"/>
  <c r="Z55" i="1"/>
  <c r="Y55" i="1"/>
  <c r="X55" i="1"/>
  <c r="W55" i="1"/>
  <c r="P55" i="1"/>
  <c r="O55" i="1"/>
  <c r="AQ55" i="1" s="1"/>
  <c r="N55" i="1"/>
  <c r="AC55" i="1" s="1"/>
  <c r="M55" i="1"/>
  <c r="AU54" i="1"/>
  <c r="AR54" i="1"/>
  <c r="AQ54" i="1"/>
  <c r="AP54" i="1"/>
  <c r="AI54" i="1"/>
  <c r="AT54" i="1" s="1"/>
  <c r="AH54" i="1"/>
  <c r="AF54" i="1"/>
  <c r="AE54" i="1"/>
  <c r="AB54" i="1"/>
  <c r="AA54" i="1"/>
  <c r="Z54" i="1"/>
  <c r="Y54" i="1"/>
  <c r="X54" i="1"/>
  <c r="W54" i="1"/>
  <c r="P54" i="1"/>
  <c r="O54" i="1"/>
  <c r="AD54" i="1" s="1"/>
  <c r="N54" i="1"/>
  <c r="M54" i="1"/>
  <c r="AU53" i="1"/>
  <c r="AR53" i="1"/>
  <c r="AQ53" i="1"/>
  <c r="AP53" i="1"/>
  <c r="AO53" i="1"/>
  <c r="AI53" i="1"/>
  <c r="AH53" i="1"/>
  <c r="AF53" i="1"/>
  <c r="AE53" i="1"/>
  <c r="AC53" i="1"/>
  <c r="AB53" i="1"/>
  <c r="AA53" i="1"/>
  <c r="Z53" i="1"/>
  <c r="Y53" i="1"/>
  <c r="X53" i="1"/>
  <c r="W53" i="1"/>
  <c r="P53" i="1"/>
  <c r="O53" i="1"/>
  <c r="AD53" i="1" s="1"/>
  <c r="N53" i="1"/>
  <c r="M53" i="1"/>
  <c r="AU52" i="1"/>
  <c r="AT52" i="1"/>
  <c r="AR52" i="1"/>
  <c r="AP52" i="1"/>
  <c r="AJ52" i="1"/>
  <c r="AI52" i="1"/>
  <c r="AN52" i="1" s="1"/>
  <c r="AH52" i="1"/>
  <c r="AF52" i="1"/>
  <c r="AE52" i="1"/>
  <c r="AD52" i="1"/>
  <c r="AC52" i="1"/>
  <c r="AB52" i="1"/>
  <c r="AA52" i="1"/>
  <c r="Z52" i="1"/>
  <c r="Y52" i="1"/>
  <c r="X52" i="1"/>
  <c r="W52" i="1"/>
  <c r="P52" i="1"/>
  <c r="O52" i="1"/>
  <c r="AQ52" i="1" s="1"/>
  <c r="N52" i="1"/>
  <c r="AO52" i="1" s="1"/>
  <c r="M52" i="1"/>
  <c r="AU51" i="1"/>
  <c r="AT51" i="1"/>
  <c r="AP51" i="1"/>
  <c r="AO51" i="1"/>
  <c r="AV51" i="1" s="1"/>
  <c r="AN51" i="1"/>
  <c r="AJ51" i="1"/>
  <c r="AI51" i="1"/>
  <c r="AH51" i="1"/>
  <c r="AF51" i="1"/>
  <c r="AE51" i="1"/>
  <c r="AD51" i="1"/>
  <c r="AC51" i="1"/>
  <c r="AA51" i="1"/>
  <c r="Z51" i="1"/>
  <c r="Y51" i="1"/>
  <c r="X51" i="1"/>
  <c r="W51" i="1"/>
  <c r="P51" i="1"/>
  <c r="O51" i="1"/>
  <c r="AQ51" i="1" s="1"/>
  <c r="N51" i="1"/>
  <c r="M51" i="1"/>
  <c r="AR51" i="1" s="1"/>
  <c r="AV50" i="1"/>
  <c r="AU50" i="1"/>
  <c r="AP50" i="1"/>
  <c r="AO50" i="1"/>
  <c r="AN50" i="1"/>
  <c r="AI50" i="1"/>
  <c r="AT50" i="1" s="1"/>
  <c r="AH50" i="1"/>
  <c r="AF50" i="1"/>
  <c r="AE50" i="1"/>
  <c r="AD50" i="1"/>
  <c r="AA50" i="1"/>
  <c r="Z50" i="1"/>
  <c r="Y50" i="1"/>
  <c r="X50" i="1"/>
  <c r="W50" i="1"/>
  <c r="P50" i="1"/>
  <c r="O50" i="1"/>
  <c r="AQ50" i="1" s="1"/>
  <c r="N50" i="1"/>
  <c r="AC50" i="1" s="1"/>
  <c r="M50" i="1"/>
  <c r="AU49" i="1"/>
  <c r="AT49" i="1"/>
  <c r="AP49" i="1"/>
  <c r="AJ49" i="1"/>
  <c r="AI49" i="1"/>
  <c r="AN49" i="1" s="1"/>
  <c r="AH49" i="1"/>
  <c r="AF49" i="1"/>
  <c r="AE49" i="1"/>
  <c r="AA49" i="1"/>
  <c r="Z49" i="1"/>
  <c r="Y49" i="1"/>
  <c r="X49" i="1"/>
  <c r="W49" i="1"/>
  <c r="P49" i="1"/>
  <c r="O49" i="1"/>
  <c r="AQ49" i="1" s="1"/>
  <c r="N49" i="1"/>
  <c r="AC49" i="1" s="1"/>
  <c r="M49" i="1"/>
  <c r="AU48" i="1"/>
  <c r="AR48" i="1"/>
  <c r="AQ48" i="1"/>
  <c r="AP48" i="1"/>
  <c r="AI48" i="1"/>
  <c r="AT48" i="1" s="1"/>
  <c r="AH48" i="1"/>
  <c r="AF48" i="1"/>
  <c r="AE48" i="1"/>
  <c r="AB48" i="1"/>
  <c r="AA48" i="1"/>
  <c r="Z48" i="1"/>
  <c r="Y48" i="1"/>
  <c r="X48" i="1"/>
  <c r="W48" i="1"/>
  <c r="P48" i="1"/>
  <c r="O48" i="1"/>
  <c r="AD48" i="1" s="1"/>
  <c r="N48" i="1"/>
  <c r="M48" i="1"/>
  <c r="AU47" i="1"/>
  <c r="AR47" i="1"/>
  <c r="AQ47" i="1"/>
  <c r="AP47" i="1"/>
  <c r="AO47" i="1"/>
  <c r="AI47" i="1"/>
  <c r="AH47" i="1"/>
  <c r="AF47" i="1"/>
  <c r="AE47" i="1"/>
  <c r="AC47" i="1"/>
  <c r="AB47" i="1"/>
  <c r="AA47" i="1"/>
  <c r="Z47" i="1"/>
  <c r="Y47" i="1"/>
  <c r="X47" i="1"/>
  <c r="W47" i="1"/>
  <c r="P47" i="1"/>
  <c r="O47" i="1"/>
  <c r="AD47" i="1" s="1"/>
  <c r="N47" i="1"/>
  <c r="M47" i="1"/>
  <c r="AU46" i="1"/>
  <c r="AT46" i="1"/>
  <c r="AR46" i="1"/>
  <c r="AP46" i="1"/>
  <c r="AJ46" i="1"/>
  <c r="AI46" i="1"/>
  <c r="AN46" i="1" s="1"/>
  <c r="AH46" i="1"/>
  <c r="AF46" i="1"/>
  <c r="AE46" i="1"/>
  <c r="AD46" i="1"/>
  <c r="AC46" i="1"/>
  <c r="AB46" i="1"/>
  <c r="AA46" i="1"/>
  <c r="Z46" i="1"/>
  <c r="Y46" i="1"/>
  <c r="X46" i="1"/>
  <c r="W46" i="1"/>
  <c r="P46" i="1"/>
  <c r="O46" i="1"/>
  <c r="AQ46" i="1" s="1"/>
  <c r="N46" i="1"/>
  <c r="AO46" i="1" s="1"/>
  <c r="M46" i="1"/>
  <c r="AU45" i="1"/>
  <c r="AT45" i="1"/>
  <c r="AP45" i="1"/>
  <c r="AO45" i="1"/>
  <c r="AV45" i="1" s="1"/>
  <c r="AN45" i="1"/>
  <c r="AJ45" i="1"/>
  <c r="AI45" i="1"/>
  <c r="AH45" i="1"/>
  <c r="AF45" i="1"/>
  <c r="AE45" i="1"/>
  <c r="AD45" i="1"/>
  <c r="AC45" i="1"/>
  <c r="AA45" i="1"/>
  <c r="Z45" i="1"/>
  <c r="Y45" i="1"/>
  <c r="X45" i="1"/>
  <c r="W45" i="1"/>
  <c r="P45" i="1"/>
  <c r="O45" i="1"/>
  <c r="AQ45" i="1" s="1"/>
  <c r="N45" i="1"/>
  <c r="M45" i="1"/>
  <c r="AR45" i="1" s="1"/>
  <c r="AV44" i="1"/>
  <c r="AU44" i="1"/>
  <c r="AP44" i="1"/>
  <c r="AO44" i="1"/>
  <c r="AN44" i="1"/>
  <c r="AI44" i="1"/>
  <c r="AT44" i="1" s="1"/>
  <c r="AH44" i="1"/>
  <c r="AF44" i="1"/>
  <c r="AE44" i="1"/>
  <c r="AD44" i="1"/>
  <c r="AA44" i="1"/>
  <c r="Z44" i="1"/>
  <c r="Y44" i="1"/>
  <c r="X44" i="1"/>
  <c r="W44" i="1"/>
  <c r="P44" i="1"/>
  <c r="O44" i="1"/>
  <c r="AQ44" i="1" s="1"/>
  <c r="N44" i="1"/>
  <c r="AC44" i="1" s="1"/>
  <c r="M44" i="1"/>
  <c r="AU43" i="1"/>
  <c r="AP43" i="1"/>
  <c r="AI43" i="1"/>
  <c r="AN43" i="1" s="1"/>
  <c r="AH43" i="1"/>
  <c r="AF43" i="1"/>
  <c r="AE43" i="1"/>
  <c r="AA43" i="1"/>
  <c r="Z43" i="1"/>
  <c r="Y43" i="1"/>
  <c r="X43" i="1"/>
  <c r="W43" i="1"/>
  <c r="P43" i="1"/>
  <c r="O43" i="1"/>
  <c r="AQ43" i="1" s="1"/>
  <c r="N43" i="1"/>
  <c r="AC43" i="1" s="1"/>
  <c r="M43" i="1"/>
  <c r="AU42" i="1"/>
  <c r="AR42" i="1"/>
  <c r="AQ42" i="1"/>
  <c r="AP42" i="1"/>
  <c r="AI42" i="1"/>
  <c r="AT42" i="1" s="1"/>
  <c r="AH42" i="1"/>
  <c r="AF42" i="1"/>
  <c r="AE42" i="1"/>
  <c r="AB42" i="1"/>
  <c r="AA42" i="1"/>
  <c r="Z42" i="1"/>
  <c r="Y42" i="1"/>
  <c r="X42" i="1"/>
  <c r="W42" i="1"/>
  <c r="P42" i="1"/>
  <c r="O42" i="1"/>
  <c r="AD42" i="1" s="1"/>
  <c r="N42" i="1"/>
  <c r="M42" i="1"/>
  <c r="AU41" i="1"/>
  <c r="AR41" i="1"/>
  <c r="AQ41" i="1"/>
  <c r="AP41" i="1"/>
  <c r="AO41" i="1"/>
  <c r="AI41" i="1"/>
  <c r="AH41" i="1"/>
  <c r="AF41" i="1"/>
  <c r="AE41" i="1"/>
  <c r="AC41" i="1"/>
  <c r="AB41" i="1"/>
  <c r="AA41" i="1"/>
  <c r="Z41" i="1"/>
  <c r="Y41" i="1"/>
  <c r="X41" i="1"/>
  <c r="W41" i="1"/>
  <c r="P41" i="1"/>
  <c r="O41" i="1"/>
  <c r="AD41" i="1" s="1"/>
  <c r="N41" i="1"/>
  <c r="M41" i="1"/>
  <c r="AU40" i="1"/>
  <c r="AR40" i="1"/>
  <c r="AP40" i="1"/>
  <c r="AO40" i="1"/>
  <c r="AI40" i="1"/>
  <c r="AN40" i="1" s="1"/>
  <c r="AH40" i="1"/>
  <c r="AF40" i="1"/>
  <c r="AE40" i="1"/>
  <c r="AD40" i="1"/>
  <c r="AC40" i="1"/>
  <c r="AB40" i="1"/>
  <c r="AA40" i="1"/>
  <c r="Z40" i="1"/>
  <c r="Y40" i="1"/>
  <c r="X40" i="1"/>
  <c r="W40" i="1"/>
  <c r="P40" i="1"/>
  <c r="O40" i="1"/>
  <c r="AQ40" i="1" s="1"/>
  <c r="N40" i="1"/>
  <c r="M40" i="1"/>
  <c r="AU39" i="1"/>
  <c r="AT39" i="1"/>
  <c r="AP39" i="1"/>
  <c r="AO39" i="1"/>
  <c r="AN39" i="1"/>
  <c r="AJ39" i="1"/>
  <c r="AI39" i="1"/>
  <c r="AH39" i="1"/>
  <c r="AF39" i="1"/>
  <c r="AE39" i="1"/>
  <c r="AD39" i="1"/>
  <c r="AC39" i="1"/>
  <c r="AA39" i="1"/>
  <c r="Z39" i="1"/>
  <c r="Y39" i="1"/>
  <c r="X39" i="1"/>
  <c r="W39" i="1"/>
  <c r="P39" i="1"/>
  <c r="O39" i="1"/>
  <c r="AQ39" i="1" s="1"/>
  <c r="N39" i="1"/>
  <c r="M39" i="1"/>
  <c r="AR39" i="1" s="1"/>
  <c r="AU38" i="1"/>
  <c r="AP38" i="1"/>
  <c r="AO38" i="1"/>
  <c r="AN38" i="1"/>
  <c r="AI38" i="1"/>
  <c r="AT38" i="1" s="1"/>
  <c r="AH38" i="1"/>
  <c r="AF38" i="1"/>
  <c r="AE38" i="1"/>
  <c r="AD38" i="1"/>
  <c r="AA38" i="1"/>
  <c r="Z38" i="1"/>
  <c r="Y38" i="1"/>
  <c r="X38" i="1"/>
  <c r="W38" i="1"/>
  <c r="P38" i="1"/>
  <c r="O38" i="1"/>
  <c r="AQ38" i="1" s="1"/>
  <c r="N38" i="1"/>
  <c r="AC38" i="1" s="1"/>
  <c r="M38" i="1"/>
  <c r="AU37" i="1"/>
  <c r="AP37" i="1"/>
  <c r="AI37" i="1"/>
  <c r="AN37" i="1" s="1"/>
  <c r="AH37" i="1"/>
  <c r="AF37" i="1"/>
  <c r="AE37" i="1"/>
  <c r="AA37" i="1"/>
  <c r="Z37" i="1"/>
  <c r="Y37" i="1"/>
  <c r="X37" i="1"/>
  <c r="W37" i="1"/>
  <c r="P37" i="1"/>
  <c r="O37" i="1"/>
  <c r="AQ37" i="1" s="1"/>
  <c r="N37" i="1"/>
  <c r="AC37" i="1" s="1"/>
  <c r="M37" i="1"/>
  <c r="AU36" i="1"/>
  <c r="AR36" i="1"/>
  <c r="AP36" i="1"/>
  <c r="AI36" i="1"/>
  <c r="AT36" i="1" s="1"/>
  <c r="AH36" i="1"/>
  <c r="AF36" i="1"/>
  <c r="AE36" i="1"/>
  <c r="AB36" i="1"/>
  <c r="AA36" i="1"/>
  <c r="Z36" i="1"/>
  <c r="Y36" i="1"/>
  <c r="X36" i="1"/>
  <c r="W36" i="1"/>
  <c r="P36" i="1"/>
  <c r="O36" i="1"/>
  <c r="AD36" i="1" s="1"/>
  <c r="N36" i="1"/>
  <c r="M36" i="1"/>
  <c r="AU35" i="1"/>
  <c r="AR35" i="1"/>
  <c r="AP35" i="1"/>
  <c r="AO35" i="1"/>
  <c r="AI35" i="1"/>
  <c r="AH35" i="1"/>
  <c r="AF35" i="1"/>
  <c r="AE35" i="1"/>
  <c r="AC35" i="1"/>
  <c r="AB35" i="1"/>
  <c r="AA35" i="1"/>
  <c r="Z35" i="1"/>
  <c r="Y35" i="1"/>
  <c r="X35" i="1"/>
  <c r="W35" i="1"/>
  <c r="P35" i="1"/>
  <c r="O35" i="1"/>
  <c r="AD35" i="1" s="1"/>
  <c r="N35" i="1"/>
  <c r="M35" i="1"/>
  <c r="AU34" i="1"/>
  <c r="AT34" i="1"/>
  <c r="AR34" i="1"/>
  <c r="AP34" i="1"/>
  <c r="AO34" i="1"/>
  <c r="AJ34" i="1"/>
  <c r="AI34" i="1"/>
  <c r="AN34" i="1" s="1"/>
  <c r="AH34" i="1"/>
  <c r="AF34" i="1"/>
  <c r="AE34" i="1"/>
  <c r="AD34" i="1"/>
  <c r="AC34" i="1"/>
  <c r="AB34" i="1"/>
  <c r="AA34" i="1"/>
  <c r="Z34" i="1"/>
  <c r="Y34" i="1"/>
  <c r="X34" i="1"/>
  <c r="W34" i="1"/>
  <c r="P34" i="1"/>
  <c r="O34" i="1"/>
  <c r="AQ34" i="1" s="1"/>
  <c r="N34" i="1"/>
  <c r="M34" i="1"/>
  <c r="AU33" i="1"/>
  <c r="AT33" i="1"/>
  <c r="AP33" i="1"/>
  <c r="AO33" i="1"/>
  <c r="AV33" i="1" s="1"/>
  <c r="AN33" i="1"/>
  <c r="AJ33" i="1"/>
  <c r="AI33" i="1"/>
  <c r="AH33" i="1"/>
  <c r="AF33" i="1"/>
  <c r="AE33" i="1"/>
  <c r="AD33" i="1"/>
  <c r="AC33" i="1"/>
  <c r="AA33" i="1"/>
  <c r="Z33" i="1"/>
  <c r="Y33" i="1"/>
  <c r="X33" i="1"/>
  <c r="W33" i="1"/>
  <c r="P33" i="1"/>
  <c r="O33" i="1"/>
  <c r="AQ33" i="1" s="1"/>
  <c r="N33" i="1"/>
  <c r="M33" i="1"/>
  <c r="AR33" i="1" s="1"/>
  <c r="AU32" i="1"/>
  <c r="AP32" i="1"/>
  <c r="AO32" i="1"/>
  <c r="AN32" i="1"/>
  <c r="AI32" i="1"/>
  <c r="AT32" i="1" s="1"/>
  <c r="AH32" i="1"/>
  <c r="AF32" i="1"/>
  <c r="AE32" i="1"/>
  <c r="AD32" i="1"/>
  <c r="AA32" i="1"/>
  <c r="Z32" i="1"/>
  <c r="Y32" i="1"/>
  <c r="X32" i="1"/>
  <c r="W32" i="1"/>
  <c r="P32" i="1"/>
  <c r="O32" i="1"/>
  <c r="AQ32" i="1" s="1"/>
  <c r="N32" i="1"/>
  <c r="AC32" i="1" s="1"/>
  <c r="M32" i="1"/>
  <c r="AU31" i="1"/>
  <c r="AT31" i="1"/>
  <c r="AP31" i="1"/>
  <c r="AJ31" i="1"/>
  <c r="AI31" i="1"/>
  <c r="AN31" i="1" s="1"/>
  <c r="AH31" i="1"/>
  <c r="AF31" i="1"/>
  <c r="AE31" i="1"/>
  <c r="AA31" i="1"/>
  <c r="Z31" i="1"/>
  <c r="Y31" i="1"/>
  <c r="X31" i="1"/>
  <c r="W31" i="1"/>
  <c r="P31" i="1"/>
  <c r="O31" i="1"/>
  <c r="AQ31" i="1" s="1"/>
  <c r="N31" i="1"/>
  <c r="AC31" i="1" s="1"/>
  <c r="M31" i="1"/>
  <c r="AU30" i="1"/>
  <c r="AR30" i="1"/>
  <c r="AQ30" i="1"/>
  <c r="AP30" i="1"/>
  <c r="AI30" i="1"/>
  <c r="AT30" i="1" s="1"/>
  <c r="AH30" i="1"/>
  <c r="AF30" i="1"/>
  <c r="AE30" i="1"/>
  <c r="AB30" i="1"/>
  <c r="AA30" i="1"/>
  <c r="Z30" i="1"/>
  <c r="Y30" i="1"/>
  <c r="X30" i="1"/>
  <c r="W30" i="1"/>
  <c r="P30" i="1"/>
  <c r="O30" i="1"/>
  <c r="AD30" i="1" s="1"/>
  <c r="N30" i="1"/>
  <c r="M30" i="1"/>
  <c r="AU29" i="1"/>
  <c r="AR29" i="1"/>
  <c r="AP29" i="1"/>
  <c r="AO29" i="1"/>
  <c r="AI29" i="1"/>
  <c r="AH29" i="1"/>
  <c r="AF29" i="1"/>
  <c r="AE29" i="1"/>
  <c r="AC29" i="1"/>
  <c r="AB29" i="1"/>
  <c r="AA29" i="1"/>
  <c r="Z29" i="1"/>
  <c r="Y29" i="1"/>
  <c r="X29" i="1"/>
  <c r="W29" i="1"/>
  <c r="P29" i="1"/>
  <c r="O29" i="1"/>
  <c r="AD29" i="1" s="1"/>
  <c r="N29" i="1"/>
  <c r="M29" i="1"/>
  <c r="AU28" i="1"/>
  <c r="AT28" i="1"/>
  <c r="AR28" i="1"/>
  <c r="AP28" i="1"/>
  <c r="AN28" i="1"/>
  <c r="AJ28" i="1"/>
  <c r="AI28" i="1"/>
  <c r="AH28" i="1"/>
  <c r="AF28" i="1"/>
  <c r="AE28" i="1"/>
  <c r="AD28" i="1"/>
  <c r="AC28" i="1"/>
  <c r="AB28" i="1"/>
  <c r="AA28" i="1"/>
  <c r="Z28" i="1"/>
  <c r="Y28" i="1"/>
  <c r="X28" i="1"/>
  <c r="W28" i="1"/>
  <c r="P28" i="1"/>
  <c r="O28" i="1"/>
  <c r="AQ28" i="1" s="1"/>
  <c r="N28" i="1"/>
  <c r="AO28" i="1" s="1"/>
  <c r="M28" i="1"/>
  <c r="AU27" i="1"/>
  <c r="AT27" i="1"/>
  <c r="AP27" i="1"/>
  <c r="AO27" i="1"/>
  <c r="AN27" i="1"/>
  <c r="AJ27" i="1"/>
  <c r="AI27" i="1"/>
  <c r="AH27" i="1"/>
  <c r="AF27" i="1"/>
  <c r="AE27" i="1"/>
  <c r="AD27" i="1"/>
  <c r="AC27" i="1"/>
  <c r="AA27" i="1"/>
  <c r="Z27" i="1"/>
  <c r="Y27" i="1"/>
  <c r="X27" i="1"/>
  <c r="W27" i="1"/>
  <c r="P27" i="1"/>
  <c r="O27" i="1"/>
  <c r="AQ27" i="1" s="1"/>
  <c r="N27" i="1"/>
  <c r="M27" i="1"/>
  <c r="AU26" i="1"/>
  <c r="AP26" i="1"/>
  <c r="AN26" i="1"/>
  <c r="AI26" i="1"/>
  <c r="AT26" i="1" s="1"/>
  <c r="AH26" i="1"/>
  <c r="AF26" i="1"/>
  <c r="AE26" i="1"/>
  <c r="AD26" i="1"/>
  <c r="AA26" i="1"/>
  <c r="Z26" i="1"/>
  <c r="Y26" i="1"/>
  <c r="X26" i="1"/>
  <c r="W26" i="1"/>
  <c r="P26" i="1"/>
  <c r="O26" i="1"/>
  <c r="AQ26" i="1" s="1"/>
  <c r="N26" i="1"/>
  <c r="AC26" i="1" s="1"/>
  <c r="M26" i="1"/>
  <c r="AU25" i="1"/>
  <c r="AT25" i="1"/>
  <c r="AP25" i="1"/>
  <c r="AJ25" i="1"/>
  <c r="AI25" i="1"/>
  <c r="AN25" i="1" s="1"/>
  <c r="AH25" i="1"/>
  <c r="AF25" i="1"/>
  <c r="AE25" i="1"/>
  <c r="AA25" i="1"/>
  <c r="Z25" i="1"/>
  <c r="Y25" i="1"/>
  <c r="X25" i="1"/>
  <c r="W25" i="1"/>
  <c r="P25" i="1"/>
  <c r="O25" i="1"/>
  <c r="AD25" i="1" s="1"/>
  <c r="N25" i="1"/>
  <c r="AC25" i="1" s="1"/>
  <c r="M25" i="1"/>
  <c r="AU24" i="1"/>
  <c r="AR24" i="1"/>
  <c r="AQ24" i="1"/>
  <c r="AP24" i="1"/>
  <c r="AI24" i="1"/>
  <c r="AH24" i="1"/>
  <c r="AF24" i="1"/>
  <c r="AE24" i="1"/>
  <c r="AB24" i="1"/>
  <c r="AA24" i="1"/>
  <c r="Z24" i="1"/>
  <c r="Y24" i="1"/>
  <c r="X24" i="1"/>
  <c r="W24" i="1"/>
  <c r="P24" i="1"/>
  <c r="O24" i="1"/>
  <c r="AD24" i="1" s="1"/>
  <c r="N24" i="1"/>
  <c r="M24" i="1"/>
  <c r="AU23" i="1"/>
  <c r="AR23" i="1"/>
  <c r="AQ23" i="1"/>
  <c r="AP23" i="1"/>
  <c r="AO23" i="1"/>
  <c r="AJ23" i="1"/>
  <c r="AI23" i="1"/>
  <c r="AN23" i="1" s="1"/>
  <c r="AH23" i="1"/>
  <c r="AF23" i="1"/>
  <c r="AE23" i="1"/>
  <c r="AC23" i="1"/>
  <c r="AB23" i="1"/>
  <c r="AA23" i="1"/>
  <c r="Z23" i="1"/>
  <c r="Y23" i="1"/>
  <c r="X23" i="1"/>
  <c r="W23" i="1"/>
  <c r="P23" i="1"/>
  <c r="O23" i="1"/>
  <c r="AD23" i="1" s="1"/>
  <c r="N23" i="1"/>
  <c r="M23" i="1"/>
  <c r="AU22" i="1"/>
  <c r="AR22" i="1"/>
  <c r="AP22" i="1"/>
  <c r="AI22" i="1"/>
  <c r="AJ22" i="1" s="1"/>
  <c r="AH22" i="1"/>
  <c r="AF22" i="1"/>
  <c r="AE22" i="1"/>
  <c r="AD22" i="1"/>
  <c r="AC22" i="1"/>
  <c r="AB22" i="1"/>
  <c r="AA22" i="1"/>
  <c r="Z22" i="1"/>
  <c r="Y22" i="1"/>
  <c r="X22" i="1"/>
  <c r="W22" i="1"/>
  <c r="P22" i="1"/>
  <c r="O22" i="1"/>
  <c r="AQ22" i="1" s="1"/>
  <c r="N22" i="1"/>
  <c r="AO22" i="1" s="1"/>
  <c r="M22" i="1"/>
  <c r="AU21" i="1"/>
  <c r="AT21" i="1"/>
  <c r="AP21" i="1"/>
  <c r="AO21" i="1"/>
  <c r="AN21" i="1"/>
  <c r="AJ21" i="1"/>
  <c r="AI21" i="1"/>
  <c r="AH21" i="1"/>
  <c r="AF21" i="1"/>
  <c r="AE21" i="1"/>
  <c r="AD21" i="1"/>
  <c r="AC21" i="1"/>
  <c r="AA21" i="1"/>
  <c r="Z21" i="1"/>
  <c r="Y21" i="1"/>
  <c r="X21" i="1"/>
  <c r="W21" i="1"/>
  <c r="P21" i="1"/>
  <c r="O21" i="1"/>
  <c r="AQ21" i="1" s="1"/>
  <c r="N21" i="1"/>
  <c r="M21" i="1"/>
  <c r="AU20" i="1"/>
  <c r="AP20" i="1"/>
  <c r="AN20" i="1"/>
  <c r="AI20" i="1"/>
  <c r="AT20" i="1" s="1"/>
  <c r="AH20" i="1"/>
  <c r="AF20" i="1"/>
  <c r="AE20" i="1"/>
  <c r="AD20" i="1"/>
  <c r="AA20" i="1"/>
  <c r="Z20" i="1"/>
  <c r="Y20" i="1"/>
  <c r="X20" i="1"/>
  <c r="W20" i="1"/>
  <c r="P20" i="1"/>
  <c r="O20" i="1"/>
  <c r="AQ20" i="1" s="1"/>
  <c r="N20" i="1"/>
  <c r="AC20" i="1" s="1"/>
  <c r="M20" i="1"/>
  <c r="AU19" i="1"/>
  <c r="AT19" i="1"/>
  <c r="AQ19" i="1"/>
  <c r="AP19" i="1"/>
  <c r="AO19" i="1"/>
  <c r="AJ19" i="1"/>
  <c r="AI19" i="1"/>
  <c r="AN19" i="1" s="1"/>
  <c r="AH19" i="1"/>
  <c r="AF19" i="1"/>
  <c r="AE19" i="1"/>
  <c r="AA19" i="1"/>
  <c r="Z19" i="1"/>
  <c r="Y19" i="1"/>
  <c r="X19" i="1"/>
  <c r="W19" i="1"/>
  <c r="P19" i="1"/>
  <c r="O19" i="1"/>
  <c r="AD19" i="1" s="1"/>
  <c r="N19" i="1"/>
  <c r="AC19" i="1" s="1"/>
  <c r="M19" i="1"/>
  <c r="AU18" i="1"/>
  <c r="AR18" i="1"/>
  <c r="AP18" i="1"/>
  <c r="AI18" i="1"/>
  <c r="AH18" i="1"/>
  <c r="AF18" i="1"/>
  <c r="AE18" i="1"/>
  <c r="AB18" i="1"/>
  <c r="AA18" i="1"/>
  <c r="Z18" i="1"/>
  <c r="Y18" i="1"/>
  <c r="X18" i="1"/>
  <c r="W18" i="1"/>
  <c r="P18" i="1"/>
  <c r="O18" i="1"/>
  <c r="AD18" i="1" s="1"/>
  <c r="N18" i="1"/>
  <c r="M18" i="1"/>
  <c r="AU17" i="1"/>
  <c r="AR17" i="1"/>
  <c r="AP17" i="1"/>
  <c r="AO17" i="1"/>
  <c r="AI17" i="1"/>
  <c r="AN17" i="1" s="1"/>
  <c r="AH17" i="1"/>
  <c r="AF17" i="1"/>
  <c r="AE17" i="1"/>
  <c r="AC17" i="1"/>
  <c r="AB17" i="1"/>
  <c r="AA17" i="1"/>
  <c r="Z17" i="1"/>
  <c r="Y17" i="1"/>
  <c r="X17" i="1"/>
  <c r="W17" i="1"/>
  <c r="P17" i="1"/>
  <c r="O17" i="1"/>
  <c r="AD17" i="1" s="1"/>
  <c r="N17" i="1"/>
  <c r="M17" i="1"/>
  <c r="AU16" i="1"/>
  <c r="AT16" i="1"/>
  <c r="AR16" i="1"/>
  <c r="AP16" i="1"/>
  <c r="AN16" i="1"/>
  <c r="AJ16" i="1"/>
  <c r="AI16" i="1"/>
  <c r="AH16" i="1"/>
  <c r="AF16" i="1"/>
  <c r="AE16" i="1"/>
  <c r="AD16" i="1"/>
  <c r="AC16" i="1"/>
  <c r="AB16" i="1"/>
  <c r="AA16" i="1"/>
  <c r="Z16" i="1"/>
  <c r="Y16" i="1"/>
  <c r="X16" i="1"/>
  <c r="W16" i="1"/>
  <c r="P16" i="1"/>
  <c r="O16" i="1"/>
  <c r="AQ16" i="1" s="1"/>
  <c r="N16" i="1"/>
  <c r="AO16" i="1" s="1"/>
  <c r="M16" i="1"/>
  <c r="AU15" i="1"/>
  <c r="AT15" i="1"/>
  <c r="AQ15" i="1"/>
  <c r="AP15" i="1"/>
  <c r="AO15" i="1"/>
  <c r="AN15" i="1"/>
  <c r="AJ15" i="1"/>
  <c r="AI15" i="1"/>
  <c r="AH15" i="1"/>
  <c r="AF15" i="1"/>
  <c r="AE15" i="1"/>
  <c r="AD15" i="1"/>
  <c r="AC15" i="1"/>
  <c r="AA15" i="1"/>
  <c r="Z15" i="1"/>
  <c r="Y15" i="1"/>
  <c r="X15" i="1"/>
  <c r="W15" i="1"/>
  <c r="P15" i="1"/>
  <c r="O15" i="1"/>
  <c r="N15" i="1"/>
  <c r="M15" i="1"/>
  <c r="AU14" i="1"/>
  <c r="AP14" i="1"/>
  <c r="AO14" i="1"/>
  <c r="AI14" i="1"/>
  <c r="AN14" i="1" s="1"/>
  <c r="AH14" i="1"/>
  <c r="AF14" i="1"/>
  <c r="AE14" i="1"/>
  <c r="AA14" i="1"/>
  <c r="Z14" i="1"/>
  <c r="Y14" i="1"/>
  <c r="X14" i="1"/>
  <c r="W14" i="1"/>
  <c r="P14" i="1"/>
  <c r="O14" i="1"/>
  <c r="AQ14" i="1" s="1"/>
  <c r="N14" i="1"/>
  <c r="AC14" i="1" s="1"/>
  <c r="M14" i="1"/>
  <c r="AB14" i="1" s="1"/>
  <c r="AU13" i="1"/>
  <c r="AR13" i="1"/>
  <c r="AP13" i="1"/>
  <c r="AI13" i="1"/>
  <c r="AT13" i="1" s="1"/>
  <c r="AH13" i="1"/>
  <c r="AF13" i="1"/>
  <c r="AE13" i="1"/>
  <c r="AD13" i="1"/>
  <c r="AB13" i="1"/>
  <c r="AA13" i="1"/>
  <c r="Z13" i="1"/>
  <c r="Y13" i="1"/>
  <c r="X13" i="1"/>
  <c r="W13" i="1"/>
  <c r="P13" i="1"/>
  <c r="O13" i="1"/>
  <c r="AQ13" i="1" s="1"/>
  <c r="N13" i="1"/>
  <c r="AO13" i="1" s="1"/>
  <c r="AV13" i="1" s="1"/>
  <c r="M13" i="1"/>
  <c r="AU12" i="1"/>
  <c r="AT12" i="1"/>
  <c r="AP12" i="1"/>
  <c r="AO12" i="1"/>
  <c r="AJ12" i="1"/>
  <c r="AI12" i="1"/>
  <c r="AN12" i="1" s="1"/>
  <c r="AH12" i="1"/>
  <c r="AF12" i="1"/>
  <c r="AE12" i="1"/>
  <c r="AC12" i="1"/>
  <c r="AA12" i="1"/>
  <c r="Z12" i="1"/>
  <c r="Y12" i="1"/>
  <c r="X12" i="1"/>
  <c r="W12" i="1"/>
  <c r="P12" i="1"/>
  <c r="O12" i="1"/>
  <c r="AD12" i="1" s="1"/>
  <c r="N12" i="1"/>
  <c r="M12" i="1"/>
  <c r="AR12" i="1" s="1"/>
  <c r="AU11" i="1"/>
  <c r="AR11" i="1"/>
  <c r="AP11" i="1"/>
  <c r="AN11" i="1"/>
  <c r="AI11" i="1"/>
  <c r="AT11" i="1" s="1"/>
  <c r="AH11" i="1"/>
  <c r="AF11" i="1"/>
  <c r="AE11" i="1"/>
  <c r="AD11" i="1"/>
  <c r="AB11" i="1"/>
  <c r="AA11" i="1"/>
  <c r="Z11" i="1"/>
  <c r="Y11" i="1"/>
  <c r="X11" i="1"/>
  <c r="W11" i="1"/>
  <c r="P11" i="1"/>
  <c r="O11" i="1"/>
  <c r="AQ11" i="1" s="1"/>
  <c r="N11" i="1"/>
  <c r="AO11" i="1" s="1"/>
  <c r="AV11" i="1" s="1"/>
  <c r="M11" i="1"/>
  <c r="AU10" i="1"/>
  <c r="AT10" i="1"/>
  <c r="AP10" i="1"/>
  <c r="AO10" i="1"/>
  <c r="AV10" i="1" s="1"/>
  <c r="AN10" i="1"/>
  <c r="AJ10" i="1"/>
  <c r="AI10" i="1"/>
  <c r="AH10" i="1"/>
  <c r="AF10" i="1"/>
  <c r="AE10" i="1"/>
  <c r="AC10" i="1"/>
  <c r="AA10" i="1"/>
  <c r="Z10" i="1"/>
  <c r="Y10" i="1"/>
  <c r="X10" i="1"/>
  <c r="W10" i="1"/>
  <c r="P10" i="1"/>
  <c r="O10" i="1"/>
  <c r="AQ10" i="1" s="1"/>
  <c r="N10" i="1"/>
  <c r="M10" i="1"/>
  <c r="AR10" i="1" s="1"/>
  <c r="AU9" i="1"/>
  <c r="AR9" i="1"/>
  <c r="AP9" i="1"/>
  <c r="AI9" i="1"/>
  <c r="AT9" i="1" s="1"/>
  <c r="AH9" i="1"/>
  <c r="AF9" i="1"/>
  <c r="AE9" i="1"/>
  <c r="AD9" i="1"/>
  <c r="AB9" i="1"/>
  <c r="AA9" i="1"/>
  <c r="Z9" i="1"/>
  <c r="Y9" i="1"/>
  <c r="X9" i="1"/>
  <c r="W9" i="1"/>
  <c r="P9" i="1"/>
  <c r="O9" i="1"/>
  <c r="AQ9" i="1" s="1"/>
  <c r="N9" i="1"/>
  <c r="AC9" i="1" s="1"/>
  <c r="M9" i="1"/>
  <c r="AU8" i="1"/>
  <c r="AT8" i="1"/>
  <c r="AP8" i="1"/>
  <c r="AO8" i="1"/>
  <c r="AJ8" i="1"/>
  <c r="AI8" i="1"/>
  <c r="AN8" i="1" s="1"/>
  <c r="AH8" i="1"/>
  <c r="AF8" i="1"/>
  <c r="AE8" i="1"/>
  <c r="AC8" i="1"/>
  <c r="AA8" i="1"/>
  <c r="Z8" i="1"/>
  <c r="Y8" i="1"/>
  <c r="X8" i="1"/>
  <c r="W8" i="1"/>
  <c r="P8" i="1"/>
  <c r="O8" i="1"/>
  <c r="AD8" i="1" s="1"/>
  <c r="N8" i="1"/>
  <c r="M8" i="1"/>
  <c r="AR8" i="1" s="1"/>
  <c r="AU7" i="1"/>
  <c r="AR7" i="1"/>
  <c r="AP7" i="1"/>
  <c r="AI7" i="1"/>
  <c r="AT7" i="1" s="1"/>
  <c r="AH7" i="1"/>
  <c r="AF7" i="1"/>
  <c r="AE7" i="1"/>
  <c r="AD7" i="1"/>
  <c r="AB7" i="1"/>
  <c r="AA7" i="1"/>
  <c r="Z7" i="1"/>
  <c r="Y7" i="1"/>
  <c r="X7" i="1"/>
  <c r="W7" i="1"/>
  <c r="P7" i="1"/>
  <c r="O7" i="1"/>
  <c r="AQ7" i="1" s="1"/>
  <c r="N7" i="1"/>
  <c r="AO7" i="1" s="1"/>
  <c r="M7" i="1"/>
  <c r="AU6" i="1"/>
  <c r="AT6" i="1"/>
  <c r="AP6" i="1"/>
  <c r="AO6" i="1"/>
  <c r="AV6" i="1" s="1"/>
  <c r="AJ6" i="1"/>
  <c r="AI6" i="1"/>
  <c r="AN6" i="1" s="1"/>
  <c r="AH6" i="1"/>
  <c r="AF6" i="1"/>
  <c r="AE6" i="1"/>
  <c r="AC6" i="1"/>
  <c r="AA6" i="1"/>
  <c r="Z6" i="1"/>
  <c r="Y6" i="1"/>
  <c r="X6" i="1"/>
  <c r="W6" i="1"/>
  <c r="P6" i="1"/>
  <c r="O6" i="1"/>
  <c r="AD6" i="1" s="1"/>
  <c r="N6" i="1"/>
  <c r="M6" i="1"/>
  <c r="AR6" i="1" s="1"/>
  <c r="AU5" i="1"/>
  <c r="AR5" i="1"/>
  <c r="AP5" i="1"/>
  <c r="AN5" i="1"/>
  <c r="AI5" i="1"/>
  <c r="AT5" i="1" s="1"/>
  <c r="AH5" i="1"/>
  <c r="AF5" i="1"/>
  <c r="AE5" i="1"/>
  <c r="AD5" i="1"/>
  <c r="AB5" i="1"/>
  <c r="AA5" i="1"/>
  <c r="Z5" i="1"/>
  <c r="Y5" i="1"/>
  <c r="X5" i="1"/>
  <c r="W5" i="1"/>
  <c r="P5" i="1"/>
  <c r="O5" i="1"/>
  <c r="AQ5" i="1" s="1"/>
  <c r="N5" i="1"/>
  <c r="AO5" i="1" s="1"/>
  <c r="M5" i="1"/>
  <c r="AU4" i="1"/>
  <c r="AT4" i="1"/>
  <c r="AQ4" i="1"/>
  <c r="AP4" i="1"/>
  <c r="AO4" i="1"/>
  <c r="AV4" i="1" s="1"/>
  <c r="AN4" i="1"/>
  <c r="AJ4" i="1"/>
  <c r="AI4" i="1"/>
  <c r="AH4" i="1"/>
  <c r="AF4" i="1"/>
  <c r="AE4" i="1"/>
  <c r="AC4" i="1"/>
  <c r="AA4" i="1"/>
  <c r="Z4" i="1"/>
  <c r="Y4" i="1"/>
  <c r="X4" i="1"/>
  <c r="W4" i="1"/>
  <c r="P4" i="1"/>
  <c r="O4" i="1"/>
  <c r="AD4" i="1" s="1"/>
  <c r="N4" i="1"/>
  <c r="M4" i="1"/>
  <c r="AR4" i="1" s="1"/>
  <c r="AP6" i="16"/>
  <c r="AI6" i="16"/>
  <c r="AH6" i="16"/>
  <c r="AF6" i="16"/>
  <c r="AE6" i="16"/>
  <c r="AB6" i="16"/>
  <c r="AA6" i="16"/>
  <c r="Z6" i="16"/>
  <c r="Y6" i="16"/>
  <c r="X6" i="16"/>
  <c r="W6" i="16"/>
  <c r="P6" i="16"/>
  <c r="O6" i="16"/>
  <c r="AD6" i="16" s="1"/>
  <c r="N6" i="16"/>
  <c r="AO6" i="16" s="1"/>
  <c r="AV6" i="16" s="1"/>
  <c r="M6" i="16"/>
  <c r="AI5" i="16"/>
  <c r="AH5" i="16"/>
  <c r="W5" i="16"/>
  <c r="AI4" i="16"/>
  <c r="AU3" i="16"/>
  <c r="AO3" i="16"/>
  <c r="AI3" i="16"/>
  <c r="AH3" i="16"/>
  <c r="AN2" i="16"/>
  <c r="AM2" i="16"/>
  <c r="AL2" i="16"/>
  <c r="AK2" i="16"/>
  <c r="AJ2" i="16"/>
  <c r="AA2" i="16"/>
  <c r="A2" i="16"/>
  <c r="AU1" i="16"/>
  <c r="AU6" i="16" s="1"/>
  <c r="AR1" i="16"/>
  <c r="AR3" i="16" s="1"/>
  <c r="AQ1" i="16"/>
  <c r="AQ3" i="16" s="1"/>
  <c r="AP1" i="16"/>
  <c r="AP3" i="16" s="1"/>
  <c r="AO1" i="16"/>
  <c r="AA1" i="16"/>
  <c r="A1" i="16"/>
  <c r="AJ1" i="16" s="1"/>
  <c r="AO22" i="15"/>
  <c r="AI22" i="15"/>
  <c r="AN22" i="15" s="1"/>
  <c r="AH22" i="15"/>
  <c r="AF22" i="15"/>
  <c r="AE22" i="15"/>
  <c r="AA22" i="15"/>
  <c r="Z22" i="15"/>
  <c r="Y22" i="15"/>
  <c r="X22" i="15"/>
  <c r="W22" i="15"/>
  <c r="P22" i="15"/>
  <c r="O22" i="15"/>
  <c r="AD22" i="15" s="1"/>
  <c r="N22" i="15"/>
  <c r="AC22" i="15" s="1"/>
  <c r="M22" i="15"/>
  <c r="AR22" i="15" s="1"/>
  <c r="AI21" i="15"/>
  <c r="AH21" i="15"/>
  <c r="W21" i="15"/>
  <c r="AT20" i="15"/>
  <c r="AO20" i="15"/>
  <c r="AN20" i="15"/>
  <c r="AI20" i="15"/>
  <c r="AH20" i="15"/>
  <c r="AF20" i="15"/>
  <c r="AE20" i="15"/>
  <c r="AD20" i="15"/>
  <c r="AC20" i="15"/>
  <c r="AA20" i="15"/>
  <c r="Z20" i="15"/>
  <c r="Y20" i="15"/>
  <c r="X20" i="15"/>
  <c r="W20" i="15"/>
  <c r="P20" i="15"/>
  <c r="O20" i="15"/>
  <c r="N20" i="15"/>
  <c r="M20" i="15"/>
  <c r="AI19" i="15"/>
  <c r="AH19" i="15"/>
  <c r="W19" i="15"/>
  <c r="AT18" i="15"/>
  <c r="AJ18" i="15"/>
  <c r="AI18" i="15"/>
  <c r="AN18" i="15" s="1"/>
  <c r="AH18" i="15"/>
  <c r="AF18" i="15"/>
  <c r="AE18" i="15"/>
  <c r="AC18" i="15"/>
  <c r="AB18" i="15"/>
  <c r="AA18" i="15"/>
  <c r="Z18" i="15"/>
  <c r="Y18" i="15"/>
  <c r="X18" i="15"/>
  <c r="W18" i="15"/>
  <c r="P18" i="15"/>
  <c r="O18" i="15"/>
  <c r="AD18" i="15" s="1"/>
  <c r="N18" i="15"/>
  <c r="AO18" i="15" s="1"/>
  <c r="M18" i="15"/>
  <c r="AI17" i="15"/>
  <c r="AH17" i="15"/>
  <c r="W17" i="15"/>
  <c r="AO16" i="15"/>
  <c r="AI16" i="15"/>
  <c r="AN16" i="15" s="1"/>
  <c r="AH16" i="15"/>
  <c r="AF16" i="15"/>
  <c r="AE16" i="15"/>
  <c r="AA16" i="15"/>
  <c r="Z16" i="15"/>
  <c r="Y16" i="15"/>
  <c r="X16" i="15"/>
  <c r="W16" i="15"/>
  <c r="P16" i="15"/>
  <c r="O16" i="15"/>
  <c r="AD16" i="15" s="1"/>
  <c r="N16" i="15"/>
  <c r="AC16" i="15" s="1"/>
  <c r="M16" i="15"/>
  <c r="AR16" i="15" s="1"/>
  <c r="AI15" i="15"/>
  <c r="AH15" i="15"/>
  <c r="W15" i="15"/>
  <c r="AT14" i="15"/>
  <c r="AO14" i="15"/>
  <c r="AN14" i="15"/>
  <c r="AI14" i="15"/>
  <c r="AH14" i="15"/>
  <c r="AF14" i="15"/>
  <c r="AE14" i="15"/>
  <c r="AD14" i="15"/>
  <c r="AC14" i="15"/>
  <c r="AA14" i="15"/>
  <c r="Z14" i="15"/>
  <c r="Y14" i="15"/>
  <c r="X14" i="15"/>
  <c r="W14" i="15"/>
  <c r="P14" i="15"/>
  <c r="O14" i="15"/>
  <c r="N14" i="15"/>
  <c r="M14" i="15"/>
  <c r="AI13" i="15"/>
  <c r="AH13" i="15"/>
  <c r="W13" i="15"/>
  <c r="AT12" i="15"/>
  <c r="AJ12" i="15"/>
  <c r="AI12" i="15"/>
  <c r="AN12" i="15" s="1"/>
  <c r="AH12" i="15"/>
  <c r="AF12" i="15"/>
  <c r="AE12" i="15"/>
  <c r="AC12" i="15"/>
  <c r="AB12" i="15"/>
  <c r="AA12" i="15"/>
  <c r="Z12" i="15"/>
  <c r="Y12" i="15"/>
  <c r="X12" i="15"/>
  <c r="W12" i="15"/>
  <c r="P12" i="15"/>
  <c r="O12" i="15"/>
  <c r="AD12" i="15" s="1"/>
  <c r="N12" i="15"/>
  <c r="AO12" i="15" s="1"/>
  <c r="M12" i="15"/>
  <c r="AI11" i="15"/>
  <c r="AH11" i="15"/>
  <c r="W11" i="15"/>
  <c r="AP10" i="15"/>
  <c r="AO10" i="15"/>
  <c r="AI10" i="15"/>
  <c r="AN10" i="15" s="1"/>
  <c r="AH10" i="15"/>
  <c r="AF10" i="15"/>
  <c r="AE10" i="15"/>
  <c r="AA10" i="15"/>
  <c r="Z10" i="15"/>
  <c r="Y10" i="15"/>
  <c r="X10" i="15"/>
  <c r="W10" i="15"/>
  <c r="P10" i="15"/>
  <c r="O10" i="15"/>
  <c r="N10" i="15"/>
  <c r="AC10" i="15" s="1"/>
  <c r="M10" i="15"/>
  <c r="AR10" i="15" s="1"/>
  <c r="AI9" i="15"/>
  <c r="AH9" i="15"/>
  <c r="W9" i="15"/>
  <c r="AT8" i="15"/>
  <c r="AO8" i="15"/>
  <c r="AN8" i="15"/>
  <c r="AI8" i="15"/>
  <c r="AH8" i="15"/>
  <c r="AF8" i="15"/>
  <c r="AE8" i="15"/>
  <c r="AD8" i="15"/>
  <c r="AC8" i="15"/>
  <c r="AA8" i="15"/>
  <c r="Z8" i="15"/>
  <c r="Y8" i="15"/>
  <c r="X8" i="15"/>
  <c r="W8" i="15"/>
  <c r="P8" i="15"/>
  <c r="O8" i="15"/>
  <c r="N8" i="15"/>
  <c r="M8" i="15"/>
  <c r="AI7" i="15"/>
  <c r="AH7" i="15"/>
  <c r="W7" i="15"/>
  <c r="AT6" i="15"/>
  <c r="AP6" i="15"/>
  <c r="AJ6" i="15"/>
  <c r="AI6" i="15"/>
  <c r="AN6" i="15" s="1"/>
  <c r="AH6" i="15"/>
  <c r="AF6" i="15"/>
  <c r="AE6" i="15"/>
  <c r="AC6" i="15"/>
  <c r="AB6" i="15"/>
  <c r="AA6" i="15"/>
  <c r="Z6" i="15"/>
  <c r="Y6" i="15"/>
  <c r="X6" i="15"/>
  <c r="W6" i="15"/>
  <c r="P6" i="15"/>
  <c r="O6" i="15"/>
  <c r="AD6" i="15" s="1"/>
  <c r="N6" i="15"/>
  <c r="AO6" i="15" s="1"/>
  <c r="AV6" i="15" s="1"/>
  <c r="M6" i="15"/>
  <c r="AI5" i="15"/>
  <c r="AH5" i="15"/>
  <c r="W5" i="15"/>
  <c r="AI4" i="15"/>
  <c r="AP3" i="15"/>
  <c r="AO3" i="15"/>
  <c r="AI3" i="15"/>
  <c r="AH3" i="15"/>
  <c r="AN2" i="15"/>
  <c r="AM2" i="15"/>
  <c r="AL2" i="15"/>
  <c r="AK2" i="15"/>
  <c r="AJ2" i="15"/>
  <c r="AJ20" i="15" s="1"/>
  <c r="AA2" i="15"/>
  <c r="A2" i="15"/>
  <c r="AU1" i="15"/>
  <c r="AR1" i="15"/>
  <c r="AR3" i="15" s="1"/>
  <c r="AQ1" i="15"/>
  <c r="AQ3" i="15" s="1"/>
  <c r="AP1" i="15"/>
  <c r="AP18" i="15" s="1"/>
  <c r="AO1" i="15"/>
  <c r="AH1" i="15"/>
  <c r="AH2" i="15" s="1"/>
  <c r="AA1" i="15"/>
  <c r="A1" i="15"/>
  <c r="AJ1" i="15" s="1"/>
  <c r="AP10" i="14"/>
  <c r="AI10" i="14"/>
  <c r="AH10" i="14"/>
  <c r="AF10" i="14"/>
  <c r="AE10" i="14"/>
  <c r="AB10" i="14"/>
  <c r="AA10" i="14"/>
  <c r="Z10" i="14"/>
  <c r="Y10" i="14"/>
  <c r="X10" i="14"/>
  <c r="W10" i="14"/>
  <c r="P10" i="14"/>
  <c r="O10" i="14"/>
  <c r="AD10" i="14" s="1"/>
  <c r="N10" i="14"/>
  <c r="AO10" i="14" s="1"/>
  <c r="M10" i="14"/>
  <c r="AI9" i="14"/>
  <c r="AH9" i="14"/>
  <c r="W9" i="14"/>
  <c r="AU8" i="14"/>
  <c r="AT8" i="14"/>
  <c r="AP8" i="14"/>
  <c r="AN8" i="14"/>
  <c r="AI8" i="14"/>
  <c r="AH8" i="14"/>
  <c r="AF8" i="14"/>
  <c r="AE8" i="14"/>
  <c r="AD8" i="14"/>
  <c r="AA8" i="14"/>
  <c r="Z8" i="14"/>
  <c r="Y8" i="14"/>
  <c r="X8" i="14"/>
  <c r="W8" i="14"/>
  <c r="P8" i="14"/>
  <c r="O8" i="14"/>
  <c r="N8" i="14"/>
  <c r="M8" i="14"/>
  <c r="AI7" i="14"/>
  <c r="AH7" i="14"/>
  <c r="W7" i="14"/>
  <c r="AU6" i="14"/>
  <c r="AN6" i="14"/>
  <c r="AI6" i="14"/>
  <c r="AH6" i="14"/>
  <c r="AF6" i="14"/>
  <c r="AE6" i="14"/>
  <c r="AD6" i="14"/>
  <c r="AC6" i="14"/>
  <c r="AB6" i="14"/>
  <c r="AA6" i="14"/>
  <c r="Z6" i="14"/>
  <c r="Y6" i="14"/>
  <c r="X6" i="14"/>
  <c r="W6" i="14"/>
  <c r="P6" i="14"/>
  <c r="O6" i="14"/>
  <c r="N6" i="14"/>
  <c r="M6" i="14"/>
  <c r="AI5" i="14"/>
  <c r="AH5" i="14"/>
  <c r="W5" i="14"/>
  <c r="AI4" i="14"/>
  <c r="AP3" i="14"/>
  <c r="AO3" i="14"/>
  <c r="AI3" i="14"/>
  <c r="AH3" i="14"/>
  <c r="AN2" i="14"/>
  <c r="AM2" i="14"/>
  <c r="AL2" i="14"/>
  <c r="AK2" i="14"/>
  <c r="AJ2" i="14"/>
  <c r="AJ8" i="14" s="1"/>
  <c r="AA2" i="14"/>
  <c r="A2" i="14"/>
  <c r="AU1" i="14"/>
  <c r="AU10" i="14" s="1"/>
  <c r="AR1" i="14"/>
  <c r="AR3" i="14" s="1"/>
  <c r="AQ1" i="14"/>
  <c r="AQ3" i="14" s="1"/>
  <c r="AP1" i="14"/>
  <c r="AP6" i="14" s="1"/>
  <c r="AO1" i="14"/>
  <c r="AO6" i="14" s="1"/>
  <c r="AJ1" i="14"/>
  <c r="AH1" i="14"/>
  <c r="AH2" i="14" s="1"/>
  <c r="AA1" i="14"/>
  <c r="A1" i="14"/>
  <c r="AT6" i="13"/>
  <c r="AJ6" i="13"/>
  <c r="AI6" i="13"/>
  <c r="AN6" i="13" s="1"/>
  <c r="AH6" i="13"/>
  <c r="AF6" i="13"/>
  <c r="AE6" i="13"/>
  <c r="AC6" i="13"/>
  <c r="AB6" i="13"/>
  <c r="AA6" i="13"/>
  <c r="Z6" i="13"/>
  <c r="Y6" i="13"/>
  <c r="X6" i="13"/>
  <c r="W6" i="13"/>
  <c r="P6" i="13"/>
  <c r="O6" i="13"/>
  <c r="N6" i="13"/>
  <c r="AO6" i="13" s="1"/>
  <c r="M6" i="13"/>
  <c r="AI5" i="13"/>
  <c r="AH5" i="13"/>
  <c r="W5" i="13"/>
  <c r="AI4" i="13"/>
  <c r="AP3" i="13"/>
  <c r="AO3" i="13"/>
  <c r="AI3" i="13"/>
  <c r="AH3" i="13"/>
  <c r="AN2" i="13"/>
  <c r="AM2" i="13"/>
  <c r="AL2" i="13"/>
  <c r="AK2" i="13"/>
  <c r="AJ2" i="13"/>
  <c r="AA2" i="13"/>
  <c r="A2" i="13"/>
  <c r="AU1" i="13"/>
  <c r="AR1" i="13"/>
  <c r="AR3" i="13" s="1"/>
  <c r="AQ1" i="13"/>
  <c r="AQ3" i="13" s="1"/>
  <c r="AP1" i="13"/>
  <c r="AP6" i="13" s="1"/>
  <c r="AO1" i="13"/>
  <c r="AH1" i="13"/>
  <c r="AH2" i="13" s="1"/>
  <c r="AA1" i="13"/>
  <c r="A1" i="13"/>
  <c r="AJ1" i="13" s="1"/>
  <c r="AI18" i="12"/>
  <c r="AH18" i="12"/>
  <c r="AF18" i="12"/>
  <c r="AE18" i="12"/>
  <c r="AB18" i="12"/>
  <c r="AA18" i="12"/>
  <c r="Z18" i="12"/>
  <c r="Y18" i="12"/>
  <c r="X18" i="12"/>
  <c r="W18" i="12"/>
  <c r="P18" i="12"/>
  <c r="O18" i="12"/>
  <c r="AD18" i="12" s="1"/>
  <c r="N18" i="12"/>
  <c r="M18" i="12"/>
  <c r="AI17" i="12"/>
  <c r="AH17" i="12"/>
  <c r="W17" i="12"/>
  <c r="AU16" i="12"/>
  <c r="AT16" i="12"/>
  <c r="AP16" i="12"/>
  <c r="AN16" i="12"/>
  <c r="AI16" i="12"/>
  <c r="AH16" i="12"/>
  <c r="AF16" i="12"/>
  <c r="AE16" i="12"/>
  <c r="AD16" i="12"/>
  <c r="AA16" i="12"/>
  <c r="Z16" i="12"/>
  <c r="Y16" i="12"/>
  <c r="X16" i="12"/>
  <c r="W16" i="12"/>
  <c r="P16" i="12"/>
  <c r="O16" i="12"/>
  <c r="N16" i="12"/>
  <c r="M16" i="12"/>
  <c r="AI15" i="12"/>
  <c r="AH15" i="12"/>
  <c r="W15" i="12"/>
  <c r="AU14" i="12"/>
  <c r="AN14" i="12"/>
  <c r="AI14" i="12"/>
  <c r="AH14" i="12"/>
  <c r="AF14" i="12"/>
  <c r="AE14" i="12"/>
  <c r="AD14" i="12"/>
  <c r="AC14" i="12"/>
  <c r="AB14" i="12"/>
  <c r="AA14" i="12"/>
  <c r="Z14" i="12"/>
  <c r="Y14" i="12"/>
  <c r="X14" i="12"/>
  <c r="W14" i="12"/>
  <c r="P14" i="12"/>
  <c r="O14" i="12"/>
  <c r="N14" i="12"/>
  <c r="M14" i="12"/>
  <c r="AI13" i="12"/>
  <c r="AH13" i="12"/>
  <c r="W13" i="12"/>
  <c r="AP12" i="12"/>
  <c r="AI12" i="12"/>
  <c r="AH12" i="12"/>
  <c r="AF12" i="12"/>
  <c r="AE12" i="12"/>
  <c r="AB12" i="12"/>
  <c r="AA12" i="12"/>
  <c r="Z12" i="12"/>
  <c r="Y12" i="12"/>
  <c r="X12" i="12"/>
  <c r="W12" i="12"/>
  <c r="P12" i="12"/>
  <c r="O12" i="12"/>
  <c r="AD12" i="12" s="1"/>
  <c r="N12" i="12"/>
  <c r="M12" i="12"/>
  <c r="AI11" i="12"/>
  <c r="AH11" i="12"/>
  <c r="W11" i="12"/>
  <c r="AU10" i="12"/>
  <c r="AT10" i="12"/>
  <c r="AN10" i="12"/>
  <c r="AI10" i="12"/>
  <c r="AH10" i="12"/>
  <c r="AF10" i="12"/>
  <c r="AE10" i="12"/>
  <c r="AD10" i="12"/>
  <c r="AA10" i="12"/>
  <c r="Z10" i="12"/>
  <c r="Y10" i="12"/>
  <c r="X10" i="12"/>
  <c r="W10" i="12"/>
  <c r="P10" i="12"/>
  <c r="O10" i="12"/>
  <c r="AQ10" i="12" s="1"/>
  <c r="N10" i="12"/>
  <c r="M10" i="12"/>
  <c r="AI9" i="12"/>
  <c r="AH9" i="12"/>
  <c r="W9" i="12"/>
  <c r="AU8" i="12"/>
  <c r="AI8" i="12"/>
  <c r="AH8" i="12"/>
  <c r="AF8" i="12"/>
  <c r="AE8" i="12"/>
  <c r="AD8" i="12"/>
  <c r="AC8" i="12"/>
  <c r="AB8" i="12"/>
  <c r="AA8" i="12"/>
  <c r="Z8" i="12"/>
  <c r="Y8" i="12"/>
  <c r="X8" i="12"/>
  <c r="W8" i="12"/>
  <c r="P8" i="12"/>
  <c r="O8" i="12"/>
  <c r="AQ8" i="12" s="1"/>
  <c r="N8" i="12"/>
  <c r="M8" i="12"/>
  <c r="AI7" i="12"/>
  <c r="AH7" i="12"/>
  <c r="W7" i="12"/>
  <c r="AR6" i="12"/>
  <c r="AI6" i="12"/>
  <c r="AH6" i="12"/>
  <c r="AF6" i="12"/>
  <c r="AE6" i="12"/>
  <c r="AB6" i="12"/>
  <c r="AA6" i="12"/>
  <c r="Z6" i="12"/>
  <c r="Y6" i="12"/>
  <c r="X6" i="12"/>
  <c r="W6" i="12"/>
  <c r="P6" i="12"/>
  <c r="O6" i="12"/>
  <c r="AD6" i="12" s="1"/>
  <c r="N6" i="12"/>
  <c r="M6" i="12"/>
  <c r="AI5" i="12"/>
  <c r="AH5" i="12"/>
  <c r="W5" i="12"/>
  <c r="AI4" i="12"/>
  <c r="AU3" i="12"/>
  <c r="AO3" i="12"/>
  <c r="AI3" i="12"/>
  <c r="AH3" i="12"/>
  <c r="AN2" i="12"/>
  <c r="AM2" i="12"/>
  <c r="AL2" i="12"/>
  <c r="AK2" i="12"/>
  <c r="AJ2" i="12"/>
  <c r="AJ16" i="12" s="1"/>
  <c r="AA2" i="12"/>
  <c r="A2" i="12"/>
  <c r="AU1" i="12"/>
  <c r="AU18" i="12" s="1"/>
  <c r="AR1" i="12"/>
  <c r="AR3" i="12" s="1"/>
  <c r="AQ1" i="12"/>
  <c r="AQ3" i="12" s="1"/>
  <c r="AP1" i="12"/>
  <c r="AP10" i="12" s="1"/>
  <c r="AO1" i="12"/>
  <c r="AO14" i="12" s="1"/>
  <c r="AA1" i="12"/>
  <c r="A1" i="12"/>
  <c r="AJ1" i="12" s="1"/>
  <c r="AV6" i="11"/>
  <c r="AU6" i="11"/>
  <c r="AP6" i="11"/>
  <c r="AO6" i="11"/>
  <c r="AI6" i="11"/>
  <c r="AT6" i="11" s="1"/>
  <c r="AH6" i="11"/>
  <c r="AF6" i="11"/>
  <c r="AE6" i="11"/>
  <c r="AA6" i="11"/>
  <c r="Z6" i="11"/>
  <c r="Y6" i="11"/>
  <c r="X6" i="11"/>
  <c r="W6" i="11"/>
  <c r="P6" i="11"/>
  <c r="O6" i="11"/>
  <c r="N6" i="11"/>
  <c r="AC6" i="11" s="1"/>
  <c r="M6" i="11"/>
  <c r="AI5" i="11"/>
  <c r="AH5" i="11"/>
  <c r="W5" i="11"/>
  <c r="AI4" i="11"/>
  <c r="AU3" i="11"/>
  <c r="AR3" i="11"/>
  <c r="AI3" i="11"/>
  <c r="AH3" i="11"/>
  <c r="AN2" i="11"/>
  <c r="AN6" i="11" s="1"/>
  <c r="AM2" i="11"/>
  <c r="AL2" i="11"/>
  <c r="AK2" i="11"/>
  <c r="AJ2" i="11"/>
  <c r="AA2" i="11"/>
  <c r="A2" i="11"/>
  <c r="AU1" i="11"/>
  <c r="AR1" i="11"/>
  <c r="AQ1" i="11"/>
  <c r="AQ3" i="11" s="1"/>
  <c r="AP1" i="11"/>
  <c r="AP3" i="11" s="1"/>
  <c r="AO1" i="11"/>
  <c r="AO3" i="11" s="1"/>
  <c r="AA1" i="11"/>
  <c r="A1" i="11"/>
  <c r="AU22" i="10"/>
  <c r="AT22" i="10"/>
  <c r="AI22" i="10"/>
  <c r="AH22" i="10"/>
  <c r="AF22" i="10"/>
  <c r="AE22" i="10"/>
  <c r="AD22" i="10"/>
  <c r="AA22" i="10"/>
  <c r="Z22" i="10"/>
  <c r="Y22" i="10"/>
  <c r="X22" i="10"/>
  <c r="W22" i="10"/>
  <c r="P22" i="10"/>
  <c r="O22" i="10"/>
  <c r="N22" i="10"/>
  <c r="M22" i="10"/>
  <c r="AR22" i="10" s="1"/>
  <c r="AI21" i="10"/>
  <c r="AH21" i="10"/>
  <c r="W21" i="10"/>
  <c r="AU20" i="10"/>
  <c r="AR20" i="10"/>
  <c r="AN20" i="10"/>
  <c r="AI20" i="10"/>
  <c r="AH20" i="10"/>
  <c r="AF20" i="10"/>
  <c r="AE20" i="10"/>
  <c r="AD20" i="10"/>
  <c r="AC20" i="10"/>
  <c r="AB20" i="10"/>
  <c r="AA20" i="10"/>
  <c r="Z20" i="10"/>
  <c r="Y20" i="10"/>
  <c r="X20" i="10"/>
  <c r="W20" i="10"/>
  <c r="P20" i="10"/>
  <c r="O20" i="10"/>
  <c r="N20" i="10"/>
  <c r="M20" i="10"/>
  <c r="AI19" i="10"/>
  <c r="AH19" i="10"/>
  <c r="W19" i="10"/>
  <c r="AI18" i="10"/>
  <c r="AH18" i="10"/>
  <c r="AF18" i="10"/>
  <c r="AE18" i="10"/>
  <c r="AB18" i="10"/>
  <c r="AA18" i="10"/>
  <c r="Z18" i="10"/>
  <c r="Y18" i="10"/>
  <c r="X18" i="10"/>
  <c r="W18" i="10"/>
  <c r="P18" i="10"/>
  <c r="O18" i="10"/>
  <c r="AD18" i="10" s="1"/>
  <c r="N18" i="10"/>
  <c r="M18" i="10"/>
  <c r="AI17" i="10"/>
  <c r="AH17" i="10"/>
  <c r="W17" i="10"/>
  <c r="AU16" i="10"/>
  <c r="AT16" i="10"/>
  <c r="AN16" i="10"/>
  <c r="AI16" i="10"/>
  <c r="AH16" i="10"/>
  <c r="AF16" i="10"/>
  <c r="AE16" i="10"/>
  <c r="AD16" i="10"/>
  <c r="AA16" i="10"/>
  <c r="Z16" i="10"/>
  <c r="Y16" i="10"/>
  <c r="X16" i="10"/>
  <c r="W16" i="10"/>
  <c r="P16" i="10"/>
  <c r="O16" i="10"/>
  <c r="AQ16" i="10" s="1"/>
  <c r="N16" i="10"/>
  <c r="M16" i="10"/>
  <c r="AI15" i="10"/>
  <c r="AH15" i="10"/>
  <c r="W15" i="10"/>
  <c r="AU14" i="10"/>
  <c r="AI14" i="10"/>
  <c r="AN14" i="10" s="1"/>
  <c r="AH14" i="10"/>
  <c r="AF14" i="10"/>
  <c r="AE14" i="10"/>
  <c r="AD14" i="10"/>
  <c r="AC14" i="10"/>
  <c r="AB14" i="10"/>
  <c r="AA14" i="10"/>
  <c r="Z14" i="10"/>
  <c r="Y14" i="10"/>
  <c r="X14" i="10"/>
  <c r="W14" i="10"/>
  <c r="P14" i="10"/>
  <c r="O14" i="10"/>
  <c r="N14" i="10"/>
  <c r="M14" i="10"/>
  <c r="AI13" i="10"/>
  <c r="AH13" i="10"/>
  <c r="W13" i="10"/>
  <c r="AP12" i="10"/>
  <c r="AI12" i="10"/>
  <c r="AH12" i="10"/>
  <c r="AF12" i="10"/>
  <c r="AE12" i="10"/>
  <c r="AB12" i="10"/>
  <c r="AA12" i="10"/>
  <c r="Z12" i="10"/>
  <c r="Y12" i="10"/>
  <c r="X12" i="10"/>
  <c r="W12" i="10"/>
  <c r="P12" i="10"/>
  <c r="O12" i="10"/>
  <c r="N12" i="10"/>
  <c r="M12" i="10"/>
  <c r="AI11" i="10"/>
  <c r="AH11" i="10"/>
  <c r="W11" i="10"/>
  <c r="AU10" i="10"/>
  <c r="AT10" i="10"/>
  <c r="AN10" i="10"/>
  <c r="AI10" i="10"/>
  <c r="AH10" i="10"/>
  <c r="AF10" i="10"/>
  <c r="AE10" i="10"/>
  <c r="AD10" i="10"/>
  <c r="AA10" i="10"/>
  <c r="Z10" i="10"/>
  <c r="Y10" i="10"/>
  <c r="X10" i="10"/>
  <c r="W10" i="10"/>
  <c r="P10" i="10"/>
  <c r="O10" i="10"/>
  <c r="N10" i="10"/>
  <c r="M10" i="10"/>
  <c r="AI9" i="10"/>
  <c r="AH9" i="10"/>
  <c r="W9" i="10"/>
  <c r="AU8" i="10"/>
  <c r="AT8" i="10"/>
  <c r="AI8" i="10"/>
  <c r="AN8" i="10" s="1"/>
  <c r="AH8" i="10"/>
  <c r="AF8" i="10"/>
  <c r="AE8" i="10"/>
  <c r="AC8" i="10"/>
  <c r="AB8" i="10"/>
  <c r="AA8" i="10"/>
  <c r="Z8" i="10"/>
  <c r="Y8" i="10"/>
  <c r="X8" i="10"/>
  <c r="W8" i="10"/>
  <c r="P8" i="10"/>
  <c r="O8" i="10"/>
  <c r="N8" i="10"/>
  <c r="M8" i="10"/>
  <c r="AI7" i="10"/>
  <c r="AH7" i="10"/>
  <c r="W7" i="10"/>
  <c r="AI6" i="10"/>
  <c r="AH6" i="10"/>
  <c r="AF6" i="10"/>
  <c r="AE6" i="10"/>
  <c r="AA6" i="10"/>
  <c r="Z6" i="10"/>
  <c r="Y6" i="10"/>
  <c r="X6" i="10"/>
  <c r="W6" i="10"/>
  <c r="P6" i="10"/>
  <c r="O6" i="10"/>
  <c r="AD6" i="10" s="1"/>
  <c r="N6" i="10"/>
  <c r="AC6" i="10" s="1"/>
  <c r="M6" i="10"/>
  <c r="AI5" i="10"/>
  <c r="AH5" i="10"/>
  <c r="W5" i="10"/>
  <c r="AI4" i="10"/>
  <c r="AU3" i="10"/>
  <c r="AR3" i="10"/>
  <c r="AO3" i="10"/>
  <c r="AI3" i="10"/>
  <c r="AH3" i="10"/>
  <c r="AN2" i="10"/>
  <c r="AN22" i="10" s="1"/>
  <c r="AM2" i="10"/>
  <c r="AL2" i="10"/>
  <c r="AK2" i="10"/>
  <c r="AJ2" i="10"/>
  <c r="AA2" i="10"/>
  <c r="A2" i="10"/>
  <c r="AU1" i="10"/>
  <c r="AU18" i="10" s="1"/>
  <c r="AR1" i="10"/>
  <c r="AR12" i="10" s="1"/>
  <c r="AQ1" i="10"/>
  <c r="AQ3" i="10" s="1"/>
  <c r="AP1" i="10"/>
  <c r="AP16" i="10" s="1"/>
  <c r="AO1" i="10"/>
  <c r="AA1" i="10"/>
  <c r="A1" i="10"/>
  <c r="AU6" i="9"/>
  <c r="AO6" i="9"/>
  <c r="AN6" i="9"/>
  <c r="AI6" i="9"/>
  <c r="AT6" i="9" s="1"/>
  <c r="AH6" i="9"/>
  <c r="AF6" i="9"/>
  <c r="AE6" i="9"/>
  <c r="AA6" i="9"/>
  <c r="Z6" i="9"/>
  <c r="Y6" i="9"/>
  <c r="X6" i="9"/>
  <c r="W6" i="9"/>
  <c r="P6" i="9"/>
  <c r="O6" i="9"/>
  <c r="N6" i="9"/>
  <c r="AC6" i="9" s="1"/>
  <c r="M6" i="9"/>
  <c r="AI5" i="9"/>
  <c r="AH5" i="9"/>
  <c r="W5" i="9"/>
  <c r="AI4" i="9"/>
  <c r="AU3" i="9"/>
  <c r="AR3" i="9"/>
  <c r="AI3" i="9"/>
  <c r="AH3" i="9"/>
  <c r="AN2" i="9"/>
  <c r="AM2" i="9"/>
  <c r="AL2" i="9"/>
  <c r="AK2" i="9"/>
  <c r="AJ2" i="9"/>
  <c r="AH2" i="9"/>
  <c r="AA2" i="9"/>
  <c r="A2" i="9"/>
  <c r="AU1" i="9"/>
  <c r="AR1" i="9"/>
  <c r="AQ1" i="9"/>
  <c r="AQ3" i="9" s="1"/>
  <c r="AP1" i="9"/>
  <c r="AO1" i="9"/>
  <c r="AO3" i="9" s="1"/>
  <c r="AJ1" i="9"/>
  <c r="AA1" i="9"/>
  <c r="A1" i="9"/>
  <c r="AH1" i="9" s="1"/>
  <c r="AT52" i="8"/>
  <c r="AJ52" i="8"/>
  <c r="AI52" i="8"/>
  <c r="AH52" i="8"/>
  <c r="AF52" i="8"/>
  <c r="AE52" i="8"/>
  <c r="AD52" i="8"/>
  <c r="AC52" i="8"/>
  <c r="AA52" i="8"/>
  <c r="Z52" i="8"/>
  <c r="Y52" i="8"/>
  <c r="X52" i="8"/>
  <c r="W52" i="8"/>
  <c r="P52" i="8"/>
  <c r="O52" i="8"/>
  <c r="N52" i="8"/>
  <c r="AO52" i="8" s="1"/>
  <c r="M52" i="8"/>
  <c r="AI51" i="8"/>
  <c r="AH51" i="8"/>
  <c r="W51" i="8"/>
  <c r="AO50" i="8"/>
  <c r="AI50" i="8"/>
  <c r="AT50" i="8" s="1"/>
  <c r="AH50" i="8"/>
  <c r="AF50" i="8"/>
  <c r="AE50" i="8"/>
  <c r="AD50" i="8"/>
  <c r="AA50" i="8"/>
  <c r="Z50" i="8"/>
  <c r="Y50" i="8"/>
  <c r="X50" i="8"/>
  <c r="W50" i="8"/>
  <c r="P50" i="8"/>
  <c r="O50" i="8"/>
  <c r="N50" i="8"/>
  <c r="AC50" i="8" s="1"/>
  <c r="M50" i="8"/>
  <c r="AI49" i="8"/>
  <c r="AH49" i="8"/>
  <c r="W49" i="8"/>
  <c r="AT48" i="8"/>
  <c r="AJ48" i="8"/>
  <c r="AI48" i="8"/>
  <c r="AH48" i="8"/>
  <c r="AF48" i="8"/>
  <c r="AE48" i="8"/>
  <c r="AD48" i="8"/>
  <c r="AC48" i="8"/>
  <c r="AB48" i="8"/>
  <c r="AA48" i="8"/>
  <c r="Z48" i="8"/>
  <c r="Y48" i="8"/>
  <c r="X48" i="8"/>
  <c r="W48" i="8"/>
  <c r="P48" i="8"/>
  <c r="O48" i="8"/>
  <c r="N48" i="8"/>
  <c r="AO48" i="8" s="1"/>
  <c r="M48" i="8"/>
  <c r="AI47" i="8"/>
  <c r="AH47" i="8"/>
  <c r="W47" i="8"/>
  <c r="AI46" i="8"/>
  <c r="AN46" i="8" s="1"/>
  <c r="AH46" i="8"/>
  <c r="AF46" i="8"/>
  <c r="AE46" i="8"/>
  <c r="AB46" i="8"/>
  <c r="AA46" i="8"/>
  <c r="Z46" i="8"/>
  <c r="Y46" i="8"/>
  <c r="X46" i="8"/>
  <c r="W46" i="8"/>
  <c r="P46" i="8"/>
  <c r="O46" i="8"/>
  <c r="AD46" i="8" s="1"/>
  <c r="N46" i="8"/>
  <c r="AC46" i="8" s="1"/>
  <c r="M46" i="8"/>
  <c r="AI45" i="8"/>
  <c r="AH45" i="8"/>
  <c r="W45" i="8"/>
  <c r="AO44" i="8"/>
  <c r="AI44" i="8"/>
  <c r="AN44" i="8" s="1"/>
  <c r="AH44" i="8"/>
  <c r="AF44" i="8"/>
  <c r="AE44" i="8"/>
  <c r="AD44" i="8"/>
  <c r="AA44" i="8"/>
  <c r="Z44" i="8"/>
  <c r="Y44" i="8"/>
  <c r="X44" i="8"/>
  <c r="W44" i="8"/>
  <c r="P44" i="8"/>
  <c r="O44" i="8"/>
  <c r="AQ44" i="8" s="1"/>
  <c r="N44" i="8"/>
  <c r="AC44" i="8" s="1"/>
  <c r="M44" i="8"/>
  <c r="AI43" i="8"/>
  <c r="AH43" i="8"/>
  <c r="W43" i="8"/>
  <c r="AT42" i="8"/>
  <c r="AJ42" i="8"/>
  <c r="AI42" i="8"/>
  <c r="AH42" i="8"/>
  <c r="AF42" i="8"/>
  <c r="AE42" i="8"/>
  <c r="AD42" i="8"/>
  <c r="AC42" i="8"/>
  <c r="AB42" i="8"/>
  <c r="AA42" i="8"/>
  <c r="Z42" i="8"/>
  <c r="Y42" i="8"/>
  <c r="X42" i="8"/>
  <c r="W42" i="8"/>
  <c r="P42" i="8"/>
  <c r="O42" i="8"/>
  <c r="N42" i="8"/>
  <c r="AO42" i="8" s="1"/>
  <c r="M42" i="8"/>
  <c r="AI41" i="8"/>
  <c r="AH41" i="8"/>
  <c r="W41" i="8"/>
  <c r="AI40" i="8"/>
  <c r="AN40" i="8" s="1"/>
  <c r="AH40" i="8"/>
  <c r="AF40" i="8"/>
  <c r="AE40" i="8"/>
  <c r="AB40" i="8"/>
  <c r="AA40" i="8"/>
  <c r="Z40" i="8"/>
  <c r="Y40" i="8"/>
  <c r="X40" i="8"/>
  <c r="W40" i="8"/>
  <c r="P40" i="8"/>
  <c r="O40" i="8"/>
  <c r="AD40" i="8" s="1"/>
  <c r="N40" i="8"/>
  <c r="AC40" i="8" s="1"/>
  <c r="M40" i="8"/>
  <c r="AI39" i="8"/>
  <c r="AH39" i="8"/>
  <c r="W39" i="8"/>
  <c r="AO38" i="8"/>
  <c r="AI38" i="8"/>
  <c r="AN38" i="8" s="1"/>
  <c r="AH38" i="8"/>
  <c r="AF38" i="8"/>
  <c r="AE38" i="8"/>
  <c r="AD38" i="8"/>
  <c r="AA38" i="8"/>
  <c r="Z38" i="8"/>
  <c r="Y38" i="8"/>
  <c r="X38" i="8"/>
  <c r="W38" i="8"/>
  <c r="P38" i="8"/>
  <c r="O38" i="8"/>
  <c r="N38" i="8"/>
  <c r="AC38" i="8" s="1"/>
  <c r="M38" i="8"/>
  <c r="AI37" i="8"/>
  <c r="AH37" i="8"/>
  <c r="W37" i="8"/>
  <c r="AT36" i="8"/>
  <c r="AJ36" i="8"/>
  <c r="AI36" i="8"/>
  <c r="AH36" i="8"/>
  <c r="AF36" i="8"/>
  <c r="AE36" i="8"/>
  <c r="AD36" i="8"/>
  <c r="AC36" i="8"/>
  <c r="AB36" i="8"/>
  <c r="AA36" i="8"/>
  <c r="Z36" i="8"/>
  <c r="Y36" i="8"/>
  <c r="X36" i="8"/>
  <c r="W36" i="8"/>
  <c r="P36" i="8"/>
  <c r="O36" i="8"/>
  <c r="N36" i="8"/>
  <c r="AO36" i="8" s="1"/>
  <c r="M36" i="8"/>
  <c r="AI35" i="8"/>
  <c r="AH35" i="8"/>
  <c r="W35" i="8"/>
  <c r="AI34" i="8"/>
  <c r="AN34" i="8" s="1"/>
  <c r="AH34" i="8"/>
  <c r="AF34" i="8"/>
  <c r="AE34" i="8"/>
  <c r="AB34" i="8"/>
  <c r="AA34" i="8"/>
  <c r="Z34" i="8"/>
  <c r="Y34" i="8"/>
  <c r="X34" i="8"/>
  <c r="W34" i="8"/>
  <c r="P34" i="8"/>
  <c r="O34" i="8"/>
  <c r="AD34" i="8" s="1"/>
  <c r="N34" i="8"/>
  <c r="AC34" i="8" s="1"/>
  <c r="M34" i="8"/>
  <c r="AI33" i="8"/>
  <c r="AH33" i="8"/>
  <c r="W33" i="8"/>
  <c r="AO32" i="8"/>
  <c r="AI32" i="8"/>
  <c r="AN32" i="8" s="1"/>
  <c r="AH32" i="8"/>
  <c r="AF32" i="8"/>
  <c r="AE32" i="8"/>
  <c r="AD32" i="8"/>
  <c r="AA32" i="8"/>
  <c r="Z32" i="8"/>
  <c r="Y32" i="8"/>
  <c r="X32" i="8"/>
  <c r="W32" i="8"/>
  <c r="P32" i="8"/>
  <c r="O32" i="8"/>
  <c r="AQ32" i="8" s="1"/>
  <c r="N32" i="8"/>
  <c r="AC32" i="8" s="1"/>
  <c r="M32" i="8"/>
  <c r="AI31" i="8"/>
  <c r="AH31" i="8"/>
  <c r="W31" i="8"/>
  <c r="AT30" i="8"/>
  <c r="AN30" i="8"/>
  <c r="AJ30" i="8"/>
  <c r="AI30" i="8"/>
  <c r="AH30" i="8"/>
  <c r="AF30" i="8"/>
  <c r="AE30" i="8"/>
  <c r="AD30" i="8"/>
  <c r="AC30" i="8"/>
  <c r="AB30" i="8"/>
  <c r="AA30" i="8"/>
  <c r="Z30" i="8"/>
  <c r="Y30" i="8"/>
  <c r="X30" i="8"/>
  <c r="W30" i="8"/>
  <c r="P30" i="8"/>
  <c r="O30" i="8"/>
  <c r="N30" i="8"/>
  <c r="AO30" i="8" s="1"/>
  <c r="M30" i="8"/>
  <c r="AI29" i="8"/>
  <c r="AH29" i="8"/>
  <c r="W29" i="8"/>
  <c r="AI28" i="8"/>
  <c r="AN28" i="8" s="1"/>
  <c r="AH28" i="8"/>
  <c r="AF28" i="8"/>
  <c r="AE28" i="8"/>
  <c r="AB28" i="8"/>
  <c r="AA28" i="8"/>
  <c r="Z28" i="8"/>
  <c r="Y28" i="8"/>
  <c r="X28" i="8"/>
  <c r="W28" i="8"/>
  <c r="P28" i="8"/>
  <c r="O28" i="8"/>
  <c r="AD28" i="8" s="1"/>
  <c r="N28" i="8"/>
  <c r="AC28" i="8" s="1"/>
  <c r="M28" i="8"/>
  <c r="AI27" i="8"/>
  <c r="AH27" i="8"/>
  <c r="W27" i="8"/>
  <c r="AO26" i="8"/>
  <c r="AI26" i="8"/>
  <c r="AN26" i="8" s="1"/>
  <c r="AH26" i="8"/>
  <c r="AF26" i="8"/>
  <c r="AE26" i="8"/>
  <c r="AD26" i="8"/>
  <c r="AA26" i="8"/>
  <c r="Z26" i="8"/>
  <c r="Y26" i="8"/>
  <c r="X26" i="8"/>
  <c r="W26" i="8"/>
  <c r="P26" i="8"/>
  <c r="O26" i="8"/>
  <c r="N26" i="8"/>
  <c r="AC26" i="8" s="1"/>
  <c r="M26" i="8"/>
  <c r="AI25" i="8"/>
  <c r="AH25" i="8"/>
  <c r="W25" i="8"/>
  <c r="AT24" i="8"/>
  <c r="AN24" i="8"/>
  <c r="AJ24" i="8"/>
  <c r="AI24" i="8"/>
  <c r="AH24" i="8"/>
  <c r="AF24" i="8"/>
  <c r="AE24" i="8"/>
  <c r="AD24" i="8"/>
  <c r="AC24" i="8"/>
  <c r="AB24" i="8"/>
  <c r="AA24" i="8"/>
  <c r="Z24" i="8"/>
  <c r="Y24" i="8"/>
  <c r="X24" i="8"/>
  <c r="W24" i="8"/>
  <c r="P24" i="8"/>
  <c r="O24" i="8"/>
  <c r="N24" i="8"/>
  <c r="AO24" i="8" s="1"/>
  <c r="M24" i="8"/>
  <c r="AI23" i="8"/>
  <c r="AH23" i="8"/>
  <c r="W23" i="8"/>
  <c r="AI22" i="8"/>
  <c r="AN22" i="8" s="1"/>
  <c r="AH22" i="8"/>
  <c r="AF22" i="8"/>
  <c r="AE22" i="8"/>
  <c r="AB22" i="8"/>
  <c r="AA22" i="8"/>
  <c r="Z22" i="8"/>
  <c r="Y22" i="8"/>
  <c r="X22" i="8"/>
  <c r="W22" i="8"/>
  <c r="P22" i="8"/>
  <c r="O22" i="8"/>
  <c r="AD22" i="8" s="1"/>
  <c r="N22" i="8"/>
  <c r="AC22" i="8" s="1"/>
  <c r="M22" i="8"/>
  <c r="AI21" i="8"/>
  <c r="AH21" i="8"/>
  <c r="W21" i="8"/>
  <c r="AO20" i="8"/>
  <c r="AI20" i="8"/>
  <c r="AN20" i="8" s="1"/>
  <c r="AH20" i="8"/>
  <c r="AF20" i="8"/>
  <c r="AE20" i="8"/>
  <c r="AD20" i="8"/>
  <c r="AA20" i="8"/>
  <c r="Z20" i="8"/>
  <c r="Y20" i="8"/>
  <c r="X20" i="8"/>
  <c r="W20" i="8"/>
  <c r="P20" i="8"/>
  <c r="O20" i="8"/>
  <c r="AQ20" i="8" s="1"/>
  <c r="N20" i="8"/>
  <c r="AC20" i="8" s="1"/>
  <c r="M20" i="8"/>
  <c r="AI19" i="8"/>
  <c r="AH19" i="8"/>
  <c r="W19" i="8"/>
  <c r="AT18" i="8"/>
  <c r="AN18" i="8"/>
  <c r="AJ18" i="8"/>
  <c r="AI18" i="8"/>
  <c r="AH18" i="8"/>
  <c r="AF18" i="8"/>
  <c r="AE18" i="8"/>
  <c r="AD18" i="8"/>
  <c r="AC18" i="8"/>
  <c r="AB18" i="8"/>
  <c r="AA18" i="8"/>
  <c r="Z18" i="8"/>
  <c r="Y18" i="8"/>
  <c r="X18" i="8"/>
  <c r="W18" i="8"/>
  <c r="P18" i="8"/>
  <c r="O18" i="8"/>
  <c r="N18" i="8"/>
  <c r="AO18" i="8" s="1"/>
  <c r="M18" i="8"/>
  <c r="AI17" i="8"/>
  <c r="AH17" i="8"/>
  <c r="W17" i="8"/>
  <c r="AI16" i="8"/>
  <c r="AN16" i="8" s="1"/>
  <c r="AH16" i="8"/>
  <c r="AF16" i="8"/>
  <c r="AE16" i="8"/>
  <c r="AB16" i="8"/>
  <c r="AA16" i="8"/>
  <c r="Z16" i="8"/>
  <c r="Y16" i="8"/>
  <c r="X16" i="8"/>
  <c r="W16" i="8"/>
  <c r="P16" i="8"/>
  <c r="O16" i="8"/>
  <c r="AD16" i="8" s="1"/>
  <c r="N16" i="8"/>
  <c r="AC16" i="8" s="1"/>
  <c r="M16" i="8"/>
  <c r="AI15" i="8"/>
  <c r="AH15" i="8"/>
  <c r="W15" i="8"/>
  <c r="AO14" i="8"/>
  <c r="AI14" i="8"/>
  <c r="AN14" i="8" s="1"/>
  <c r="AH14" i="8"/>
  <c r="AF14" i="8"/>
  <c r="AE14" i="8"/>
  <c r="AD14" i="8"/>
  <c r="AA14" i="8"/>
  <c r="Z14" i="8"/>
  <c r="Y14" i="8"/>
  <c r="X14" i="8"/>
  <c r="W14" i="8"/>
  <c r="P14" i="8"/>
  <c r="O14" i="8"/>
  <c r="N14" i="8"/>
  <c r="AC14" i="8" s="1"/>
  <c r="M14" i="8"/>
  <c r="AI13" i="8"/>
  <c r="AH13" i="8"/>
  <c r="W13" i="8"/>
  <c r="AT12" i="8"/>
  <c r="AN12" i="8"/>
  <c r="AJ12" i="8"/>
  <c r="AI12" i="8"/>
  <c r="AH12" i="8"/>
  <c r="AF12" i="8"/>
  <c r="AE12" i="8"/>
  <c r="AD12" i="8"/>
  <c r="AC12" i="8"/>
  <c r="AB12" i="8"/>
  <c r="AA12" i="8"/>
  <c r="Z12" i="8"/>
  <c r="Y12" i="8"/>
  <c r="X12" i="8"/>
  <c r="W12" i="8"/>
  <c r="P12" i="8"/>
  <c r="O12" i="8"/>
  <c r="N12" i="8"/>
  <c r="AO12" i="8" s="1"/>
  <c r="M12" i="8"/>
  <c r="AI11" i="8"/>
  <c r="AH11" i="8"/>
  <c r="W11" i="8"/>
  <c r="AI10" i="8"/>
  <c r="AN10" i="8" s="1"/>
  <c r="AH10" i="8"/>
  <c r="AF10" i="8"/>
  <c r="AE10" i="8"/>
  <c r="AB10" i="8"/>
  <c r="AA10" i="8"/>
  <c r="Z10" i="8"/>
  <c r="Y10" i="8"/>
  <c r="X10" i="8"/>
  <c r="W10" i="8"/>
  <c r="P10" i="8"/>
  <c r="O10" i="8"/>
  <c r="AD10" i="8" s="1"/>
  <c r="N10" i="8"/>
  <c r="AC10" i="8" s="1"/>
  <c r="M10" i="8"/>
  <c r="AI9" i="8"/>
  <c r="AH9" i="8"/>
  <c r="W9" i="8"/>
  <c r="AP8" i="8"/>
  <c r="AO8" i="8"/>
  <c r="AN8" i="8"/>
  <c r="AI8" i="8"/>
  <c r="AT8" i="8" s="1"/>
  <c r="AH8" i="8"/>
  <c r="AF8" i="8"/>
  <c r="AE8" i="8"/>
  <c r="AD8" i="8"/>
  <c r="AA8" i="8"/>
  <c r="Z8" i="8"/>
  <c r="Y8" i="8"/>
  <c r="X8" i="8"/>
  <c r="W8" i="8"/>
  <c r="P8" i="8"/>
  <c r="O8" i="8"/>
  <c r="AQ8" i="8" s="1"/>
  <c r="N8" i="8"/>
  <c r="AC8" i="8" s="1"/>
  <c r="M8" i="8"/>
  <c r="AI7" i="8"/>
  <c r="AH7" i="8"/>
  <c r="W7" i="8"/>
  <c r="AT6" i="8"/>
  <c r="AN6" i="8"/>
  <c r="AJ6" i="8"/>
  <c r="AI6" i="8"/>
  <c r="AH6" i="8"/>
  <c r="AF6" i="8"/>
  <c r="AE6" i="8"/>
  <c r="AD6" i="8"/>
  <c r="AC6" i="8"/>
  <c r="AB6" i="8"/>
  <c r="AA6" i="8"/>
  <c r="Z6" i="8"/>
  <c r="Y6" i="8"/>
  <c r="X6" i="8"/>
  <c r="W6" i="8"/>
  <c r="P6" i="8"/>
  <c r="O6" i="8"/>
  <c r="AQ6" i="8" s="1"/>
  <c r="N6" i="8"/>
  <c r="AO6" i="8" s="1"/>
  <c r="M6" i="8"/>
  <c r="AI5" i="8"/>
  <c r="AH5" i="8"/>
  <c r="W5" i="8"/>
  <c r="AI4" i="8"/>
  <c r="AP3" i="8"/>
  <c r="AO3" i="8"/>
  <c r="AI3" i="8"/>
  <c r="AH3" i="8"/>
  <c r="AN2" i="8"/>
  <c r="AN52" i="8" s="1"/>
  <c r="AM2" i="8"/>
  <c r="AL2" i="8"/>
  <c r="AK2" i="8"/>
  <c r="AJ2" i="8"/>
  <c r="AA2" i="8"/>
  <c r="A2" i="8"/>
  <c r="AU1" i="8"/>
  <c r="AR1" i="8"/>
  <c r="AR3" i="8" s="1"/>
  <c r="AQ1" i="8"/>
  <c r="AQ50" i="8" s="1"/>
  <c r="AP1" i="8"/>
  <c r="AP50" i="8" s="1"/>
  <c r="AO1" i="8"/>
  <c r="AO46" i="8" s="1"/>
  <c r="AJ1" i="8"/>
  <c r="AH1" i="8"/>
  <c r="AH2" i="8" s="1"/>
  <c r="AA1" i="8"/>
  <c r="A1" i="8"/>
  <c r="AI11" i="7"/>
  <c r="AT11" i="7" s="1"/>
  <c r="AH11" i="7"/>
  <c r="AF11" i="7"/>
  <c r="AE11" i="7"/>
  <c r="AC11" i="7"/>
  <c r="AB11" i="7"/>
  <c r="AA11" i="7"/>
  <c r="Z11" i="7"/>
  <c r="Y11" i="7"/>
  <c r="X11" i="7"/>
  <c r="W11" i="7"/>
  <c r="P11" i="7"/>
  <c r="O11" i="7"/>
  <c r="AD11" i="7" s="1"/>
  <c r="N11" i="7"/>
  <c r="M11" i="7"/>
  <c r="AI10" i="7"/>
  <c r="AH10" i="7"/>
  <c r="W10" i="7"/>
  <c r="AT9" i="7"/>
  <c r="AJ9" i="7"/>
  <c r="AI9" i="7"/>
  <c r="AH9" i="7"/>
  <c r="AF9" i="7"/>
  <c r="AE9" i="7"/>
  <c r="AC9" i="7"/>
  <c r="AA9" i="7"/>
  <c r="Z9" i="7"/>
  <c r="Y9" i="7"/>
  <c r="X9" i="7"/>
  <c r="W9" i="7"/>
  <c r="P9" i="7"/>
  <c r="O9" i="7"/>
  <c r="AD9" i="7" s="1"/>
  <c r="N9" i="7"/>
  <c r="M9" i="7"/>
  <c r="AU8" i="7"/>
  <c r="AI8" i="7"/>
  <c r="AH8" i="7"/>
  <c r="AF8" i="7"/>
  <c r="AE8" i="7"/>
  <c r="AB8" i="7"/>
  <c r="AA8" i="7"/>
  <c r="Z8" i="7"/>
  <c r="Y8" i="7"/>
  <c r="X8" i="7"/>
  <c r="W8" i="7"/>
  <c r="P8" i="7"/>
  <c r="O8" i="7"/>
  <c r="AQ8" i="7" s="1"/>
  <c r="N8" i="7"/>
  <c r="M8" i="7"/>
  <c r="AI7" i="7"/>
  <c r="AH7" i="7"/>
  <c r="W7" i="7"/>
  <c r="AU6" i="7"/>
  <c r="AI6" i="7"/>
  <c r="AN6" i="7" s="1"/>
  <c r="AH6" i="7"/>
  <c r="AF6" i="7"/>
  <c r="AE6" i="7"/>
  <c r="AD6" i="7"/>
  <c r="AA6" i="7"/>
  <c r="Z6" i="7"/>
  <c r="Y6" i="7"/>
  <c r="X6" i="7"/>
  <c r="W6" i="7"/>
  <c r="P6" i="7"/>
  <c r="O6" i="7"/>
  <c r="AQ6" i="7" s="1"/>
  <c r="N6" i="7"/>
  <c r="AC6" i="7" s="1"/>
  <c r="M6" i="7"/>
  <c r="AB6" i="7" s="1"/>
  <c r="AI5" i="7"/>
  <c r="AH5" i="7"/>
  <c r="W5" i="7"/>
  <c r="AI4" i="7"/>
  <c r="AU3" i="7"/>
  <c r="AQ3" i="7"/>
  <c r="AI3" i="7"/>
  <c r="AH3" i="7"/>
  <c r="AN2" i="7"/>
  <c r="AN9" i="7" s="1"/>
  <c r="AM2" i="7"/>
  <c r="AL2" i="7"/>
  <c r="AK2" i="7"/>
  <c r="AJ2" i="7"/>
  <c r="AH2" i="7"/>
  <c r="AA2" i="7"/>
  <c r="A2" i="7"/>
  <c r="AU1" i="7"/>
  <c r="AU11" i="7" s="1"/>
  <c r="AR1" i="7"/>
  <c r="AR11" i="7" s="1"/>
  <c r="AQ1" i="7"/>
  <c r="AP1" i="7"/>
  <c r="AO1" i="7"/>
  <c r="AO11" i="7" s="1"/>
  <c r="AJ1" i="7"/>
  <c r="AH1" i="7"/>
  <c r="AA1" i="7"/>
  <c r="A1" i="7"/>
  <c r="AU7" i="6"/>
  <c r="AT7" i="6"/>
  <c r="AO7" i="6"/>
  <c r="AJ7" i="6"/>
  <c r="AI7" i="6"/>
  <c r="AH7" i="6"/>
  <c r="AF7" i="6"/>
  <c r="AE7" i="6"/>
  <c r="AC7" i="6"/>
  <c r="AA7" i="6"/>
  <c r="Z7" i="6"/>
  <c r="Y7" i="6"/>
  <c r="X7" i="6"/>
  <c r="W7" i="6"/>
  <c r="P7" i="6"/>
  <c r="O7" i="6"/>
  <c r="AD7" i="6" s="1"/>
  <c r="N7" i="6"/>
  <c r="M7" i="6"/>
  <c r="AU6" i="6"/>
  <c r="AP6" i="6"/>
  <c r="AO6" i="6"/>
  <c r="AI6" i="6"/>
  <c r="AH6" i="6"/>
  <c r="AF6" i="6"/>
  <c r="AE6" i="6"/>
  <c r="AD6" i="6"/>
  <c r="AA6" i="6"/>
  <c r="Z6" i="6"/>
  <c r="Y6" i="6"/>
  <c r="X6" i="6"/>
  <c r="W6" i="6"/>
  <c r="P6" i="6"/>
  <c r="O6" i="6"/>
  <c r="AQ6" i="6" s="1"/>
  <c r="N6" i="6"/>
  <c r="AC6" i="6" s="1"/>
  <c r="M6" i="6"/>
  <c r="AB6" i="6" s="1"/>
  <c r="AI5" i="6"/>
  <c r="AH5" i="6"/>
  <c r="W5" i="6"/>
  <c r="AI4" i="6"/>
  <c r="AU3" i="6"/>
  <c r="AR3" i="6"/>
  <c r="AO3" i="6"/>
  <c r="AI3" i="6"/>
  <c r="AH3" i="6"/>
  <c r="AN2" i="6"/>
  <c r="AN7" i="6" s="1"/>
  <c r="AM2" i="6"/>
  <c r="AL2" i="6"/>
  <c r="AK2" i="6"/>
  <c r="AJ2" i="6"/>
  <c r="AH2" i="6"/>
  <c r="AA2" i="6"/>
  <c r="A2" i="6"/>
  <c r="AU1" i="6"/>
  <c r="AR1" i="6"/>
  <c r="AQ1" i="6"/>
  <c r="AQ3" i="6" s="1"/>
  <c r="AP1" i="6"/>
  <c r="AO1" i="6"/>
  <c r="AJ1" i="6"/>
  <c r="AA1" i="6"/>
  <c r="A1" i="6"/>
  <c r="AH1" i="6" s="1"/>
  <c r="C54" i="3"/>
  <c r="C67" i="3" s="1"/>
  <c r="C52" i="3"/>
  <c r="C65" i="3" s="1"/>
  <c r="C50" i="3"/>
  <c r="C63" i="3" s="1"/>
  <c r="C48" i="3"/>
  <c r="C61" i="3" s="1"/>
  <c r="C43" i="3"/>
  <c r="C56" i="3" s="1"/>
  <c r="C69" i="3" s="1"/>
  <c r="C42" i="3"/>
  <c r="C55" i="3" s="1"/>
  <c r="C68" i="3" s="1"/>
  <c r="B42" i="3"/>
  <c r="B55" i="3" s="1"/>
  <c r="B68" i="3" s="1"/>
  <c r="C41" i="3"/>
  <c r="C40" i="3"/>
  <c r="C53" i="3" s="1"/>
  <c r="C66" i="3" s="1"/>
  <c r="B40" i="3"/>
  <c r="B53" i="3" s="1"/>
  <c r="B66" i="3" s="1"/>
  <c r="C39" i="3"/>
  <c r="C38" i="3"/>
  <c r="C51" i="3" s="1"/>
  <c r="C64" i="3" s="1"/>
  <c r="B38" i="3"/>
  <c r="B51" i="3" s="1"/>
  <c r="B64" i="3" s="1"/>
  <c r="C37" i="3"/>
  <c r="C36" i="3"/>
  <c r="C49" i="3" s="1"/>
  <c r="C62" i="3" s="1"/>
  <c r="B36" i="3"/>
  <c r="B49" i="3" s="1"/>
  <c r="B62" i="3" s="1"/>
  <c r="C35" i="3"/>
  <c r="C34" i="3"/>
  <c r="C47" i="3" s="1"/>
  <c r="C60" i="3" s="1"/>
  <c r="B34" i="3"/>
  <c r="B47" i="3" s="1"/>
  <c r="B60" i="3" s="1"/>
  <c r="S33" i="3"/>
  <c r="S46" i="3" s="1"/>
  <c r="S59" i="3" s="1"/>
  <c r="M33" i="3"/>
  <c r="M46" i="3" s="1"/>
  <c r="M59" i="3" s="1"/>
  <c r="C30" i="3"/>
  <c r="B30" i="3"/>
  <c r="B43" i="3" s="1"/>
  <c r="B56" i="3" s="1"/>
  <c r="B69" i="3" s="1"/>
  <c r="A30" i="3"/>
  <c r="A43" i="3" s="1"/>
  <c r="A56" i="3" s="1"/>
  <c r="A69" i="3" s="1"/>
  <c r="C29" i="3"/>
  <c r="B29" i="3"/>
  <c r="A29" i="3"/>
  <c r="A42" i="3" s="1"/>
  <c r="A55" i="3" s="1"/>
  <c r="A68" i="3" s="1"/>
  <c r="C28" i="3"/>
  <c r="B28" i="3"/>
  <c r="B41" i="3" s="1"/>
  <c r="B54" i="3" s="1"/>
  <c r="B67" i="3" s="1"/>
  <c r="A28" i="3"/>
  <c r="A41" i="3" s="1"/>
  <c r="A54" i="3" s="1"/>
  <c r="A67" i="3" s="1"/>
  <c r="C27" i="3"/>
  <c r="B27" i="3"/>
  <c r="A27" i="3"/>
  <c r="A40" i="3" s="1"/>
  <c r="A53" i="3" s="1"/>
  <c r="A66" i="3" s="1"/>
  <c r="C26" i="3"/>
  <c r="B26" i="3"/>
  <c r="B39" i="3" s="1"/>
  <c r="B52" i="3" s="1"/>
  <c r="B65" i="3" s="1"/>
  <c r="A26" i="3"/>
  <c r="A39" i="3" s="1"/>
  <c r="A52" i="3" s="1"/>
  <c r="A65" i="3" s="1"/>
  <c r="C25" i="3"/>
  <c r="B25" i="3"/>
  <c r="A25" i="3"/>
  <c r="A38" i="3" s="1"/>
  <c r="A51" i="3" s="1"/>
  <c r="A64" i="3" s="1"/>
  <c r="C24" i="3"/>
  <c r="B24" i="3"/>
  <c r="B37" i="3" s="1"/>
  <c r="B50" i="3" s="1"/>
  <c r="B63" i="3" s="1"/>
  <c r="A24" i="3"/>
  <c r="A37" i="3" s="1"/>
  <c r="A50" i="3" s="1"/>
  <c r="A63" i="3" s="1"/>
  <c r="C23" i="3"/>
  <c r="B23" i="3"/>
  <c r="A23" i="3"/>
  <c r="A36" i="3" s="1"/>
  <c r="A49" i="3" s="1"/>
  <c r="A62" i="3" s="1"/>
  <c r="C22" i="3"/>
  <c r="B22" i="3"/>
  <c r="B35" i="3" s="1"/>
  <c r="B48" i="3" s="1"/>
  <c r="B61" i="3" s="1"/>
  <c r="A22" i="3"/>
  <c r="A35" i="3" s="1"/>
  <c r="A48" i="3" s="1"/>
  <c r="A61" i="3" s="1"/>
  <c r="C21" i="3"/>
  <c r="B21" i="3"/>
  <c r="A21" i="3"/>
  <c r="A34" i="3" s="1"/>
  <c r="A47" i="3" s="1"/>
  <c r="A60" i="3" s="1"/>
  <c r="V20" i="3"/>
  <c r="V33" i="3" s="1"/>
  <c r="V46" i="3" s="1"/>
  <c r="V59" i="3" s="1"/>
  <c r="U20" i="3"/>
  <c r="U33" i="3" s="1"/>
  <c r="U46" i="3" s="1"/>
  <c r="U59" i="3" s="1"/>
  <c r="S20" i="3"/>
  <c r="P20" i="3"/>
  <c r="P33" i="3" s="1"/>
  <c r="P46" i="3" s="1"/>
  <c r="P59" i="3" s="1"/>
  <c r="O20" i="3"/>
  <c r="O33" i="3" s="1"/>
  <c r="O46" i="3" s="1"/>
  <c r="O59" i="3" s="1"/>
  <c r="M20" i="3"/>
  <c r="J20" i="3"/>
  <c r="J33" i="3" s="1"/>
  <c r="J46" i="3" s="1"/>
  <c r="J59" i="3" s="1"/>
  <c r="I20" i="3"/>
  <c r="I33" i="3" s="1"/>
  <c r="I46" i="3" s="1"/>
  <c r="I59" i="3" s="1"/>
  <c r="G20" i="3"/>
  <c r="G33" i="3" s="1"/>
  <c r="G46" i="3" s="1"/>
  <c r="G59" i="3" s="1"/>
  <c r="W7" i="3"/>
  <c r="W20" i="3" s="1"/>
  <c r="W33" i="3" s="1"/>
  <c r="W46" i="3" s="1"/>
  <c r="W59" i="3" s="1"/>
  <c r="V7" i="3"/>
  <c r="U7" i="3"/>
  <c r="T7" i="3"/>
  <c r="T20" i="3" s="1"/>
  <c r="T33" i="3" s="1"/>
  <c r="T46" i="3" s="1"/>
  <c r="T59" i="3" s="1"/>
  <c r="S7" i="3"/>
  <c r="R7" i="3"/>
  <c r="R20" i="3" s="1"/>
  <c r="R33" i="3" s="1"/>
  <c r="R46" i="3" s="1"/>
  <c r="R59" i="3" s="1"/>
  <c r="Q7" i="3"/>
  <c r="Q20" i="3" s="1"/>
  <c r="Q33" i="3" s="1"/>
  <c r="Q46" i="3" s="1"/>
  <c r="Q59" i="3" s="1"/>
  <c r="P7" i="3"/>
  <c r="O7" i="3"/>
  <c r="N7" i="3"/>
  <c r="N20" i="3" s="1"/>
  <c r="N33" i="3" s="1"/>
  <c r="N46" i="3" s="1"/>
  <c r="N59" i="3" s="1"/>
  <c r="M7" i="3"/>
  <c r="L7" i="3"/>
  <c r="L20" i="3" s="1"/>
  <c r="L33" i="3" s="1"/>
  <c r="L46" i="3" s="1"/>
  <c r="L59" i="3" s="1"/>
  <c r="K7" i="3"/>
  <c r="K20" i="3" s="1"/>
  <c r="K33" i="3" s="1"/>
  <c r="K46" i="3" s="1"/>
  <c r="K59" i="3" s="1"/>
  <c r="J7" i="3"/>
  <c r="I7" i="3"/>
  <c r="H7" i="3"/>
  <c r="H20" i="3" s="1"/>
  <c r="H33" i="3" s="1"/>
  <c r="H46" i="3" s="1"/>
  <c r="H59" i="3" s="1"/>
  <c r="G7" i="3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5" i="1" l="1"/>
  <c r="AV7" i="1"/>
  <c r="AV12" i="1"/>
  <c r="AV8" i="1"/>
  <c r="AV55" i="1"/>
  <c r="AT24" i="1"/>
  <c r="AJ24" i="1"/>
  <c r="AN24" i="1"/>
  <c r="AN7" i="1"/>
  <c r="AN13" i="1"/>
  <c r="AD14" i="1"/>
  <c r="AN22" i="1"/>
  <c r="AQ6" i="1"/>
  <c r="AN9" i="1"/>
  <c r="AQ12" i="1"/>
  <c r="AR14" i="1"/>
  <c r="AV14" i="1" s="1"/>
  <c r="AQ17" i="1"/>
  <c r="AR20" i="1"/>
  <c r="AB20" i="1"/>
  <c r="AO26" i="1"/>
  <c r="AQ29" i="1"/>
  <c r="AC42" i="1"/>
  <c r="AO42" i="1"/>
  <c r="AV42" i="1" s="1"/>
  <c r="AO43" i="1"/>
  <c r="AC54" i="1"/>
  <c r="AO54" i="1"/>
  <c r="AV54" i="1" s="1"/>
  <c r="AV58" i="1"/>
  <c r="AT58" i="1"/>
  <c r="AC24" i="1"/>
  <c r="AO24" i="1"/>
  <c r="AV24" i="1" s="1"/>
  <c r="AN29" i="1"/>
  <c r="AT29" i="1"/>
  <c r="AC5" i="1"/>
  <c r="AJ5" i="1"/>
  <c r="AB6" i="1"/>
  <c r="AO9" i="1"/>
  <c r="AV9" i="1" s="1"/>
  <c r="AD10" i="1"/>
  <c r="AC11" i="1"/>
  <c r="AJ11" i="1"/>
  <c r="AB12" i="1"/>
  <c r="AQ18" i="1"/>
  <c r="AR21" i="1"/>
  <c r="AV21" i="1" s="1"/>
  <c r="AB21" i="1"/>
  <c r="AT22" i="1"/>
  <c r="AV22" i="1" s="1"/>
  <c r="AR25" i="1"/>
  <c r="AB25" i="1"/>
  <c r="AV34" i="1"/>
  <c r="AR38" i="1"/>
  <c r="AV38" i="1" s="1"/>
  <c r="AB38" i="1"/>
  <c r="AV39" i="1"/>
  <c r="AT40" i="1"/>
  <c r="AN47" i="1"/>
  <c r="AT47" i="1"/>
  <c r="AV47" i="1" s="1"/>
  <c r="AJ47" i="1"/>
  <c r="AR49" i="1"/>
  <c r="AB49" i="1"/>
  <c r="AV52" i="1"/>
  <c r="AR56" i="1"/>
  <c r="AB56" i="1"/>
  <c r="AV57" i="1"/>
  <c r="AQ59" i="1"/>
  <c r="AQ60" i="1"/>
  <c r="AJ64" i="1"/>
  <c r="AN35" i="1"/>
  <c r="AT35" i="1"/>
  <c r="AJ35" i="1"/>
  <c r="AR37" i="1"/>
  <c r="AB37" i="1"/>
  <c r="AC48" i="1"/>
  <c r="AO48" i="1"/>
  <c r="AV48" i="1" s="1"/>
  <c r="AR50" i="1"/>
  <c r="AB50" i="1"/>
  <c r="AC7" i="1"/>
  <c r="AJ7" i="1"/>
  <c r="AB8" i="1"/>
  <c r="AC13" i="1"/>
  <c r="AJ13" i="1"/>
  <c r="AR15" i="1"/>
  <c r="AV15" i="1" s="1"/>
  <c r="AB15" i="1"/>
  <c r="AV16" i="1"/>
  <c r="AJ17" i="1"/>
  <c r="AO20" i="1"/>
  <c r="AV20" i="1" s="1"/>
  <c r="AO25" i="1"/>
  <c r="AV25" i="1" s="1"/>
  <c r="AR26" i="1"/>
  <c r="AB26" i="1"/>
  <c r="AV28" i="1"/>
  <c r="AJ29" i="1"/>
  <c r="AR31" i="1"/>
  <c r="AB31" i="1"/>
  <c r="AV35" i="1"/>
  <c r="AC36" i="1"/>
  <c r="AO36" i="1"/>
  <c r="AV36" i="1" s="1"/>
  <c r="AO37" i="1"/>
  <c r="AJ40" i="1"/>
  <c r="AV46" i="1"/>
  <c r="AO49" i="1"/>
  <c r="AV49" i="1" s="1"/>
  <c r="AJ58" i="1"/>
  <c r="AT17" i="1"/>
  <c r="AV17" i="1" s="1"/>
  <c r="AR19" i="1"/>
  <c r="AV19" i="1" s="1"/>
  <c r="AB19" i="1"/>
  <c r="AR27" i="1"/>
  <c r="AV27" i="1" s="1"/>
  <c r="AB27" i="1"/>
  <c r="AV29" i="1"/>
  <c r="AC30" i="1"/>
  <c r="AO30" i="1"/>
  <c r="AV30" i="1" s="1"/>
  <c r="AR32" i="1"/>
  <c r="AV32" i="1" s="1"/>
  <c r="AB32" i="1"/>
  <c r="AV40" i="1"/>
  <c r="AR44" i="1"/>
  <c r="AB44" i="1"/>
  <c r="AN59" i="1"/>
  <c r="AT59" i="1"/>
  <c r="AJ59" i="1"/>
  <c r="AR61" i="1"/>
  <c r="AV61" i="1" s="1"/>
  <c r="AB61" i="1"/>
  <c r="AQ8" i="1"/>
  <c r="AT14" i="1"/>
  <c r="AJ14" i="1"/>
  <c r="AB4" i="1"/>
  <c r="AJ9" i="1"/>
  <c r="AB10" i="1"/>
  <c r="AC18" i="1"/>
  <c r="AO18" i="1"/>
  <c r="AT18" i="1"/>
  <c r="AJ18" i="1"/>
  <c r="AN18" i="1"/>
  <c r="AT23" i="1"/>
  <c r="AV23" i="1" s="1"/>
  <c r="AQ25" i="1"/>
  <c r="AO31" i="1"/>
  <c r="AV31" i="1" s="1"/>
  <c r="AQ35" i="1"/>
  <c r="AQ36" i="1"/>
  <c r="AN41" i="1"/>
  <c r="AT41" i="1"/>
  <c r="AV41" i="1" s="1"/>
  <c r="AJ41" i="1"/>
  <c r="AR43" i="1"/>
  <c r="AB43" i="1"/>
  <c r="AN53" i="1"/>
  <c r="AT53" i="1"/>
  <c r="AV53" i="1" s="1"/>
  <c r="AJ53" i="1"/>
  <c r="AR55" i="1"/>
  <c r="AB55" i="1"/>
  <c r="AV59" i="1"/>
  <c r="AC60" i="1"/>
  <c r="AO60" i="1"/>
  <c r="AV60" i="1" s="1"/>
  <c r="AR62" i="1"/>
  <c r="AV62" i="1" s="1"/>
  <c r="AB62" i="1"/>
  <c r="AV63" i="1"/>
  <c r="AN30" i="1"/>
  <c r="AN36" i="1"/>
  <c r="AJ37" i="1"/>
  <c r="AT37" i="1"/>
  <c r="AN42" i="1"/>
  <c r="AJ43" i="1"/>
  <c r="AT43" i="1"/>
  <c r="AN48" i="1"/>
  <c r="AN54" i="1"/>
  <c r="AN60" i="1"/>
  <c r="AJ20" i="1"/>
  <c r="AJ26" i="1"/>
  <c r="AD31" i="1"/>
  <c r="AJ32" i="1"/>
  <c r="AB33" i="1"/>
  <c r="AD37" i="1"/>
  <c r="AJ38" i="1"/>
  <c r="AB39" i="1"/>
  <c r="AD43" i="1"/>
  <c r="AJ44" i="1"/>
  <c r="AB45" i="1"/>
  <c r="AD49" i="1"/>
  <c r="AJ50" i="1"/>
  <c r="AB51" i="1"/>
  <c r="AD55" i="1"/>
  <c r="AJ56" i="1"/>
  <c r="AB57" i="1"/>
  <c r="AD61" i="1"/>
  <c r="AJ62" i="1"/>
  <c r="AB63" i="1"/>
  <c r="AJ30" i="1"/>
  <c r="AJ36" i="1"/>
  <c r="AJ42" i="1"/>
  <c r="AJ48" i="1"/>
  <c r="AJ54" i="1"/>
  <c r="AJ60" i="1"/>
  <c r="AQ42" i="8"/>
  <c r="AQ14" i="15"/>
  <c r="AQ8" i="14"/>
  <c r="AQ18" i="8"/>
  <c r="AQ30" i="8"/>
  <c r="AQ38" i="8"/>
  <c r="AQ10" i="10"/>
  <c r="AQ14" i="12"/>
  <c r="AQ8" i="15"/>
  <c r="AQ14" i="8"/>
  <c r="AQ26" i="8"/>
  <c r="AQ48" i="8"/>
  <c r="AQ6" i="14"/>
  <c r="AQ3" i="8"/>
  <c r="AQ12" i="8"/>
  <c r="AQ24" i="8"/>
  <c r="AQ36" i="8"/>
  <c r="AQ16" i="12"/>
  <c r="AQ20" i="15"/>
  <c r="AQ22" i="8"/>
  <c r="AC10" i="10"/>
  <c r="AO10" i="10"/>
  <c r="AR8" i="15"/>
  <c r="AB8" i="15"/>
  <c r="AR6" i="6"/>
  <c r="AP11" i="7"/>
  <c r="AV11" i="7" s="1"/>
  <c r="AP3" i="7"/>
  <c r="AT8" i="7"/>
  <c r="AJ8" i="7"/>
  <c r="AP7" i="6"/>
  <c r="AP3" i="6"/>
  <c r="AT6" i="6"/>
  <c r="AV6" i="6" s="1"/>
  <c r="AJ6" i="6"/>
  <c r="AO3" i="7"/>
  <c r="AO6" i="7"/>
  <c r="AD8" i="7"/>
  <c r="AP8" i="7"/>
  <c r="AN6" i="6"/>
  <c r="AR7" i="6"/>
  <c r="AB7" i="6"/>
  <c r="AQ7" i="6"/>
  <c r="AP6" i="7"/>
  <c r="AP9" i="7"/>
  <c r="AR14" i="8"/>
  <c r="AB14" i="8"/>
  <c r="AQ34" i="8"/>
  <c r="AB6" i="10"/>
  <c r="AR6" i="10"/>
  <c r="AD12" i="10"/>
  <c r="AQ12" i="10"/>
  <c r="AC8" i="7"/>
  <c r="AO8" i="7"/>
  <c r="AU46" i="8"/>
  <c r="AU40" i="8"/>
  <c r="AU34" i="8"/>
  <c r="AU28" i="8"/>
  <c r="AU22" i="8"/>
  <c r="AU16" i="8"/>
  <c r="AU10" i="8"/>
  <c r="AU3" i="8"/>
  <c r="AU48" i="8"/>
  <c r="AU42" i="8"/>
  <c r="AU36" i="8"/>
  <c r="AU30" i="8"/>
  <c r="AU24" i="8"/>
  <c r="AU18" i="8"/>
  <c r="AU12" i="8"/>
  <c r="AU6" i="8"/>
  <c r="AU44" i="8"/>
  <c r="AU38" i="8"/>
  <c r="AU32" i="8"/>
  <c r="AU26" i="8"/>
  <c r="AU20" i="8"/>
  <c r="AU14" i="8"/>
  <c r="AU8" i="8"/>
  <c r="AU50" i="8"/>
  <c r="AR9" i="7"/>
  <c r="AB9" i="7"/>
  <c r="AJ11" i="7"/>
  <c r="AR32" i="8"/>
  <c r="AB32" i="8"/>
  <c r="AR3" i="7"/>
  <c r="AR6" i="7"/>
  <c r="AR8" i="7"/>
  <c r="AQ9" i="7"/>
  <c r="AQ28" i="8"/>
  <c r="AR38" i="8"/>
  <c r="AB38" i="8"/>
  <c r="AV48" i="8"/>
  <c r="AP3" i="9"/>
  <c r="AP6" i="9"/>
  <c r="AJ1" i="10"/>
  <c r="AH1" i="10"/>
  <c r="AH2" i="10" s="1"/>
  <c r="AD8" i="10"/>
  <c r="AQ8" i="10"/>
  <c r="AN11" i="7"/>
  <c r="AQ46" i="8"/>
  <c r="AU52" i="8"/>
  <c r="AD10" i="15"/>
  <c r="AQ10" i="15"/>
  <c r="AQ16" i="8"/>
  <c r="AB50" i="8"/>
  <c r="AR50" i="8"/>
  <c r="AV50" i="8" s="1"/>
  <c r="AJ1" i="11"/>
  <c r="AH1" i="11"/>
  <c r="AH2" i="11" s="1"/>
  <c r="AD6" i="11"/>
  <c r="AQ6" i="11"/>
  <c r="AO12" i="12"/>
  <c r="AV12" i="12" s="1"/>
  <c r="AC12" i="12"/>
  <c r="AN12" i="12"/>
  <c r="AT12" i="12"/>
  <c r="AJ12" i="12"/>
  <c r="AN8" i="7"/>
  <c r="AO9" i="7"/>
  <c r="AQ10" i="8"/>
  <c r="AR26" i="8"/>
  <c r="AB26" i="8"/>
  <c r="AQ40" i="8"/>
  <c r="AV14" i="12"/>
  <c r="AT6" i="7"/>
  <c r="AJ6" i="7"/>
  <c r="AR8" i="8"/>
  <c r="AV8" i="8" s="1"/>
  <c r="AB8" i="8"/>
  <c r="AR20" i="8"/>
  <c r="AB20" i="8"/>
  <c r="AR44" i="8"/>
  <c r="AB44" i="8"/>
  <c r="AQ6" i="9"/>
  <c r="AD6" i="9"/>
  <c r="AV6" i="9"/>
  <c r="AU3" i="13"/>
  <c r="AU6" i="13"/>
  <c r="AD6" i="13"/>
  <c r="AQ6" i="13"/>
  <c r="AU9" i="7"/>
  <c r="AJ8" i="8"/>
  <c r="AO10" i="8"/>
  <c r="AJ14" i="8"/>
  <c r="AT14" i="8"/>
  <c r="AO16" i="8"/>
  <c r="AJ20" i="8"/>
  <c r="AT20" i="8"/>
  <c r="AO22" i="8"/>
  <c r="AJ26" i="8"/>
  <c r="AT26" i="8"/>
  <c r="AO28" i="8"/>
  <c r="AJ32" i="8"/>
  <c r="AT32" i="8"/>
  <c r="AO34" i="8"/>
  <c r="AJ38" i="8"/>
  <c r="AT38" i="8"/>
  <c r="AO40" i="8"/>
  <c r="AJ44" i="8"/>
  <c r="AT44" i="8"/>
  <c r="AJ50" i="8"/>
  <c r="AQ52" i="8"/>
  <c r="AR6" i="9"/>
  <c r="AB6" i="9"/>
  <c r="AJ22" i="10"/>
  <c r="AJ16" i="10"/>
  <c r="AJ10" i="10"/>
  <c r="AQ6" i="10"/>
  <c r="AR16" i="10"/>
  <c r="AR18" i="10"/>
  <c r="AQ20" i="10"/>
  <c r="AR6" i="11"/>
  <c r="AB6" i="11"/>
  <c r="AO6" i="12"/>
  <c r="AC6" i="12"/>
  <c r="AN6" i="12"/>
  <c r="AT6" i="12"/>
  <c r="AJ6" i="12"/>
  <c r="AR16" i="12"/>
  <c r="AR18" i="12"/>
  <c r="AR6" i="14"/>
  <c r="AC8" i="14"/>
  <c r="AO8" i="14"/>
  <c r="AQ11" i="7"/>
  <c r="AR6" i="8"/>
  <c r="AP10" i="8"/>
  <c r="AR12" i="8"/>
  <c r="AP16" i="8"/>
  <c r="AR18" i="8"/>
  <c r="AP22" i="8"/>
  <c r="AR24" i="8"/>
  <c r="AP28" i="8"/>
  <c r="AR30" i="8"/>
  <c r="AP34" i="8"/>
  <c r="AR36" i="8"/>
  <c r="AV36" i="8" s="1"/>
  <c r="AP40" i="8"/>
  <c r="AR42" i="8"/>
  <c r="AP46" i="8"/>
  <c r="AV46" i="8" s="1"/>
  <c r="AR48" i="8"/>
  <c r="AN50" i="8"/>
  <c r="AR8" i="10"/>
  <c r="AR10" i="10"/>
  <c r="AB10" i="10"/>
  <c r="AO12" i="10"/>
  <c r="AC12" i="10"/>
  <c r="AN12" i="10"/>
  <c r="AT12" i="10"/>
  <c r="AJ12" i="10"/>
  <c r="AR14" i="10"/>
  <c r="AC16" i="10"/>
  <c r="AO16" i="10"/>
  <c r="AV16" i="10" s="1"/>
  <c r="AT20" i="10"/>
  <c r="AJ20" i="10"/>
  <c r="AP6" i="12"/>
  <c r="AR14" i="12"/>
  <c r="AC16" i="12"/>
  <c r="AO16" i="12"/>
  <c r="AV16" i="12" s="1"/>
  <c r="AU22" i="15"/>
  <c r="AU16" i="15"/>
  <c r="AU10" i="15"/>
  <c r="AU3" i="15"/>
  <c r="AU18" i="15"/>
  <c r="AU12" i="15"/>
  <c r="AU6" i="15"/>
  <c r="AU20" i="15"/>
  <c r="AU14" i="15"/>
  <c r="AU8" i="15"/>
  <c r="AR10" i="8"/>
  <c r="AP14" i="8"/>
  <c r="AV14" i="8" s="1"/>
  <c r="AR16" i="8"/>
  <c r="AP20" i="8"/>
  <c r="AV20" i="8" s="1"/>
  <c r="AR22" i="8"/>
  <c r="AP26" i="8"/>
  <c r="AR28" i="8"/>
  <c r="AP32" i="8"/>
  <c r="AV32" i="8" s="1"/>
  <c r="AR34" i="8"/>
  <c r="AN36" i="8"/>
  <c r="AP38" i="8"/>
  <c r="AV38" i="8" s="1"/>
  <c r="AR40" i="8"/>
  <c r="AN42" i="8"/>
  <c r="AP44" i="8"/>
  <c r="AV44" i="8" s="1"/>
  <c r="AR46" i="8"/>
  <c r="AN48" i="8"/>
  <c r="AN6" i="10"/>
  <c r="AT6" i="10"/>
  <c r="AJ6" i="10"/>
  <c r="AC22" i="10"/>
  <c r="AO22" i="10"/>
  <c r="AP14" i="12"/>
  <c r="AP8" i="12"/>
  <c r="AP3" i="12"/>
  <c r="AT8" i="12"/>
  <c r="AJ8" i="12"/>
  <c r="AN10" i="14"/>
  <c r="AT10" i="14"/>
  <c r="AJ10" i="14"/>
  <c r="AR14" i="15"/>
  <c r="AB14" i="15"/>
  <c r="AQ16" i="15"/>
  <c r="AR20" i="15"/>
  <c r="AB20" i="15"/>
  <c r="AQ22" i="15"/>
  <c r="AN6" i="16"/>
  <c r="AT6" i="16"/>
  <c r="AJ6" i="16"/>
  <c r="AJ10" i="8"/>
  <c r="AT10" i="8"/>
  <c r="AJ16" i="8"/>
  <c r="AT16" i="8"/>
  <c r="AJ22" i="8"/>
  <c r="AT22" i="8"/>
  <c r="AJ28" i="8"/>
  <c r="AT28" i="8"/>
  <c r="AJ34" i="8"/>
  <c r="AT34" i="8"/>
  <c r="AJ40" i="8"/>
  <c r="AT40" i="8"/>
  <c r="AJ46" i="8"/>
  <c r="AT46" i="8"/>
  <c r="AO20" i="10"/>
  <c r="AO14" i="10"/>
  <c r="AV14" i="10" s="1"/>
  <c r="AO8" i="10"/>
  <c r="AV8" i="10" s="1"/>
  <c r="AO6" i="10"/>
  <c r="AJ8" i="10"/>
  <c r="AQ14" i="10"/>
  <c r="AO18" i="10"/>
  <c r="AC18" i="10"/>
  <c r="AN18" i="10"/>
  <c r="AT18" i="10"/>
  <c r="AJ18" i="10"/>
  <c r="AQ22" i="10"/>
  <c r="AN8" i="12"/>
  <c r="AR10" i="12"/>
  <c r="AR12" i="12"/>
  <c r="AO18" i="12"/>
  <c r="AC18" i="12"/>
  <c r="AN18" i="12"/>
  <c r="AT18" i="12"/>
  <c r="AJ18" i="12"/>
  <c r="AV6" i="14"/>
  <c r="AT6" i="14"/>
  <c r="AJ6" i="14"/>
  <c r="AP6" i="8"/>
  <c r="AV6" i="8" s="1"/>
  <c r="AP12" i="8"/>
  <c r="AV12" i="8" s="1"/>
  <c r="AP18" i="8"/>
  <c r="AV18" i="8" s="1"/>
  <c r="AP24" i="8"/>
  <c r="AV24" i="8" s="1"/>
  <c r="AP30" i="8"/>
  <c r="AV30" i="8" s="1"/>
  <c r="AP36" i="8"/>
  <c r="AP42" i="8"/>
  <c r="AV42" i="8" s="1"/>
  <c r="AP48" i="8"/>
  <c r="AR52" i="8"/>
  <c r="AB52" i="8"/>
  <c r="AP52" i="8"/>
  <c r="AV52" i="8" s="1"/>
  <c r="AP20" i="10"/>
  <c r="AP14" i="10"/>
  <c r="AP8" i="10"/>
  <c r="AP3" i="10"/>
  <c r="AP6" i="10"/>
  <c r="AP10" i="10"/>
  <c r="AT14" i="10"/>
  <c r="AJ14" i="10"/>
  <c r="AP18" i="10"/>
  <c r="AP22" i="10"/>
  <c r="AR8" i="12"/>
  <c r="AC10" i="12"/>
  <c r="AO10" i="12"/>
  <c r="AT14" i="12"/>
  <c r="AJ14" i="12"/>
  <c r="AP18" i="12"/>
  <c r="AR8" i="14"/>
  <c r="AR10" i="14"/>
  <c r="AV10" i="14" s="1"/>
  <c r="AR6" i="16"/>
  <c r="AQ6" i="15"/>
  <c r="AJ8" i="15"/>
  <c r="AQ12" i="15"/>
  <c r="AJ14" i="15"/>
  <c r="AQ18" i="15"/>
  <c r="AQ18" i="10"/>
  <c r="AQ6" i="12"/>
  <c r="AQ12" i="12"/>
  <c r="AQ18" i="12"/>
  <c r="AR6" i="13"/>
  <c r="AV6" i="13" s="1"/>
  <c r="AQ10" i="14"/>
  <c r="AR6" i="15"/>
  <c r="AR12" i="15"/>
  <c r="AP16" i="15"/>
  <c r="AV16" i="15" s="1"/>
  <c r="AR18" i="15"/>
  <c r="AV18" i="15" s="1"/>
  <c r="AP22" i="15"/>
  <c r="AV22" i="15" s="1"/>
  <c r="AQ6" i="16"/>
  <c r="AH1" i="12"/>
  <c r="AH2" i="12" s="1"/>
  <c r="AO8" i="12"/>
  <c r="AC10" i="14"/>
  <c r="AP8" i="15"/>
  <c r="AV8" i="15" s="1"/>
  <c r="AB10" i="15"/>
  <c r="AP14" i="15"/>
  <c r="AB16" i="15"/>
  <c r="AP20" i="15"/>
  <c r="AV20" i="15" s="1"/>
  <c r="AB22" i="15"/>
  <c r="AH1" i="16"/>
  <c r="AH2" i="16" s="1"/>
  <c r="AC6" i="16"/>
  <c r="AJ6" i="9"/>
  <c r="AU6" i="10"/>
  <c r="AU12" i="10"/>
  <c r="AB16" i="10"/>
  <c r="AB22" i="10"/>
  <c r="AJ6" i="11"/>
  <c r="AU6" i="12"/>
  <c r="AB10" i="12"/>
  <c r="AU12" i="12"/>
  <c r="AB16" i="12"/>
  <c r="AU3" i="14"/>
  <c r="AB8" i="14"/>
  <c r="AJ10" i="15"/>
  <c r="AT10" i="15"/>
  <c r="AV10" i="15" s="1"/>
  <c r="AJ16" i="15"/>
  <c r="AT16" i="15"/>
  <c r="AJ22" i="15"/>
  <c r="AT22" i="15"/>
  <c r="AJ10" i="12"/>
  <c r="AP12" i="15"/>
  <c r="AV12" i="15" s="1"/>
  <c r="AV26" i="1" l="1"/>
  <c r="AV18" i="1"/>
  <c r="AV43" i="1"/>
  <c r="AV37" i="1"/>
  <c r="AV16" i="8"/>
  <c r="AV10" i="12"/>
  <c r="AV34" i="8"/>
  <c r="AV22" i="8"/>
  <c r="AV10" i="8"/>
  <c r="AV14" i="15"/>
  <c r="AV18" i="12"/>
  <c r="AV6" i="10"/>
  <c r="AV22" i="10"/>
  <c r="AV10" i="10"/>
  <c r="AV8" i="14"/>
  <c r="AV28" i="8"/>
  <c r="AV18" i="10"/>
  <c r="AV20" i="10"/>
  <c r="AV26" i="8"/>
  <c r="AV8" i="7"/>
  <c r="AV7" i="6"/>
  <c r="AV40" i="8"/>
  <c r="AV8" i="12"/>
  <c r="AV12" i="10"/>
  <c r="AV6" i="12"/>
  <c r="AV9" i="7"/>
  <c r="AV6" i="7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<sst xmlns="http://schemas.openxmlformats.org/spreadsheetml/2006/main" count="2893" uniqueCount="610">
  <si>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</si>
  <si>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</si>
  <si>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</si>
  <si>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</si>
  <si>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</si>
  <si>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</si>
  <si>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</si>
  <si>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</si>
  <si>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</si>
  <si>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</si>
  <si>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</si>
  <si>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</si>
  <si>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</si>
  <si>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</si>
  <si>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</si>
  <si>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</si>
  <si>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</si>
  <si>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</si>
  <si>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</si>
  <si>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</si>
  <si>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</si>
  <si>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</si>
  <si>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</si>
  <si>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</si>
  <si>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</si>
  <si>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</si>
  <si>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</si>
  <si>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</si>
  <si>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</si>
  <si>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</si>
  <si>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</si>
  <si>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</si>
  <si>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</si>
  <si>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</si>
  <si>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</si>
  <si>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</si>
  <si>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</si>
  <si>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</si>
  <si>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</si>
  <si>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</si>
  <si>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</si>
  <si>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</si>
  <si>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</si>
  <si>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</si>
  <si>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</si>
  <si>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</si>
  <si>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</si>
  <si>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</si>
  <si>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</si>
  <si>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</si>
  <si>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</si>
  <si>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</si>
  <si>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</si>
  <si>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</si>
  <si>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</si>
  <si>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</si>
  <si>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</si>
  <si>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</si>
  <si>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</si>
  <si>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20평대</t>
  </si>
  <si>
    <t>30평대</t>
  </si>
  <si>
    <t>40평대↑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</si>
  <si>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</si>
  <si>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</si>
  <si>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</si>
  <si>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</si>
  <si>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</si>
  <si>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</si>
  <si>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</si>
  <si>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</si>
  <si>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</si>
  <si>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</si>
  <si>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</si>
  <si>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</si>
  <si>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</si>
  <si>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</si>
  <si>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</si>
  <si>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</si>
  <si>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[판부면]</t>
  </si>
  <si>
    <t>남원주코아루미소지움</t>
  </si>
  <si>
    <t>2018.03.</t>
  </si>
  <si>
    <t>저</t>
  </si>
  <si>
    <t>계단식</t>
  </si>
  <si>
    <t>77B</t>
  </si>
  <si>
    <t>https://new.land.naver.com/complexes/118981?tab=detail&amp;rf=Y</t>
  </si>
  <si>
    <t>강원도 원주시 단계동 777-4</t>
  </si>
  <si>
    <t>강원도</t>
  </si>
  <si>
    <t>원주시</t>
  </si>
  <si>
    <t>단계동</t>
  </si>
  <si>
    <t>강원도 원주시 천사로 106</t>
  </si>
  <si>
    <t>70C</t>
  </si>
  <si>
    <t>[태장동]</t>
  </si>
  <si>
    <t>이안원주태장</t>
  </si>
  <si>
    <t>2019.08.</t>
  </si>
  <si>
    <t>고</t>
  </si>
  <si>
    <t>115C</t>
  </si>
  <si>
    <t>https://new.land.naver.com/complexes/121588?tab=detail&amp;rf=Y</t>
  </si>
  <si>
    <t>강원도 원주시 단계동 1221</t>
  </si>
  <si>
    <t>강원도 원주시 서원대로 35</t>
  </si>
  <si>
    <t>e편한세상원주태장</t>
  </si>
  <si>
    <t>2018.12.</t>
  </si>
  <si>
    <t>중</t>
  </si>
  <si>
    <t>106B</t>
  </si>
  <si>
    <t>https://new.land.naver.com/complexes/19154?tab=detail&amp;rf=Y</t>
  </si>
  <si>
    <t>강원도 원주시 단계동 1095-1</t>
  </si>
  <si>
    <t>강원도 원주시 봉화로 67</t>
  </si>
  <si>
    <t>54S</t>
  </si>
  <si>
    <t>https://new.land.naver.com/complexes/14569?tab=detail&amp;rf=Y</t>
  </si>
  <si>
    <t>강원도 원주시 단계동 792</t>
  </si>
  <si>
    <t>강원도 원주시 서원대로 205</t>
  </si>
  <si>
    <t>204A</t>
  </si>
  <si>
    <t>https://new.land.naver.com/complexes/112708?tab=detail&amp;rf=Y</t>
  </si>
  <si>
    <t>강원도 원주시 단계동 1218</t>
  </si>
  <si>
    <t>강원도 원주시 백간길 17-14</t>
  </si>
  <si>
    <t>[지정면]</t>
  </si>
  <si>
    <t>원주롯데캐슬골드파크2차</t>
  </si>
  <si>
    <t>2019.12.</t>
  </si>
  <si>
    <t>https://new.land.naver.com/complexes/19694?tab=detail&amp;rf=Y</t>
  </si>
  <si>
    <t>강원도 원주시 관설동 1774-4</t>
  </si>
  <si>
    <t>관설동</t>
  </si>
  <si>
    <t>강원도 원주시 시청로 496</t>
  </si>
  <si>
    <t>원주롯데캐슬골드파크1차</t>
  </si>
  <si>
    <t>127A</t>
  </si>
  <si>
    <t>https://new.land.naver.com/complexes/25807?tab=detail&amp;rf=Y</t>
  </si>
  <si>
    <t>강원도 원주시 단계동 1165</t>
  </si>
  <si>
    <t>강원도 원주시 모란1길 52</t>
  </si>
  <si>
    <t>이지더원더그레이스</t>
  </si>
  <si>
    <t>2020.06.</t>
  </si>
  <si>
    <t>107B</t>
  </si>
  <si>
    <t>https://new.land.naver.com/complexes/6279?tab=detail&amp;rf=Y</t>
  </si>
  <si>
    <t>강원도 원주시 개운동 322</t>
  </si>
  <si>
    <t>개운동</t>
  </si>
  <si>
    <t>강원도 원주시 남원로606번길 2</t>
  </si>
  <si>
    <t>원주롯데캐슬더퍼스트2차</t>
  </si>
  <si>
    <t>2018.08.</t>
  </si>
  <si>
    <t>45B</t>
  </si>
  <si>
    <t>https://new.land.naver.com/complexes/115100?tab=detail&amp;rf=Y</t>
  </si>
  <si>
    <t>강원도 원주시 단계동 879-9</t>
  </si>
  <si>
    <t>강원도 원주시 로아노크로 5-2</t>
  </si>
  <si>
    <t>원주기업도시유보라아이비파크2단지</t>
  </si>
  <si>
    <t>2020.01.</t>
  </si>
  <si>
    <t>https://new.land.naver.com/complexes/6282?tab=detail&amp;rf=Y</t>
  </si>
  <si>
    <t>강원도 원주시 개운동 439-5</t>
  </si>
  <si>
    <t>강원도 원주시 송림길 17</t>
  </si>
  <si>
    <t>원주기업도시호반베르디움8단지</t>
  </si>
  <si>
    <t>34C</t>
  </si>
  <si>
    <t>원주롯데캐슬더퍼스트</t>
  </si>
  <si>
    <t>2018.06.</t>
  </si>
  <si>
    <t>102A</t>
  </si>
  <si>
    <t>https://new.land.naver.com/complexes/6338?tab=detail&amp;rf=Y</t>
  </si>
  <si>
    <t>강원도 원주시 단계동 507</t>
  </si>
  <si>
    <t>강원도 원주시 원문로 176</t>
  </si>
  <si>
    <t>원주기업도시유보라아이비파크1단지</t>
  </si>
  <si>
    <t>107A</t>
  </si>
  <si>
    <t>원주기업도시호반베르디움(3-1블록)</t>
  </si>
  <si>
    <t>2019.05.</t>
  </si>
  <si>
    <t>https://new.land.naver.com/complexes/25806?tab=detail&amp;rf=Y</t>
  </si>
  <si>
    <t>강원도 원주시 단계동 1166</t>
  </si>
  <si>
    <t>강원도 원주시 모란1길 51</t>
  </si>
  <si>
    <t>원주기업도시호반베르디움(3-2블록)</t>
  </si>
  <si>
    <t>87B</t>
  </si>
  <si>
    <t>https://new.land.naver.com/complexes/109371?tab=detail&amp;rf=Y</t>
  </si>
  <si>
    <t>강원도 원주시 단계동 1215</t>
  </si>
  <si>
    <t>강원도 원주시 백간길 17</t>
  </si>
  <si>
    <t>원주기업도시라온프라이빗</t>
  </si>
  <si>
    <t>https://new.land.naver.com/complexes/6320?tab=detail&amp;rf=Y</t>
  </si>
  <si>
    <t>강원도 원주시 단계동 1084-1</t>
  </si>
  <si>
    <t>강원도 원주시 모래내길 50</t>
  </si>
  <si>
    <t>https://new.land.naver.com/complexes/14562?tab=detail&amp;rf=Y</t>
  </si>
  <si>
    <t>강원도 원주시 개운동 118-26</t>
  </si>
  <si>
    <t>강원도 원주시 치악로 1777</t>
  </si>
  <si>
    <t>https://new.land.naver.com/complexes/19747?tab=detail&amp;rf=Y</t>
  </si>
  <si>
    <t>강원도 원주시 관설동 1774-2</t>
  </si>
  <si>
    <t>강원도 원주시 시청로 494</t>
  </si>
  <si>
    <t>이지더원1차</t>
  </si>
  <si>
    <t>2019.01.</t>
  </si>
  <si>
    <t>https://new.land.naver.com/complexes/6298?tab=detail&amp;rf=Y</t>
  </si>
  <si>
    <t>강원도 원주시 단계동 111-47</t>
  </si>
  <si>
    <t>강원도 원주시 원문로 160</t>
  </si>
  <si>
    <t>111B</t>
  </si>
  <si>
    <t>https://new.land.naver.com/complexes/6286?tab=detail&amp;rf=Y</t>
  </si>
  <si>
    <t>강원도 원주시 개운동 328-1</t>
  </si>
  <si>
    <t>강원도 원주시 치악로1735번길 56</t>
  </si>
  <si>
    <t>87A</t>
  </si>
  <si>
    <t>34B</t>
  </si>
  <si>
    <t>40B</t>
  </si>
  <si>
    <t>https://new.land.naver.com/complexes/6301?tab=detail&amp;rf=Y</t>
  </si>
  <si>
    <t>강원도 원주시 단계동 808-1</t>
  </si>
  <si>
    <t>강원도 원주시 백간길 72</t>
  </si>
  <si>
    <t>107D</t>
  </si>
  <si>
    <t>복도식</t>
  </si>
  <si>
    <t>[우산동]</t>
  </si>
  <si>
    <t>한라비발디2차</t>
  </si>
  <si>
    <t>2014.09.</t>
  </si>
  <si>
    <t>https://new.land.naver.com/complexes/105676?tab=detail&amp;rf=Y</t>
  </si>
  <si>
    <t>강원도 원주시 단구동 1026-26</t>
  </si>
  <si>
    <t>단구동</t>
  </si>
  <si>
    <t>강원도 원주시 서원대로 434</t>
  </si>
  <si>
    <t>[반곡동]</t>
  </si>
  <si>
    <t>중흥에스-클래스프라디움</t>
  </si>
  <si>
    <t>2016.10.</t>
  </si>
  <si>
    <t>https://new.land.naver.com/complexes/14576?tab=detail&amp;rf=Y</t>
  </si>
  <si>
    <t>강원도 원주시 단구동 186-13</t>
  </si>
  <si>
    <t>강원도 원주시 치악로 1652</t>
  </si>
  <si>
    <t>힐데스하임5단지</t>
  </si>
  <si>
    <t>2015.05.</t>
  </si>
  <si>
    <t>https://new.land.naver.com/complexes/6352?tab=detail&amp;rf=Y</t>
  </si>
  <si>
    <t>강원도 원주시 단구동 186-2</t>
  </si>
  <si>
    <t>강원도 원주시 치악로 1634</t>
  </si>
  <si>
    <t>반곡모아엘가</t>
  </si>
  <si>
    <t>2017.07.</t>
  </si>
  <si>
    <t>https://new.land.naver.com/complexes/27349?tab=detail&amp;rf=Y</t>
  </si>
  <si>
    <t>강원도 원주시 단구동 1679</t>
  </si>
  <si>
    <t>강원도 원주시 단구로 406</t>
  </si>
  <si>
    <t>푸른숨LH3단지</t>
  </si>
  <si>
    <t>2015.06.</t>
  </si>
  <si>
    <t>108C</t>
  </si>
  <si>
    <t>https://new.land.naver.com/complexes/120251?tab=detail&amp;rf=Y</t>
  </si>
  <si>
    <t>강원도 원주시 단구동 1711</t>
  </si>
  <si>
    <t>강원도 원주시 오성마을길 63-30</t>
  </si>
  <si>
    <t>e편한세상반곡</t>
  </si>
  <si>
    <t>2018.11.</t>
  </si>
  <si>
    <t>33A</t>
  </si>
  <si>
    <t>LH센트럴파크</t>
  </si>
  <si>
    <t>2019.02.</t>
  </si>
  <si>
    <t>https://new.land.naver.com/complexes/6329?tab=detail&amp;rf=Y</t>
  </si>
  <si>
    <t>강원도 원주시 단계동 880</t>
  </si>
  <si>
    <t>강원도 원주시 로아노크로 15</t>
  </si>
  <si>
    <t>푸른숨휴브레스</t>
  </si>
  <si>
    <t>2013.12.</t>
  </si>
  <si>
    <t>https://new.land.naver.com/complexes/26103?tab=detail&amp;rf=Y</t>
  </si>
  <si>
    <t>강원도 원주시 단구동 1588-4</t>
  </si>
  <si>
    <t>강원도 원주시 단구로 408</t>
  </si>
  <si>
    <t>반곡퍼스트힐</t>
  </si>
  <si>
    <t>2014.10.</t>
  </si>
  <si>
    <t>161A</t>
  </si>
  <si>
    <t>https://new.land.naver.com/complexes/101042?tab=detail&amp;rf=Y</t>
  </si>
  <si>
    <t>강원도 원주시 단구동 1682-3</t>
  </si>
  <si>
    <t>강원도 원주시 단구로 411</t>
  </si>
  <si>
    <t>[문막읍]</t>
  </si>
  <si>
    <t>서원주코아루아너스</t>
  </si>
  <si>
    <t>2018.04.</t>
  </si>
  <si>
    <t>[무실동]</t>
  </si>
  <si>
    <t>더샵원주센트럴파크1단지</t>
  </si>
  <si>
    <t>2021.11.</t>
  </si>
  <si>
    <t>115B</t>
  </si>
  <si>
    <t>https://new.land.naver.com/complexes/19285?tab=detail&amp;rf=Y</t>
  </si>
  <si>
    <t>강원도 원주시 개운동 441</t>
  </si>
  <si>
    <t>강원도 원주시 서원대로 389</t>
  </si>
  <si>
    <t>무실우미린</t>
  </si>
  <si>
    <t>https://new.land.naver.com/complexes/12080?tab=detail&amp;rf=Y</t>
  </si>
  <si>
    <t>강원도 원주시 단구동 1467</t>
  </si>
  <si>
    <t>강원도 원주시 단구초교길 11</t>
  </si>
  <si>
    <t>원주무실세영리첼1차</t>
  </si>
  <si>
    <t>2014.06.</t>
  </si>
  <si>
    <t>194A</t>
  </si>
  <si>
    <t>원주무실세영리첼2차</t>
  </si>
  <si>
    <t>2015.04.</t>
  </si>
  <si>
    <t>https://new.land.naver.com/complexes/22497?tab=detail&amp;rf=Y</t>
  </si>
  <si>
    <t>강원도 원주시 단구동 1510-1</t>
  </si>
  <si>
    <t>강원도 원주시 서원대로 380</t>
  </si>
  <si>
    <t>79B</t>
  </si>
  <si>
    <t>85B</t>
  </si>
  <si>
    <t>사랑으로부영</t>
  </si>
  <si>
    <t>2012.07.</t>
  </si>
  <si>
    <t>107C</t>
  </si>
  <si>
    <t>https://new.land.naver.com/complexes/120250?tab=detail&amp;rf=Y</t>
  </si>
  <si>
    <t>강원도 원주시 단구동 1721</t>
  </si>
  <si>
    <t>강원도 원주시 오성마을길 63-25</t>
  </si>
  <si>
    <t>[명륜동]</t>
  </si>
  <si>
    <t>원주더샵센트럴파크2단지</t>
  </si>
  <si>
    <t>2022.01.</t>
  </si>
  <si>
    <t>https://new.land.naver.com/complexes/14563?tab=detail&amp;rf=Y</t>
  </si>
  <si>
    <t>강원도 원주시 개운동 546-3</t>
  </si>
  <si>
    <t>강원도 원주시 개운4길 75</t>
  </si>
  <si>
    <t>[단구동]</t>
  </si>
  <si>
    <t>원주단구내안애카운티에듀파크2단지</t>
  </si>
  <si>
    <t>https://new.land.naver.com/complexes/6280?tab=detail&amp;rf=Y</t>
  </si>
  <si>
    <t>강원도 원주시 개운동 203-70</t>
  </si>
  <si>
    <t>강원도 원주시 강변로 353</t>
  </si>
  <si>
    <t>원주단구내안애카운티에듀파크1단지</t>
  </si>
  <si>
    <t>https://new.land.naver.com/complexes/120538?tab=detail&amp;rf=Y</t>
  </si>
  <si>
    <t>강원도 원주시 개운동 555-34</t>
  </si>
  <si>
    <t>강원도 원주시 개운로 90</t>
  </si>
  <si>
    <t>단구한신더휴</t>
  </si>
  <si>
    <t>2017.11.</t>
  </si>
  <si>
    <t>109A</t>
  </si>
  <si>
    <t>https://new.land.naver.com/complexes/110694?tab=detail&amp;rf=Y</t>
  </si>
  <si>
    <t>강원도 원주시 단계동 1184</t>
  </si>
  <si>
    <t>강원도 원주시 봉화서부로 11</t>
  </si>
  <si>
    <t>[단계동]</t>
  </si>
  <si>
    <t>원주봉화산벨라시티3차</t>
  </si>
  <si>
    <t>2020.11.</t>
  </si>
  <si>
    <t>164C</t>
  </si>
  <si>
    <t>https://new.land.naver.com/complexes/18901?tab=detail&amp;rf=Y</t>
  </si>
  <si>
    <t>강원도 원주시 개운동 28-1</t>
  </si>
  <si>
    <t>강원도 원주시 행구로 54</t>
  </si>
  <si>
    <t>원주봉화산푸르지오</t>
  </si>
  <si>
    <t>https://new.land.naver.com/complexes/6326?tab=detail&amp;rf=Y</t>
  </si>
  <si>
    <t>강원도 원주시 단계동 1084-2</t>
  </si>
  <si>
    <t>강원도 원주시 백간길 81</t>
  </si>
  <si>
    <t>원주봉화산벨라시티2차</t>
  </si>
  <si>
    <t>https://new.land.naver.com/complexes/6317?tab=detail&amp;rf=Y</t>
  </si>
  <si>
    <t>강원도 원주시 단계동 809</t>
  </si>
  <si>
    <t>강원도 원주시 백간길 80</t>
  </si>
  <si>
    <t>봉화산벨라시티</t>
  </si>
  <si>
    <t>https://new.land.naver.com/complexes/6350?tab=detail&amp;rf=Y</t>
  </si>
  <si>
    <t>강원도 원주시 단구동 1517-1</t>
  </si>
  <si>
    <t>강원도 원주시 남원로 524</t>
  </si>
  <si>
    <t>77A</t>
  </si>
  <si>
    <t>163B</t>
  </si>
  <si>
    <t>https://new.land.naver.com/complexes/6340?tab=detail&amp;rf=Y</t>
  </si>
  <si>
    <t>강원도 원주시 단계동 806-1</t>
  </si>
  <si>
    <t>강원도 원주시 봉화로 122</t>
  </si>
  <si>
    <t>78A</t>
  </si>
  <si>
    <t>115A</t>
  </si>
  <si>
    <t>https://new.land.naver.com/complexes/25134?tab=detail&amp;rf=Y</t>
  </si>
  <si>
    <t>강원도 원주시 단구동 1702</t>
  </si>
  <si>
    <t>강원도 원주시 단관공원길 111</t>
  </si>
  <si>
    <t>추출대상</t>
  </si>
  <si>
    <t>매전갭</t>
  </si>
  <si>
    <t>판부면</t>
  </si>
  <si>
    <t>'18.03.</t>
  </si>
  <si>
    <t>13</t>
  </si>
  <si>
    <t>계</t>
  </si>
  <si>
    <t>A+</t>
  </si>
  <si>
    <t>B+</t>
  </si>
  <si>
    <t>8</t>
  </si>
  <si>
    <t>태장동</t>
  </si>
  <si>
    <t>'19.08.</t>
  </si>
  <si>
    <t>9</t>
  </si>
  <si>
    <t>20</t>
  </si>
  <si>
    <t>'18.12.</t>
  </si>
  <si>
    <t>지정면</t>
  </si>
  <si>
    <t>'19.12.</t>
  </si>
  <si>
    <t>10</t>
  </si>
  <si>
    <t>5</t>
  </si>
  <si>
    <t>18</t>
  </si>
  <si>
    <t>'20.06.</t>
  </si>
  <si>
    <t>26</t>
  </si>
  <si>
    <t>23</t>
  </si>
  <si>
    <t>'18.08.</t>
  </si>
  <si>
    <t>21</t>
  </si>
  <si>
    <t>'20.01.</t>
  </si>
  <si>
    <t>16</t>
  </si>
  <si>
    <t>'18.06.</t>
  </si>
  <si>
    <t>27</t>
  </si>
  <si>
    <t>'19.05.</t>
  </si>
  <si>
    <t>'19.01.</t>
  </si>
  <si>
    <t>6</t>
  </si>
  <si>
    <t>15</t>
  </si>
  <si>
    <t>12</t>
  </si>
  <si>
    <t>14</t>
  </si>
  <si>
    <t>22</t>
  </si>
  <si>
    <t>29</t>
  </si>
  <si>
    <t>복</t>
  </si>
  <si>
    <t>우산동</t>
  </si>
  <si>
    <t>'14.09.</t>
  </si>
  <si>
    <t>반곡동</t>
  </si>
  <si>
    <t>'16.10.</t>
  </si>
  <si>
    <t>'15.05.</t>
  </si>
  <si>
    <t>17</t>
  </si>
  <si>
    <t>'17.07.</t>
  </si>
  <si>
    <t>'15.06.</t>
  </si>
  <si>
    <t>'18.11.</t>
  </si>
  <si>
    <t>'19.02.</t>
  </si>
  <si>
    <t>'13.12.</t>
  </si>
  <si>
    <t>'14.10.</t>
  </si>
  <si>
    <t>문막읍</t>
  </si>
  <si>
    <t>'18.04.</t>
  </si>
  <si>
    <t>무실동</t>
  </si>
  <si>
    <t>'21.11.</t>
  </si>
  <si>
    <t>11</t>
  </si>
  <si>
    <t>'14.06.</t>
  </si>
  <si>
    <t>'15.04.</t>
  </si>
  <si>
    <t>'12.07.</t>
  </si>
  <si>
    <t>명륜동</t>
  </si>
  <si>
    <t>'22.01.</t>
  </si>
  <si>
    <t>'17.11.</t>
  </si>
  <si>
    <t>'20.11.</t>
  </si>
  <si>
    <t>동명</t>
  </si>
  <si>
    <t>'19.04</t>
  </si>
  <si>
    <t>판부면 남원주코아루미소지움</t>
    <phoneticPr fontId="2" type="noConversion"/>
  </si>
  <si>
    <t>18.12.</t>
    <phoneticPr fontId="2" type="noConversion"/>
  </si>
  <si>
    <t>지정면 원주롯데캐슬골드파크1차</t>
    <phoneticPr fontId="2" type="noConversion"/>
  </si>
  <si>
    <t>19.12.</t>
    <phoneticPr fontId="2" type="noConversion"/>
  </si>
  <si>
    <t>20.06.</t>
    <phoneticPr fontId="2" type="noConversion"/>
  </si>
  <si>
    <t>18.08.</t>
    <phoneticPr fontId="2" type="noConversion"/>
  </si>
  <si>
    <t>지정면 원주기업도시호반베르디움8단지</t>
    <phoneticPr fontId="2" type="noConversion"/>
  </si>
  <si>
    <t>지정면 원주기업도시유보라아이비파크1단지</t>
    <phoneticPr fontId="2" type="noConversion"/>
  </si>
  <si>
    <t>20.01.</t>
    <phoneticPr fontId="2" type="noConversion"/>
  </si>
  <si>
    <t>19.05.</t>
    <phoneticPr fontId="2" type="noConversion"/>
  </si>
  <si>
    <t>지정면 원주기업도시호반베르디움(3-2블록)</t>
    <phoneticPr fontId="2" type="noConversion"/>
  </si>
  <si>
    <t>19.01.</t>
    <phoneticPr fontId="2" type="noConversion"/>
  </si>
  <si>
    <t>18.06.</t>
    <phoneticPr fontId="2" type="noConversion"/>
  </si>
  <si>
    <t>지정면 이지더원1차</t>
    <phoneticPr fontId="2" type="noConversion"/>
  </si>
  <si>
    <t>우산동 한라비발디2차</t>
    <phoneticPr fontId="2" type="noConversion"/>
  </si>
  <si>
    <t>14.09.</t>
    <phoneticPr fontId="2" type="noConversion"/>
  </si>
  <si>
    <t>반곡동 중흥에스-클래스프라디움</t>
    <phoneticPr fontId="2" type="noConversion"/>
  </si>
  <si>
    <t>17.07.</t>
    <phoneticPr fontId="2" type="noConversion"/>
  </si>
  <si>
    <t>반곡동 e편한세상반곡</t>
    <phoneticPr fontId="2" type="noConversion"/>
  </si>
  <si>
    <t>19.02.</t>
    <phoneticPr fontId="2" type="noConversion"/>
  </si>
  <si>
    <t>반곡동 반곡퍼스트힐</t>
    <phoneticPr fontId="2" type="noConversion"/>
  </si>
  <si>
    <t>14.10.</t>
    <phoneticPr fontId="2" type="noConversion"/>
  </si>
  <si>
    <t>문막읍 서원주코아루아너스</t>
    <phoneticPr fontId="2" type="noConversion"/>
  </si>
  <si>
    <t>무실동 무실우미린</t>
    <phoneticPr fontId="2" type="noConversion"/>
  </si>
  <si>
    <t>14.06.</t>
    <phoneticPr fontId="2" type="noConversion"/>
  </si>
  <si>
    <t>무실동 원주무실세영리첼2차</t>
    <phoneticPr fontId="2" type="noConversion"/>
  </si>
  <si>
    <t>15.04.</t>
    <phoneticPr fontId="2" type="noConversion"/>
  </si>
  <si>
    <t>무실동 더샵원주센트럴파크1단지</t>
    <phoneticPr fontId="2" type="noConversion"/>
  </si>
  <si>
    <t>21.11.</t>
    <phoneticPr fontId="2" type="noConversion"/>
  </si>
  <si>
    <t>무실동 사랑으로부영</t>
    <phoneticPr fontId="2" type="noConversion"/>
  </si>
  <si>
    <t>12.07.</t>
    <phoneticPr fontId="2" type="noConversion"/>
  </si>
  <si>
    <t>단구동 단구한신더휴</t>
    <phoneticPr fontId="2" type="noConversion"/>
  </si>
  <si>
    <t>17.11.</t>
    <phoneticPr fontId="2" type="noConversion"/>
  </si>
  <si>
    <t>단계동 원주봉화산벨라시티3차</t>
    <phoneticPr fontId="2" type="noConversion"/>
  </si>
  <si>
    <t>20.11.</t>
    <phoneticPr fontId="2" type="noConversion"/>
  </si>
  <si>
    <t>단계동 원주봉화산푸르지오</t>
    <phoneticPr fontId="2" type="noConversion"/>
  </si>
  <si>
    <t>단계동 원주봉화산벨라시티2차</t>
    <phoneticPr fontId="2" type="noConversion"/>
  </si>
  <si>
    <t>단계동 봉화산벨라시티</t>
    <phoneticPr fontId="2" type="noConversion"/>
  </si>
  <si>
    <t>16.10.</t>
    <phoneticPr fontId="2" type="noConversion"/>
  </si>
  <si>
    <t>판부면 남원주코아루미소지움</t>
    <phoneticPr fontId="2" type="noConversion"/>
  </si>
  <si>
    <t>태장동 이안원주태장</t>
    <phoneticPr fontId="2" type="noConversion"/>
  </si>
  <si>
    <t>지정면 원주기업도시유보라아이비파크1단지</t>
    <phoneticPr fontId="2" type="noConversion"/>
  </si>
  <si>
    <t>18.03.</t>
    <phoneticPr fontId="2" type="noConversion"/>
  </si>
  <si>
    <t>19.08.</t>
    <phoneticPr fontId="2" type="noConversion"/>
  </si>
  <si>
    <t>태장동 e편한세상원주태장</t>
    <phoneticPr fontId="2" type="noConversion"/>
  </si>
  <si>
    <t>18.12.</t>
    <phoneticPr fontId="2" type="noConversion"/>
  </si>
  <si>
    <t>지정면 원주롯데캐슬골드파크2차</t>
    <phoneticPr fontId="2" type="noConversion"/>
  </si>
  <si>
    <t>19.12.</t>
    <phoneticPr fontId="2" type="noConversion"/>
  </si>
  <si>
    <t>지정면 원주롯데캐슬골드파크1차</t>
    <phoneticPr fontId="2" type="noConversion"/>
  </si>
  <si>
    <t>지정면 이지더원더그레이스</t>
    <phoneticPr fontId="2" type="noConversion"/>
  </si>
  <si>
    <t>지정면 원주롯데캐슬더퍼스트2차</t>
    <phoneticPr fontId="2" type="noConversion"/>
  </si>
  <si>
    <t>18.08.</t>
    <phoneticPr fontId="2" type="noConversion"/>
  </si>
  <si>
    <t>지정면 원주기업도시유보라아이비파크2단지</t>
    <phoneticPr fontId="2" type="noConversion"/>
  </si>
  <si>
    <t>20.01.</t>
    <phoneticPr fontId="2" type="noConversion"/>
  </si>
  <si>
    <t>지정면 원주기업도시호반베르디움8단지</t>
    <phoneticPr fontId="2" type="noConversion"/>
  </si>
  <si>
    <t>지정면 원주롯데캐슬더퍼스트</t>
    <phoneticPr fontId="2" type="noConversion"/>
  </si>
  <si>
    <t>18.06.</t>
    <phoneticPr fontId="2" type="noConversion"/>
  </si>
  <si>
    <t>지정면 원주기업도시호반베르디움(3-1블록)</t>
    <phoneticPr fontId="2" type="noConversion"/>
  </si>
  <si>
    <t>19.05.</t>
    <phoneticPr fontId="2" type="noConversion"/>
  </si>
  <si>
    <t>지정면 원주기업도시라온프라이빗</t>
    <phoneticPr fontId="2" type="noConversion"/>
  </si>
  <si>
    <t>지정면 이지더원더그레이스</t>
    <phoneticPr fontId="2" type="noConversion"/>
  </si>
  <si>
    <t>20.06.</t>
    <phoneticPr fontId="2" type="noConversion"/>
  </si>
  <si>
    <t>지정면 원주롯데캐슬골드파크2차</t>
    <phoneticPr fontId="2" type="noConversion"/>
  </si>
  <si>
    <t>19.12.</t>
    <phoneticPr fontId="2" type="noConversion"/>
  </si>
  <si>
    <t>지정면 원주기업도시유보라아이비파크2단지</t>
    <phoneticPr fontId="2" type="noConversion"/>
  </si>
  <si>
    <t>지정면 원주롯데캐슬더퍼스트2차</t>
    <phoneticPr fontId="2" type="noConversion"/>
  </si>
  <si>
    <t>지정면 원주롯데캐슬더퍼스트</t>
    <phoneticPr fontId="2" type="noConversion"/>
  </si>
  <si>
    <t>지정면 원주기업도시호반베르디움(3-1블록)</t>
    <phoneticPr fontId="2" type="noConversion"/>
  </si>
  <si>
    <t>19.05.</t>
    <phoneticPr fontId="2" type="noConversion"/>
  </si>
  <si>
    <t>지정면 원주기업도시라온프라이빗</t>
    <phoneticPr fontId="2" type="noConversion"/>
  </si>
  <si>
    <t>지정면 이지더원1차</t>
    <phoneticPr fontId="2" type="noConversion"/>
  </si>
  <si>
    <t>16.10.</t>
    <phoneticPr fontId="2" type="noConversion"/>
  </si>
  <si>
    <t>반곡동 힐데스하임5단지</t>
    <phoneticPr fontId="2" type="noConversion"/>
  </si>
  <si>
    <t>15.05.</t>
    <phoneticPr fontId="2" type="noConversion"/>
  </si>
  <si>
    <t>반곡동 반곡모아엘가</t>
    <phoneticPr fontId="2" type="noConversion"/>
  </si>
  <si>
    <t>반곡동 푸른숨LH3단지</t>
    <phoneticPr fontId="2" type="noConversion"/>
  </si>
  <si>
    <t>15.06.</t>
    <phoneticPr fontId="2" type="noConversion"/>
  </si>
  <si>
    <t>18.11.</t>
    <phoneticPr fontId="2" type="noConversion"/>
  </si>
  <si>
    <t>반곡동 LH센트럴파크</t>
    <phoneticPr fontId="2" type="noConversion"/>
  </si>
  <si>
    <t>반곡동 푸른숨휴브레스</t>
    <phoneticPr fontId="2" type="noConversion"/>
  </si>
  <si>
    <t>13.12.</t>
    <phoneticPr fontId="2" type="noConversion"/>
  </si>
  <si>
    <t>반곡동 e편한세상반곡</t>
    <phoneticPr fontId="2" type="noConversion"/>
  </si>
  <si>
    <t>18.11.</t>
    <phoneticPr fontId="2" type="noConversion"/>
  </si>
  <si>
    <t>18.04.</t>
    <phoneticPr fontId="2" type="noConversion"/>
  </si>
  <si>
    <t>무실동 원주무실세영리첼1차</t>
    <phoneticPr fontId="2" type="noConversion"/>
  </si>
  <si>
    <t>무실동 무실우미린</t>
    <phoneticPr fontId="2" type="noConversion"/>
  </si>
  <si>
    <t>14.09.</t>
    <phoneticPr fontId="2" type="noConversion"/>
  </si>
  <si>
    <t>무실동 더샵원주센트럴파크1단지</t>
    <phoneticPr fontId="2" type="noConversion"/>
  </si>
  <si>
    <t>21.11.</t>
    <phoneticPr fontId="2" type="noConversion"/>
  </si>
  <si>
    <t>명륜동 원주더샵센트럴파크2단지</t>
    <phoneticPr fontId="2" type="noConversion"/>
  </si>
  <si>
    <t>22.01.</t>
    <phoneticPr fontId="2" type="noConversion"/>
  </si>
  <si>
    <t>단구동 원주단구내안애카운티에듀파크2단지</t>
    <phoneticPr fontId="2" type="noConversion"/>
  </si>
  <si>
    <t>20.06.</t>
    <phoneticPr fontId="2" type="noConversion"/>
  </si>
  <si>
    <t>단구동 원주단구내안애카운티에듀파크1단지</t>
    <phoneticPr fontId="2" type="noConversion"/>
  </si>
  <si>
    <t>17.11.</t>
    <phoneticPr fontId="2" type="noConversion"/>
  </si>
  <si>
    <t>단계동 원주봉화산푸르지오</t>
    <phoneticPr fontId="2" type="noConversion"/>
  </si>
  <si>
    <t>17.11.</t>
    <phoneticPr fontId="2" type="noConversion"/>
  </si>
  <si>
    <t>단계동 원주봉화산벨라시티3차</t>
    <phoneticPr fontId="2" type="noConversion"/>
  </si>
  <si>
    <t>단계동 원주봉화산벨라시티2차</t>
    <phoneticPr fontId="2" type="noConversion"/>
  </si>
  <si>
    <t>단계동 원주봉화산푸르지오</t>
    <phoneticPr fontId="2" type="noConversion"/>
  </si>
  <si>
    <t>17.11.</t>
    <phoneticPr fontId="2" type="noConversion"/>
  </si>
  <si>
    <t>16.10.</t>
    <phoneticPr fontId="2" type="noConversion"/>
  </si>
  <si>
    <t>무실동</t>
    <phoneticPr fontId="2" type="noConversion"/>
  </si>
  <si>
    <t>지정면</t>
    <phoneticPr fontId="2" type="noConversion"/>
  </si>
  <si>
    <t>반곡동</t>
    <phoneticPr fontId="2" type="noConversion"/>
  </si>
  <si>
    <t>단계동</t>
    <phoneticPr fontId="2" type="noConversion"/>
  </si>
  <si>
    <t>단구동</t>
    <phoneticPr fontId="2" type="noConversion"/>
  </si>
  <si>
    <t>판부면 남원주코아루미소지움</t>
    <phoneticPr fontId="2" type="noConversion"/>
  </si>
  <si>
    <t>18.03.</t>
    <phoneticPr fontId="2" type="noConversion"/>
  </si>
  <si>
    <t>태장동 이안원주태장</t>
    <phoneticPr fontId="2" type="noConversion"/>
  </si>
  <si>
    <t>19.08.</t>
    <phoneticPr fontId="2" type="noConversion"/>
  </si>
  <si>
    <t>태장동 e편한세상원주태장</t>
    <phoneticPr fontId="2" type="noConversion"/>
  </si>
  <si>
    <t>18.12.</t>
    <phoneticPr fontId="2" type="noConversion"/>
  </si>
  <si>
    <t>지정면 원주롯데캐슬골드파크2차</t>
    <phoneticPr fontId="2" type="noConversion"/>
  </si>
  <si>
    <t>19.12.</t>
    <phoneticPr fontId="2" type="noConversion"/>
  </si>
  <si>
    <t>지정면 원주롯데캐슬골드파크1차</t>
    <phoneticPr fontId="2" type="noConversion"/>
  </si>
  <si>
    <t>19.12.</t>
    <phoneticPr fontId="2" type="noConversion"/>
  </si>
  <si>
    <t>지정면 이지더원더그레이스</t>
    <phoneticPr fontId="2" type="noConversion"/>
  </si>
  <si>
    <t>20.06.</t>
    <phoneticPr fontId="2" type="noConversion"/>
  </si>
  <si>
    <t>지정면 원주롯데캐슬더퍼스트2차</t>
    <phoneticPr fontId="2" type="noConversion"/>
  </si>
  <si>
    <t>18.08.</t>
    <phoneticPr fontId="2" type="noConversion"/>
  </si>
  <si>
    <t>지정면 원주기업도시유보라아이비파크2단지</t>
    <phoneticPr fontId="2" type="noConversion"/>
  </si>
  <si>
    <t>20.01.</t>
    <phoneticPr fontId="2" type="noConversion"/>
  </si>
  <si>
    <t>지정면 원주기업도시호반베르디움8단지</t>
    <phoneticPr fontId="2" type="noConversion"/>
  </si>
  <si>
    <t>지정면 원주기업도시유보라아이비파크1단지</t>
    <phoneticPr fontId="2" type="noConversion"/>
  </si>
  <si>
    <t>지정면 원주기업도시호반베르디움(3-1블록)</t>
    <phoneticPr fontId="2" type="noConversion"/>
  </si>
  <si>
    <t>19.05.</t>
    <phoneticPr fontId="2" type="noConversion"/>
  </si>
  <si>
    <t>지정면 원주기업도시호반베르디움(3-2블록)</t>
    <phoneticPr fontId="2" type="noConversion"/>
  </si>
  <si>
    <t>19.05.</t>
    <phoneticPr fontId="2" type="noConversion"/>
  </si>
  <si>
    <t>지정면 원주기업도시라온프라이빗</t>
    <phoneticPr fontId="2" type="noConversion"/>
  </si>
  <si>
    <t>지정면 이지더원더그레이스</t>
    <phoneticPr fontId="2" type="noConversion"/>
  </si>
  <si>
    <t>20.06.</t>
    <phoneticPr fontId="2" type="noConversion"/>
  </si>
  <si>
    <t>지정면 원주롯데캐슬골드파크2차</t>
    <phoneticPr fontId="2" type="noConversion"/>
  </si>
  <si>
    <t>19.12.</t>
    <phoneticPr fontId="2" type="noConversion"/>
  </si>
  <si>
    <t>지정면 이지더원1차</t>
    <phoneticPr fontId="2" type="noConversion"/>
  </si>
  <si>
    <t>19.01.</t>
    <phoneticPr fontId="2" type="noConversion"/>
  </si>
  <si>
    <t>20.01.</t>
    <phoneticPr fontId="2" type="noConversion"/>
  </si>
  <si>
    <t>지정면 원주롯데캐슬더퍼스트</t>
    <phoneticPr fontId="2" type="noConversion"/>
  </si>
  <si>
    <t>18.06.</t>
    <phoneticPr fontId="2" type="noConversion"/>
  </si>
  <si>
    <t>지정면 원주기업도시호반베르디움(3-1블록)</t>
    <phoneticPr fontId="2" type="noConversion"/>
  </si>
  <si>
    <t>지정면 원주기업도시라온프라이빗</t>
    <phoneticPr fontId="2" type="noConversion"/>
  </si>
  <si>
    <t>18.12.</t>
    <phoneticPr fontId="2" type="noConversion"/>
  </si>
  <si>
    <t>지정면 이지더원1차</t>
    <phoneticPr fontId="2" type="noConversion"/>
  </si>
  <si>
    <t>19.01.</t>
    <phoneticPr fontId="2" type="noConversion"/>
  </si>
  <si>
    <t>우산동 한라비발디2차</t>
    <phoneticPr fontId="2" type="noConversion"/>
  </si>
  <si>
    <t>14.09.</t>
    <phoneticPr fontId="2" type="noConversion"/>
  </si>
  <si>
    <t>반곡동 중흥에스-클래스프라디움</t>
    <phoneticPr fontId="2" type="noConversion"/>
  </si>
  <si>
    <t>16.10.</t>
    <phoneticPr fontId="2" type="noConversion"/>
  </si>
  <si>
    <t>반곡동 힐데스하임5단지</t>
    <phoneticPr fontId="2" type="noConversion"/>
  </si>
  <si>
    <t>15.05.</t>
    <phoneticPr fontId="2" type="noConversion"/>
  </si>
  <si>
    <t>반곡동 반곡모아엘가</t>
    <phoneticPr fontId="2" type="noConversion"/>
  </si>
  <si>
    <t>17.07.</t>
    <phoneticPr fontId="2" type="noConversion"/>
  </si>
  <si>
    <t>반곡동 푸른숨LH3단지</t>
    <phoneticPr fontId="2" type="noConversion"/>
  </si>
  <si>
    <t>15.06.</t>
    <phoneticPr fontId="2" type="noConversion"/>
  </si>
  <si>
    <t>반곡동 e편한세상반곡</t>
    <phoneticPr fontId="2" type="noConversion"/>
  </si>
  <si>
    <t>18.11.</t>
    <phoneticPr fontId="2" type="noConversion"/>
  </si>
  <si>
    <t>반곡동 LH센트럴파크</t>
    <phoneticPr fontId="2" type="noConversion"/>
  </si>
  <si>
    <t>19.02.</t>
    <phoneticPr fontId="2" type="noConversion"/>
  </si>
  <si>
    <t>반곡동 푸른숨휴브레스</t>
    <phoneticPr fontId="2" type="noConversion"/>
  </si>
  <si>
    <t>13.12.</t>
    <phoneticPr fontId="2" type="noConversion"/>
  </si>
  <si>
    <t>반곡동 반곡퍼스트힐</t>
    <phoneticPr fontId="2" type="noConversion"/>
  </si>
  <si>
    <t>14.10.</t>
    <phoneticPr fontId="2" type="noConversion"/>
  </si>
  <si>
    <t>반곡동 e편한세상반곡</t>
    <phoneticPr fontId="2" type="noConversion"/>
  </si>
  <si>
    <t>18.11.</t>
    <phoneticPr fontId="2" type="noConversion"/>
  </si>
  <si>
    <t>문막읍 서원주코아루아너스</t>
    <phoneticPr fontId="2" type="noConversion"/>
  </si>
  <si>
    <t>18.04.</t>
    <phoneticPr fontId="2" type="noConversion"/>
  </si>
  <si>
    <t>무실동 더샵원주센트럴파크1단지</t>
    <phoneticPr fontId="2" type="noConversion"/>
  </si>
  <si>
    <t>21.11.</t>
    <phoneticPr fontId="2" type="noConversion"/>
  </si>
  <si>
    <t>무실동 무실우미린</t>
    <phoneticPr fontId="2" type="noConversion"/>
  </si>
  <si>
    <t>무실동 원주무실세영리첼1차</t>
    <phoneticPr fontId="2" type="noConversion"/>
  </si>
  <si>
    <t>14.06.</t>
    <phoneticPr fontId="2" type="noConversion"/>
  </si>
  <si>
    <t>무실동 원주무실세영리첼2차</t>
    <phoneticPr fontId="2" type="noConversion"/>
  </si>
  <si>
    <t>15.04.</t>
    <phoneticPr fontId="2" type="noConversion"/>
  </si>
  <si>
    <t>무실동 무실우미린</t>
    <phoneticPr fontId="2" type="noConversion"/>
  </si>
  <si>
    <t>14.09.</t>
    <phoneticPr fontId="2" type="noConversion"/>
  </si>
  <si>
    <t>무실동 더샵원주센트럴파크1단지</t>
    <phoneticPr fontId="2" type="noConversion"/>
  </si>
  <si>
    <t>21.11.</t>
    <phoneticPr fontId="2" type="noConversion"/>
  </si>
  <si>
    <t>무실동 사랑으로부영</t>
    <phoneticPr fontId="2" type="noConversion"/>
  </si>
  <si>
    <t>12.07.</t>
    <phoneticPr fontId="2" type="noConversion"/>
  </si>
  <si>
    <t>명륜동 원주더샵센트럴파크2단지</t>
    <phoneticPr fontId="2" type="noConversion"/>
  </si>
  <si>
    <t>22.01.</t>
    <phoneticPr fontId="2" type="noConversion"/>
  </si>
  <si>
    <t>단구동 원주단구내안애카운티에듀파크2단지</t>
    <phoneticPr fontId="2" type="noConversion"/>
  </si>
  <si>
    <t>단구동 원주단구내안애카운티에듀파크1단지</t>
    <phoneticPr fontId="2" type="noConversion"/>
  </si>
  <si>
    <t>단구동 단구한신더휴</t>
    <phoneticPr fontId="2" type="noConversion"/>
  </si>
  <si>
    <t>17.11.</t>
    <phoneticPr fontId="2" type="noConversion"/>
  </si>
  <si>
    <t>단계동 원주봉화산벨라시티3차</t>
    <phoneticPr fontId="2" type="noConversion"/>
  </si>
  <si>
    <t>20.11.</t>
    <phoneticPr fontId="2" type="noConversion"/>
  </si>
  <si>
    <t>단계동 원주봉화산푸르지오</t>
    <phoneticPr fontId="2" type="noConversion"/>
  </si>
  <si>
    <t>17.11.</t>
    <phoneticPr fontId="2" type="noConversion"/>
  </si>
  <si>
    <t>단계동 원주봉화산벨라시티2차</t>
    <phoneticPr fontId="2" type="noConversion"/>
  </si>
  <si>
    <t>단계동 봉화산벨라시티</t>
    <phoneticPr fontId="2" type="noConversion"/>
  </si>
  <si>
    <t>16.10.</t>
    <phoneticPr fontId="2" type="noConversion"/>
  </si>
  <si>
    <t>단계동 원주봉화산푸르지오</t>
    <phoneticPr fontId="2" type="noConversion"/>
  </si>
  <si>
    <t>단계동 원주봉화산벨라시티2차</t>
    <phoneticPr fontId="2" type="noConversion"/>
  </si>
  <si>
    <t>더샵원주센트럴파크1단지(34평/5.6)</t>
  </si>
  <si>
    <t>더샵원주센트럴파크1단지('21/5.6)</t>
  </si>
  <si>
    <t>원주롯데캐슬골드파크2차(34평/5.0)</t>
  </si>
  <si>
    <t>원주롯데캐슬골드파크2차('19/5.0)</t>
  </si>
  <si>
    <t>힐데스하임5단지(35평/5.0)</t>
  </si>
  <si>
    <t>힐데스하임5단지('15/5.0)</t>
  </si>
  <si>
    <t>무실우미린(34평/4.9)_x000D_
원주무실세영리첼1차(33평/4.8)_x000D_
무실우미린(30평/4.2)</t>
    <phoneticPr fontId="2" type="noConversion"/>
  </si>
  <si>
    <t>무실우미린('14/4.9)_x000D_
원주무실세영리첼1차('14/4.8)_x000D_
무실우미린('14/4.2)</t>
    <phoneticPr fontId="2" type="noConversion"/>
  </si>
  <si>
    <t>원주봉화산푸르지오(33평/4.2)_x000D_
원주봉화산벨라시티2차(35평/4.1)</t>
    <phoneticPr fontId="2" type="noConversion"/>
  </si>
  <si>
    <t>원주봉화산푸르지오('17/4.2)_x000D_
원주봉화산벨라시티2차('18/4.1)</t>
    <phoneticPr fontId="2" type="noConversion"/>
  </si>
  <si>
    <t>원주롯데캐슬골드파크1차(33평/4.9)_x000D_
원주롯데캐슬더퍼스트2차(34평/4.5)_x000D_
이지더원더그레이스(35평/4.3)_x000D_
원주기업도시호반베르디움8단지(34평/4.1)_x000D_
원주기업도시유보라아이비파크2단지(34평/4.0)_x000D_
원주기업도시라온프라이빗(34평/4.0)</t>
    <phoneticPr fontId="2" type="noConversion"/>
  </si>
  <si>
    <t>원주롯데캐슬골드파크1차('19/4.9)_x000D_
원주롯데캐슬더퍼스트2차('18/4.5)_x000D_
이지더원더그레이스('20/4.3)_x000D_
원주기업도시호반베르디움8단지('18/4.1)_x000D_
원주기업도시유보라아이비파크2단지('20/4.0)_x000D_
원주기업도시라온프라이빗('18/4.0)</t>
    <phoneticPr fontId="2" type="noConversion"/>
  </si>
  <si>
    <t>중흥에스-클래스프라디움(34평/4.7)_x000D_
반곡모아엘가(33평/4.0)</t>
    <phoneticPr fontId="2" type="noConversion"/>
  </si>
  <si>
    <t>중흥에스-클래스프라디움('16/4.7)_x000D_
반곡모아엘가('17/4.0)</t>
    <phoneticPr fontId="2" type="noConversion"/>
  </si>
  <si>
    <t>원주기업도시유보라아이비파크1단지('20/4.0)_x000D_
원주기업도시호반베르디움(3-1블록)('19/4.0)_x000D_
원주기업도시호반베르디움(3-2블록)('19/4.0)_x000D_
이지더원1차('19/3.5)</t>
    <phoneticPr fontId="2" type="noConversion"/>
  </si>
  <si>
    <t>원주단구내안애카운티에듀파크2단지(33평/3.9)_x000D_
단구한신더휴(35평/3.6)_x000D_
원주단구내안애카운티에듀파크1단지(32평/3.5)</t>
    <phoneticPr fontId="2" type="noConversion"/>
  </si>
  <si>
    <t>원주단구내안애카운티에듀파크2단지('20/3.9)_x000D_
단구한신더휴('17/3.6)_x000D_
원주단구내안애카운티에듀파크1단지('20/3.5)</t>
    <phoneticPr fontId="2" type="noConversion"/>
  </si>
  <si>
    <t>봉화산벨라시티('16/3.7)_x000D_
원주봉화산푸르지오('17/3.5)</t>
    <phoneticPr fontId="2" type="noConversion"/>
  </si>
  <si>
    <t>원주롯데캐슬골드파크2차('19/3.5)_x000D_
원주롯데캐슬골드파크1차('19/3.3)</t>
    <phoneticPr fontId="2" type="noConversion"/>
  </si>
  <si>
    <t>사랑으로부영(27평/3.2)</t>
  </si>
  <si>
    <t>사랑으로부영('12/3.2)</t>
  </si>
  <si>
    <t>봉화산벨라시티(34평/3.7)_x000D_
원주봉화산푸르지오(30평/3.5)_x000D_
원주봉화산벨라시티3차(25평/3.2)_x000D_
원주봉화산벨라시티2차(25평/3.2)</t>
    <phoneticPr fontId="2" type="noConversion"/>
  </si>
  <si>
    <t>원주봉화산벨라시티2차('18/3.2)</t>
  </si>
  <si>
    <t>e편한세상반곡(34평/4.0)_x000D_
LH센트럴파크(34평/3.9)_x000D_
푸른숨LH3단지(33평/3.8)_x000D_
푸른숨휴브레스(33평/3.7)_x000D_
반곡퍼스트힐(33평/3.2)</t>
    <phoneticPr fontId="2" type="noConversion"/>
  </si>
  <si>
    <t>e편한세상반곡('18/4.0)_x000D_
LH센트럴파크('19/3.9)_x000D_
푸른숨LH3단지('15/3.8)_x000D_
푸른숨휴브레스('13/3.7)_x000D_
반곡퍼스트힐('14/3.2)</t>
    <phoneticPr fontId="2" type="noConversion"/>
  </si>
  <si>
    <t>원주기업도시유보라아이비파크1단지(33평/4.0)_x000D_
원주기업도시호반베르디움(3-1블록)(34평/4.0)_x000D_
원주기업도시호반베르디움(3-2블록)(34평/4.0)_x000D_
이지더원1차(34평/3.5)_x000D_
원주롯데캐슬골드파크2차(25평/3.5)_x000D_
원주롯데캐슬골드파크1차(25평/3.3)_x000D_
원주롯데캐슬더퍼스트2차(26평/3.0)</t>
    <phoneticPr fontId="2" type="noConversion"/>
  </si>
  <si>
    <t>원주봉화산푸르지오('17/2.9)</t>
  </si>
  <si>
    <t>e편한세상반곡(26평/2.9)</t>
  </si>
  <si>
    <t>e편한세상반곡('18/2.9)</t>
  </si>
  <si>
    <t>원주봉화산푸르지오(26평/2.9)_x000D_
봉화산벨라시티(27평/2.8)</t>
    <phoneticPr fontId="2" type="noConversion"/>
  </si>
  <si>
    <t>봉화산벨라시티('16/2.8)</t>
  </si>
  <si>
    <t>원주기업도시호반베르디움(3-1블록)('19/3.0)_x000D_
이지더원더그레이스('20/2.9)_x000D_
원주기업도시호반베르디움(3-2블록)('19/2.8)_x000D_
원주기업도시유보라아이비파크1단지('20/2.7)_x000D_
원주기업도시라온프라이빗('18/2.7)</t>
    <phoneticPr fontId="2" type="noConversion"/>
  </si>
  <si>
    <t>원주기업도시호반베르디움(3-1블록)(25평/3.0)_x000D_
원주기업도시유보라아이비파크2단지(24평/2.9)_x000D_
원주기업도시호반베르디움8단지(26평/2.9)_x000D_
원주롯데캐슬더퍼스트(26평/2.9)_x000D_
이지더원더그레이스(25평/2.9)_x000D_
원주기업도시호반베르디움(3-2블록)(25평/2.8)_x000D_
원주기업도시유보라아이비파크1단지(25평/2.7)_x000D_
원주기업도시라온프라이빗(25평/2.7)_x000D_
이지더원1차(24평/2.6)</t>
    <phoneticPr fontId="2" type="noConversion"/>
  </si>
  <si>
    <t>이지더원1차('19/2.6)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</si>
</sst>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5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0" fillId="2" borderId="0" xfId="0" applyFill="1" applyAlignment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82" fontId="4" fillId="2" borderId="0" xfId="0" applyNumberFormat="1" applyFont="1" applyFill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3" fontId="8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vertical="center"/>
    </xf>
    <xf numFmtId="0" fontId="15" fillId="2" borderId="1" xfId="0" quotePrefix="1" applyFont="1" applyFill="1" applyBorder="1" applyAlignment="1">
      <alignment horizontal="center" vertical="center"/>
    </xf>
    <xf numFmtId="180" fontId="15" fillId="2" borderId="1" xfId="0" applyNumberFormat="1" applyFont="1" applyFill="1" applyBorder="1" applyAlignment="1">
      <alignment horizontal="right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2564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0</xdr:rowOff>
        </xdr:from>
        <xdr:to>
          <xdr:col>14</xdr:col>
          <xdr:colOff>152400</xdr:colOff>
          <xdr:row>0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0</xdr:rowOff>
        </xdr:from>
        <xdr:to>
          <xdr:col>14</xdr:col>
          <xdr:colOff>152400</xdr:colOff>
          <xdr:row>0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tabSelected="1" zoomScaleNormal="100" zoomScaleSheetLayoutView="85" workbookViewId="0">
      <pane xSplit="1" ySplit="3" topLeftCell="B31" activePane="bottomRight" state="frozen"/>
      <selection activeCell="U15" sqref="U15"/>
      <selection pane="topRight" activeCell="U15" sqref="U15"/>
      <selection pane="bottomLeft" activeCell="U15" sqref="U15"/>
      <selection pane="bottomRight" activeCell="H26" sqref="H26"/>
    </sheetView>
  </sheetViews>
  <sheetFormatPr defaultColWidth="9" defaultRowHeight="14.1" customHeight="1" x14ac:dyDescent="0.3"/>
  <cols>
    <col min="1" max="1" width="22.5" style="77" bestFit="1" customWidth="1"/>
    <col min="2" max="2" width="5.625" style="77" bestFit="1" customWidth="1"/>
    <col min="3" max="3" width="6.625" style="77" bestFit="1" customWidth="1"/>
    <col min="4" max="4" width="5.625" style="77" bestFit="1" customWidth="1"/>
    <col min="5" max="5" width="4.625" style="77" bestFit="1" customWidth="1"/>
    <col min="6" max="6" width="5.625" style="77" bestFit="1" customWidth="1"/>
    <col min="7" max="7" width="4.625" style="77" bestFit="1" customWidth="1"/>
    <col min="8" max="8" width="6.625" style="77" bestFit="1" customWidth="1"/>
    <col min="9" max="9" width="7.75" style="77" bestFit="1" customWidth="1"/>
    <col min="10" max="10" width="4" style="77" bestFit="1" customWidth="1"/>
    <col min="11" max="11" width="6.875" style="77" bestFit="1" customWidth="1"/>
    <col min="12" max="12" width="4" style="77" bestFit="1" customWidth="1"/>
    <col min="13" max="13" width="6.875" style="77" bestFit="1" customWidth="1"/>
    <col min="14" max="14" width="4.625" style="77" bestFit="1" customWidth="1"/>
    <col min="15" max="16" width="7.625" style="77" bestFit="1" customWidth="1"/>
    <col min="17" max="19" width="3.25" style="77" bestFit="1" customWidth="1"/>
    <col min="20" max="20" width="10.125" style="77" customWidth="1"/>
    <col min="21" max="21" width="25" style="77" customWidth="1"/>
    <col min="22" max="22" width="2.25" style="77" customWidth="1"/>
    <col min="23" max="23" width="5.625" style="77" bestFit="1" customWidth="1"/>
    <col min="24" max="24" width="4.5" style="77" customWidth="1"/>
    <col min="25" max="25" width="6.25" style="77" bestFit="1" customWidth="1"/>
    <col min="26" max="26" width="7.75" style="77" bestFit="1" customWidth="1"/>
    <col min="27" max="27" width="7" style="77" bestFit="1" customWidth="1"/>
    <col min="28" max="28" width="6.875" style="77" bestFit="1" customWidth="1"/>
    <col min="29" max="29" width="4.625" style="77" bestFit="1" customWidth="1"/>
    <col min="30" max="30" width="7.625" style="77" bestFit="1" customWidth="1"/>
    <col min="31" max="31" width="3.25" style="77" bestFit="1" customWidth="1"/>
    <col min="32" max="32" width="4.625" style="77" bestFit="1" customWidth="1"/>
    <col min="33" max="33" width="2.125" style="77" customWidth="1"/>
    <col min="34" max="34" width="22.5" style="77" bestFit="1" customWidth="1"/>
    <col min="35" max="35" width="4.625" style="77" bestFit="1" customWidth="1"/>
    <col min="36" max="40" width="4.625" style="77" customWidth="1"/>
    <col min="41" max="41" width="9.125" style="77" bestFit="1" customWidth="1"/>
    <col min="42" max="43" width="7.625" style="77" bestFit="1" customWidth="1"/>
    <col min="44" max="44" width="9.125" style="77" bestFit="1" customWidth="1"/>
    <col min="45" max="45" width="6.125" style="77" bestFit="1" customWidth="1"/>
    <col min="46" max="46" width="8.625" style="77" bestFit="1" customWidth="1"/>
    <col min="47" max="47" width="9.125" style="77" bestFit="1" customWidth="1"/>
    <col min="48" max="48" width="7.625" style="77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6" t="s">
        <v>1</v>
      </c>
      <c r="K1" s="115"/>
      <c r="L1" s="44" t="s">
        <v>2</v>
      </c>
      <c r="M1"/>
      <c r="N1" s="116" t="s">
        <v>3</v>
      </c>
      <c r="O1" s="115"/>
      <c r="P1" s="79">
        <v>0</v>
      </c>
      <c r="Q1" s="117" t="s">
        <v>4</v>
      </c>
      <c r="R1" s="118"/>
      <c r="S1" s="115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9" t="s">
        <v>6</v>
      </c>
      <c r="AK1" s="118"/>
      <c r="AL1" s="118"/>
      <c r="AM1" s="118"/>
      <c r="AN1" s="115"/>
      <c r="AO1" s="22">
        <v>80</v>
      </c>
      <c r="AP1" s="22">
        <v>45000</v>
      </c>
      <c r="AQ1" s="23">
        <v>1500</v>
      </c>
      <c r="AR1" s="22">
        <v>6000</v>
      </c>
      <c r="AS1" s="2"/>
      <c r="AT1" s="2"/>
      <c r="AU1" s="22">
        <v>300</v>
      </c>
      <c r="AV1" s="25"/>
      <c r="AX1" s="78" t="s">
        <v>7</v>
      </c>
      <c r="AY1" s="78" t="s">
        <v>8</v>
      </c>
      <c r="AZ1" s="46"/>
      <c r="BH1" s="25" t="s">
        <v>9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4" t="s">
        <v>15</v>
      </c>
      <c r="AP2" s="118"/>
      <c r="AQ2" s="115"/>
      <c r="AR2" s="114" t="s">
        <v>16</v>
      </c>
      <c r="AS2" s="115"/>
      <c r="AT2" s="114" t="s">
        <v>17</v>
      </c>
      <c r="AU2" s="115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8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8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8" t="s">
        <v>39</v>
      </c>
      <c r="V3" s="25"/>
      <c r="W3" s="33" t="s">
        <v>40</v>
      </c>
      <c r="X3" s="33" t="s">
        <v>24</v>
      </c>
      <c r="Y3" s="81" t="s">
        <v>27</v>
      </c>
      <c r="Z3" s="78" t="s">
        <v>41</v>
      </c>
      <c r="AA3" s="78" t="s">
        <v>42</v>
      </c>
      <c r="AB3" s="78" t="s">
        <v>31</v>
      </c>
      <c r="AC3" s="33" t="s">
        <v>32</v>
      </c>
      <c r="AD3" s="78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2">
        <v>2010</v>
      </c>
      <c r="BC3" s="82">
        <v>2000</v>
      </c>
      <c r="BD3" s="82">
        <v>1990</v>
      </c>
      <c r="BE3" s="83">
        <v>1990</v>
      </c>
      <c r="BF3" s="38"/>
    </row>
    <row r="4" spans="1:60" s="38" customFormat="1" ht="12" x14ac:dyDescent="0.3">
      <c r="A4" s="111" t="s">
        <v>421</v>
      </c>
      <c r="B4" s="112" t="s">
        <v>424</v>
      </c>
      <c r="C4" s="113">
        <v>359</v>
      </c>
      <c r="D4" s="104">
        <v>110</v>
      </c>
      <c r="E4" s="106">
        <v>33</v>
      </c>
      <c r="F4" s="104">
        <v>80</v>
      </c>
      <c r="G4" s="17">
        <v>24</v>
      </c>
      <c r="H4" s="107">
        <v>157</v>
      </c>
      <c r="I4" s="108">
        <v>33000</v>
      </c>
      <c r="J4" s="108" t="s">
        <v>323</v>
      </c>
      <c r="K4" s="108"/>
      <c r="L4" s="108"/>
      <c r="M4" s="109">
        <f t="shared" ref="M4:M35" si="0">I4-K4</f>
        <v>33000</v>
      </c>
      <c r="N4" s="4">
        <f t="shared" ref="N4:N35" si="1">IF(ISERROR(K4/I4),"",K4/I4)</f>
        <v>0</v>
      </c>
      <c r="O4" s="105">
        <f t="shared" ref="O4:O35" si="2">I4/E4</f>
        <v>1000</v>
      </c>
      <c r="P4" s="105">
        <f t="shared" ref="P4:P35" si="3">K4/E4</f>
        <v>0</v>
      </c>
      <c r="Q4" s="75">
        <v>2</v>
      </c>
      <c r="R4" s="75">
        <v>1</v>
      </c>
      <c r="S4" s="75" t="s">
        <v>324</v>
      </c>
      <c r="T4" s="5" t="s">
        <v>83</v>
      </c>
      <c r="U4" s="9"/>
      <c r="W4" s="104">
        <f t="shared" ref="W4:W35" si="4">D4</f>
        <v>110</v>
      </c>
      <c r="X4" s="106">
        <f t="shared" ref="X4:X35" si="5">E4</f>
        <v>33</v>
      </c>
      <c r="Y4" s="102">
        <f t="shared" ref="Y4:Y35" si="6">H4</f>
        <v>157</v>
      </c>
      <c r="Z4" s="109">
        <f t="shared" ref="Z4:Z35" si="7">I4</f>
        <v>33000</v>
      </c>
      <c r="AA4" s="109">
        <f t="shared" ref="AA4:AA35" si="8">K4</f>
        <v>0</v>
      </c>
      <c r="AB4" s="109">
        <f t="shared" ref="AB4:AD5" si="9">M4</f>
        <v>33000</v>
      </c>
      <c r="AC4" s="4">
        <f t="shared" si="9"/>
        <v>0</v>
      </c>
      <c r="AD4" s="105">
        <f t="shared" si="9"/>
        <v>1000</v>
      </c>
      <c r="AE4" s="75" t="str">
        <f t="shared" ref="AE4:AE35" si="10">S4</f>
        <v>계</v>
      </c>
      <c r="AF4" s="75" t="str">
        <f t="shared" ref="AF4:AF35" si="11">Q4&amp;"/"&amp;R4</f>
        <v>2/1</v>
      </c>
      <c r="AH4" s="20" t="str">
        <f>IF(A4="","",A4)</f>
        <v>판부면 남원주코아루미소지움</v>
      </c>
      <c r="AI4" s="106">
        <f>IF(E4="","",E4)</f>
        <v>33</v>
      </c>
      <c r="AJ4" s="75" t="str">
        <f t="shared" ref="AJ4:AJ35" si="12">IF(AI4="","",$AJ$2)</f>
        <v>A-</v>
      </c>
      <c r="AK4" s="75" t="s">
        <v>13</v>
      </c>
      <c r="AL4" s="75" t="s">
        <v>325</v>
      </c>
      <c r="AM4" s="75" t="s">
        <v>326</v>
      </c>
      <c r="AN4" s="75" t="str">
        <f t="shared" ref="AN4:AN35" si="13">IF(AI4="","",$AN$2)</f>
        <v>C</v>
      </c>
      <c r="AO4" s="75" t="str">
        <f t="shared" ref="AO4:AO35" si="14">IF(N4="","",IF(N4&gt;=$AO$1/100,"O","X"))</f>
        <v>X</v>
      </c>
      <c r="AP4" s="75" t="str">
        <f t="shared" ref="AP4:AP35" si="15">IF(I4="","",IF(I4&lt;=$AP$1,"O","X"))</f>
        <v>O</v>
      </c>
      <c r="AQ4" s="75" t="str">
        <f t="shared" ref="AQ4:AQ35" si="16">IF(O4="","",IF(O4&lt;=$AQ$1,"O","X"))</f>
        <v>O</v>
      </c>
      <c r="AR4" s="75" t="str">
        <f t="shared" ref="AR4:AR35" si="17">IF(M4="","",IF(M4&lt;=$AR$1,"O","X"))</f>
        <v>X</v>
      </c>
      <c r="AS4" s="75" t="s">
        <v>2</v>
      </c>
      <c r="AT4" s="75" t="str">
        <f t="shared" ref="AT4:AT35" si="18">IF(OR(F4="",AI4=""),"",IF(AND((F4&lt;=85),(AI4&gt;=15)),"O","X"))</f>
        <v>O</v>
      </c>
      <c r="AU4" s="75" t="str">
        <f t="shared" ref="AU4:AU35" si="19">IF(C4="","",IF(C4&gt;=$AU$1,"O","X"))</f>
        <v>O</v>
      </c>
      <c r="AV4" s="75" t="str">
        <f t="shared" ref="AV4:AV35" si="20">IF(AO4="","",IF(AND(AO4="O",AP4="O",AR4="O",AT4="O",AU4="O"),"후보","X"))</f>
        <v>X</v>
      </c>
    </row>
    <row r="5" spans="1:60" s="38" customFormat="1" ht="12" x14ac:dyDescent="0.3">
      <c r="A5" s="111" t="s">
        <v>382</v>
      </c>
      <c r="B5" s="112" t="s">
        <v>424</v>
      </c>
      <c r="C5" s="113">
        <v>359</v>
      </c>
      <c r="D5" s="104">
        <v>82.4</v>
      </c>
      <c r="E5" s="106">
        <v>25</v>
      </c>
      <c r="F5" s="104">
        <v>60</v>
      </c>
      <c r="G5" s="17">
        <v>18</v>
      </c>
      <c r="H5" s="107">
        <v>126</v>
      </c>
      <c r="I5" s="108">
        <v>28000</v>
      </c>
      <c r="J5" s="108" t="s">
        <v>327</v>
      </c>
      <c r="K5" s="108">
        <v>23000</v>
      </c>
      <c r="L5" s="108" t="s">
        <v>94</v>
      </c>
      <c r="M5" s="109">
        <f t="shared" si="0"/>
        <v>5000</v>
      </c>
      <c r="N5" s="4">
        <f t="shared" si="1"/>
        <v>0.8214285714285714</v>
      </c>
      <c r="O5" s="105">
        <f t="shared" si="2"/>
        <v>1120</v>
      </c>
      <c r="P5" s="105">
        <f t="shared" si="3"/>
        <v>920</v>
      </c>
      <c r="Q5" s="75">
        <v>2</v>
      </c>
      <c r="R5" s="75">
        <v>1</v>
      </c>
      <c r="S5" s="75" t="s">
        <v>324</v>
      </c>
      <c r="T5" s="5" t="s">
        <v>90</v>
      </c>
      <c r="U5" s="9"/>
      <c r="W5" s="104">
        <f t="shared" si="4"/>
        <v>82.4</v>
      </c>
      <c r="X5" s="106">
        <f t="shared" si="5"/>
        <v>25</v>
      </c>
      <c r="Y5" s="102">
        <f t="shared" si="6"/>
        <v>126</v>
      </c>
      <c r="Z5" s="109">
        <f t="shared" si="7"/>
        <v>28000</v>
      </c>
      <c r="AA5" s="109">
        <f t="shared" si="8"/>
        <v>23000</v>
      </c>
      <c r="AB5" s="109">
        <f t="shared" si="9"/>
        <v>5000</v>
      </c>
      <c r="AC5" s="4">
        <f t="shared" si="9"/>
        <v>0.8214285714285714</v>
      </c>
      <c r="AD5" s="105">
        <f t="shared" si="9"/>
        <v>1120</v>
      </c>
      <c r="AE5" s="75" t="str">
        <f t="shared" si="10"/>
        <v>계</v>
      </c>
      <c r="AF5" s="75" t="str">
        <f t="shared" si="11"/>
        <v>2/1</v>
      </c>
      <c r="AH5" s="20" t="str">
        <f>IF(A5="","",A5)</f>
        <v>판부면 남원주코아루미소지움</v>
      </c>
      <c r="AI5" s="106">
        <f>IF(E5="","",E5)</f>
        <v>25</v>
      </c>
      <c r="AJ5" s="75" t="str">
        <f t="shared" si="12"/>
        <v>A-</v>
      </c>
      <c r="AK5" s="75" t="s">
        <v>13</v>
      </c>
      <c r="AL5" s="75" t="s">
        <v>325</v>
      </c>
      <c r="AM5" s="75" t="s">
        <v>326</v>
      </c>
      <c r="AN5" s="75" t="str">
        <f t="shared" si="13"/>
        <v>C</v>
      </c>
      <c r="AO5" s="75" t="str">
        <f t="shared" si="14"/>
        <v>O</v>
      </c>
      <c r="AP5" s="75" t="str">
        <f t="shared" si="15"/>
        <v>O</v>
      </c>
      <c r="AQ5" s="75" t="str">
        <f t="shared" si="16"/>
        <v>O</v>
      </c>
      <c r="AR5" s="75" t="str">
        <f t="shared" si="17"/>
        <v>O</v>
      </c>
      <c r="AS5" s="75" t="s">
        <v>2</v>
      </c>
      <c r="AT5" s="75" t="str">
        <f t="shared" si="18"/>
        <v>O</v>
      </c>
      <c r="AU5" s="75" t="str">
        <f t="shared" si="19"/>
        <v>O</v>
      </c>
      <c r="AV5" s="75" t="str">
        <f t="shared" si="20"/>
        <v>후보</v>
      </c>
    </row>
    <row r="6" spans="1:60" s="38" customFormat="1" ht="12" x14ac:dyDescent="0.3">
      <c r="A6" s="111" t="s">
        <v>422</v>
      </c>
      <c r="B6" s="112" t="s">
        <v>425</v>
      </c>
      <c r="C6" s="113">
        <v>920</v>
      </c>
      <c r="D6" s="104">
        <v>116.9</v>
      </c>
      <c r="E6" s="106">
        <v>35</v>
      </c>
      <c r="F6" s="104">
        <v>84.9</v>
      </c>
      <c r="G6" s="17">
        <v>26</v>
      </c>
      <c r="H6" s="107">
        <v>62</v>
      </c>
      <c r="I6" s="108">
        <v>32000</v>
      </c>
      <c r="J6" s="108" t="s">
        <v>330</v>
      </c>
      <c r="K6" s="108">
        <v>28000</v>
      </c>
      <c r="L6" s="108" t="s">
        <v>331</v>
      </c>
      <c r="M6" s="109">
        <f t="shared" si="0"/>
        <v>4000</v>
      </c>
      <c r="N6" s="4">
        <f t="shared" si="1"/>
        <v>0.875</v>
      </c>
      <c r="O6" s="105">
        <f t="shared" si="2"/>
        <v>914.28571428571433</v>
      </c>
      <c r="P6" s="105">
        <f t="shared" si="3"/>
        <v>800</v>
      </c>
      <c r="Q6" s="75">
        <v>3</v>
      </c>
      <c r="R6" s="75">
        <v>2</v>
      </c>
      <c r="S6" s="75" t="s">
        <v>324</v>
      </c>
      <c r="T6" s="5" t="s">
        <v>95</v>
      </c>
      <c r="U6" s="9"/>
      <c r="W6" s="104">
        <f t="shared" si="4"/>
        <v>116.9</v>
      </c>
      <c r="X6" s="106">
        <f t="shared" si="5"/>
        <v>35</v>
      </c>
      <c r="Y6" s="102">
        <f t="shared" si="6"/>
        <v>62</v>
      </c>
      <c r="Z6" s="109">
        <f t="shared" si="7"/>
        <v>32000</v>
      </c>
      <c r="AA6" s="109">
        <f t="shared" si="8"/>
        <v>28000</v>
      </c>
      <c r="AB6" s="109">
        <f>M6</f>
        <v>4000</v>
      </c>
      <c r="AC6" s="4">
        <f>N6</f>
        <v>0.875</v>
      </c>
      <c r="AD6" s="105">
        <f>O6</f>
        <v>914.28571428571433</v>
      </c>
      <c r="AE6" s="75" t="str">
        <f t="shared" si="10"/>
        <v>계</v>
      </c>
      <c r="AF6" s="75" t="str">
        <f t="shared" si="11"/>
        <v>3/2</v>
      </c>
      <c r="AH6" s="20" t="str">
        <f t="shared" ref="AH6:AH33" si="21">IF(A6="","",A6)</f>
        <v>태장동 이안원주태장</v>
      </c>
      <c r="AI6" s="106">
        <f t="shared" ref="AI6:AI33" si="22">IF(E6="","",E6)</f>
        <v>35</v>
      </c>
      <c r="AJ6" s="75" t="str">
        <f t="shared" si="12"/>
        <v>A-</v>
      </c>
      <c r="AK6" s="75" t="s">
        <v>13</v>
      </c>
      <c r="AL6" s="75" t="s">
        <v>325</v>
      </c>
      <c r="AM6" s="75" t="s">
        <v>326</v>
      </c>
      <c r="AN6" s="75" t="str">
        <f t="shared" si="13"/>
        <v>C</v>
      </c>
      <c r="AO6" s="75" t="str">
        <f t="shared" si="14"/>
        <v>O</v>
      </c>
      <c r="AP6" s="75" t="str">
        <f t="shared" si="15"/>
        <v>O</v>
      </c>
      <c r="AQ6" s="75" t="str">
        <f t="shared" si="16"/>
        <v>O</v>
      </c>
      <c r="AR6" s="75" t="str">
        <f t="shared" si="17"/>
        <v>O</v>
      </c>
      <c r="AS6" s="75" t="s">
        <v>2</v>
      </c>
      <c r="AT6" s="75" t="str">
        <f t="shared" si="18"/>
        <v>O</v>
      </c>
      <c r="AU6" s="75" t="str">
        <f t="shared" si="19"/>
        <v>O</v>
      </c>
      <c r="AV6" s="75" t="str">
        <f t="shared" si="20"/>
        <v>후보</v>
      </c>
    </row>
    <row r="7" spans="1:60" s="38" customFormat="1" ht="12" x14ac:dyDescent="0.3">
      <c r="A7" s="111" t="s">
        <v>426</v>
      </c>
      <c r="B7" s="112" t="s">
        <v>383</v>
      </c>
      <c r="C7" s="113">
        <v>703</v>
      </c>
      <c r="D7" s="104">
        <v>103.5</v>
      </c>
      <c r="E7" s="106">
        <v>31</v>
      </c>
      <c r="F7" s="104">
        <v>75</v>
      </c>
      <c r="G7" s="17">
        <v>23</v>
      </c>
      <c r="H7" s="107">
        <v>308</v>
      </c>
      <c r="I7" s="108">
        <v>30000</v>
      </c>
      <c r="J7" s="108" t="s">
        <v>330</v>
      </c>
      <c r="K7" s="108"/>
      <c r="L7" s="108"/>
      <c r="M7" s="109">
        <f t="shared" si="0"/>
        <v>30000</v>
      </c>
      <c r="N7" s="4">
        <f t="shared" si="1"/>
        <v>0</v>
      </c>
      <c r="O7" s="105">
        <f t="shared" si="2"/>
        <v>967.74193548387098</v>
      </c>
      <c r="P7" s="105">
        <f t="shared" si="3"/>
        <v>0</v>
      </c>
      <c r="Q7" s="75">
        <v>3</v>
      </c>
      <c r="R7" s="75">
        <v>2</v>
      </c>
      <c r="S7" s="75" t="s">
        <v>324</v>
      </c>
      <c r="T7" s="5" t="s">
        <v>102</v>
      </c>
      <c r="U7" s="9"/>
      <c r="W7" s="104">
        <f t="shared" si="4"/>
        <v>103.5</v>
      </c>
      <c r="X7" s="106">
        <f t="shared" si="5"/>
        <v>31</v>
      </c>
      <c r="Y7" s="102">
        <f t="shared" si="6"/>
        <v>308</v>
      </c>
      <c r="Z7" s="109">
        <f t="shared" si="7"/>
        <v>30000</v>
      </c>
      <c r="AA7" s="109">
        <f t="shared" si="8"/>
        <v>0</v>
      </c>
      <c r="AB7" s="109">
        <f t="shared" ref="AB7:AD8" si="23">M7</f>
        <v>30000</v>
      </c>
      <c r="AC7" s="4">
        <f t="shared" si="23"/>
        <v>0</v>
      </c>
      <c r="AD7" s="105">
        <f t="shared" si="23"/>
        <v>967.74193548387098</v>
      </c>
      <c r="AE7" s="75" t="str">
        <f t="shared" si="10"/>
        <v>계</v>
      </c>
      <c r="AF7" s="75" t="str">
        <f t="shared" si="11"/>
        <v>3/2</v>
      </c>
      <c r="AH7" s="20" t="str">
        <f t="shared" si="21"/>
        <v>태장동 e편한세상원주태장</v>
      </c>
      <c r="AI7" s="106">
        <f t="shared" si="22"/>
        <v>31</v>
      </c>
      <c r="AJ7" s="75" t="str">
        <f t="shared" si="12"/>
        <v>A-</v>
      </c>
      <c r="AK7" s="75" t="s">
        <v>13</v>
      </c>
      <c r="AL7" s="75" t="s">
        <v>325</v>
      </c>
      <c r="AM7" s="75" t="s">
        <v>326</v>
      </c>
      <c r="AN7" s="75" t="str">
        <f t="shared" si="13"/>
        <v>C</v>
      </c>
      <c r="AO7" s="75" t="str">
        <f t="shared" si="14"/>
        <v>X</v>
      </c>
      <c r="AP7" s="75" t="str">
        <f t="shared" si="15"/>
        <v>O</v>
      </c>
      <c r="AQ7" s="75" t="str">
        <f t="shared" si="16"/>
        <v>O</v>
      </c>
      <c r="AR7" s="75" t="str">
        <f t="shared" si="17"/>
        <v>X</v>
      </c>
      <c r="AS7" s="75" t="s">
        <v>2</v>
      </c>
      <c r="AT7" s="75" t="str">
        <f t="shared" si="18"/>
        <v>O</v>
      </c>
      <c r="AU7" s="75" t="str">
        <f t="shared" si="19"/>
        <v>O</v>
      </c>
      <c r="AV7" s="75" t="str">
        <f t="shared" si="20"/>
        <v>X</v>
      </c>
    </row>
    <row r="8" spans="1:60" s="38" customFormat="1" ht="12" x14ac:dyDescent="0.3">
      <c r="A8" s="111" t="s">
        <v>426</v>
      </c>
      <c r="B8" s="112" t="s">
        <v>427</v>
      </c>
      <c r="C8" s="113">
        <v>703</v>
      </c>
      <c r="D8" s="104">
        <v>83.8</v>
      </c>
      <c r="E8" s="106">
        <v>25</v>
      </c>
      <c r="F8" s="104">
        <v>60</v>
      </c>
      <c r="G8" s="17">
        <v>18</v>
      </c>
      <c r="H8" s="107">
        <v>227</v>
      </c>
      <c r="I8" s="108">
        <v>23000</v>
      </c>
      <c r="J8" s="108" t="s">
        <v>94</v>
      </c>
      <c r="K8" s="108"/>
      <c r="L8" s="108"/>
      <c r="M8" s="109">
        <f t="shared" si="0"/>
        <v>23000</v>
      </c>
      <c r="N8" s="4">
        <f t="shared" si="1"/>
        <v>0</v>
      </c>
      <c r="O8" s="105">
        <f t="shared" si="2"/>
        <v>920</v>
      </c>
      <c r="P8" s="105">
        <f t="shared" si="3"/>
        <v>0</v>
      </c>
      <c r="Q8" s="75">
        <v>3</v>
      </c>
      <c r="R8" s="75">
        <v>1</v>
      </c>
      <c r="S8" s="75" t="s">
        <v>324</v>
      </c>
      <c r="T8" s="5" t="s">
        <v>106</v>
      </c>
      <c r="U8" s="9"/>
      <c r="W8" s="104">
        <f t="shared" si="4"/>
        <v>83.8</v>
      </c>
      <c r="X8" s="106">
        <f t="shared" si="5"/>
        <v>25</v>
      </c>
      <c r="Y8" s="102">
        <f t="shared" si="6"/>
        <v>227</v>
      </c>
      <c r="Z8" s="109">
        <f t="shared" si="7"/>
        <v>23000</v>
      </c>
      <c r="AA8" s="109">
        <f t="shared" si="8"/>
        <v>0</v>
      </c>
      <c r="AB8" s="109">
        <f t="shared" si="23"/>
        <v>23000</v>
      </c>
      <c r="AC8" s="4">
        <f t="shared" si="23"/>
        <v>0</v>
      </c>
      <c r="AD8" s="105">
        <f t="shared" si="23"/>
        <v>920</v>
      </c>
      <c r="AE8" s="75" t="str">
        <f t="shared" si="10"/>
        <v>계</v>
      </c>
      <c r="AF8" s="75" t="str">
        <f t="shared" si="11"/>
        <v>3/1</v>
      </c>
      <c r="AH8" s="20" t="str">
        <f t="shared" si="21"/>
        <v>태장동 e편한세상원주태장</v>
      </c>
      <c r="AI8" s="106">
        <f t="shared" si="22"/>
        <v>25</v>
      </c>
      <c r="AJ8" s="75" t="str">
        <f t="shared" si="12"/>
        <v>A-</v>
      </c>
      <c r="AK8" s="75" t="s">
        <v>13</v>
      </c>
      <c r="AL8" s="75" t="s">
        <v>325</v>
      </c>
      <c r="AM8" s="75" t="s">
        <v>326</v>
      </c>
      <c r="AN8" s="75" t="str">
        <f t="shared" si="13"/>
        <v>C</v>
      </c>
      <c r="AO8" s="75" t="str">
        <f t="shared" si="14"/>
        <v>X</v>
      </c>
      <c r="AP8" s="75" t="str">
        <f t="shared" si="15"/>
        <v>O</v>
      </c>
      <c r="AQ8" s="75" t="str">
        <f t="shared" si="16"/>
        <v>O</v>
      </c>
      <c r="AR8" s="75" t="str">
        <f t="shared" si="17"/>
        <v>X</v>
      </c>
      <c r="AS8" s="75" t="s">
        <v>2</v>
      </c>
      <c r="AT8" s="75" t="str">
        <f t="shared" si="18"/>
        <v>O</v>
      </c>
      <c r="AU8" s="75" t="str">
        <f t="shared" si="19"/>
        <v>O</v>
      </c>
      <c r="AV8" s="75" t="str">
        <f t="shared" si="20"/>
        <v>X</v>
      </c>
    </row>
    <row r="9" spans="1:60" s="38" customFormat="1" ht="12" x14ac:dyDescent="0.3">
      <c r="A9" s="111" t="s">
        <v>422</v>
      </c>
      <c r="B9" s="112" t="s">
        <v>425</v>
      </c>
      <c r="C9" s="113">
        <v>920</v>
      </c>
      <c r="D9" s="104">
        <v>82.4</v>
      </c>
      <c r="E9" s="106">
        <v>25</v>
      </c>
      <c r="F9" s="104">
        <v>60</v>
      </c>
      <c r="G9" s="17">
        <v>18</v>
      </c>
      <c r="H9" s="107">
        <v>372</v>
      </c>
      <c r="I9" s="108">
        <v>21000</v>
      </c>
      <c r="J9" s="108" t="s">
        <v>94</v>
      </c>
      <c r="K9" s="108"/>
      <c r="L9" s="108"/>
      <c r="M9" s="109">
        <f t="shared" si="0"/>
        <v>21000</v>
      </c>
      <c r="N9" s="4">
        <f t="shared" si="1"/>
        <v>0</v>
      </c>
      <c r="O9" s="105">
        <f t="shared" si="2"/>
        <v>840</v>
      </c>
      <c r="P9" s="105">
        <f t="shared" si="3"/>
        <v>0</v>
      </c>
      <c r="Q9" s="75">
        <v>5</v>
      </c>
      <c r="R9" s="75">
        <v>3</v>
      </c>
      <c r="S9" s="75" t="s">
        <v>324</v>
      </c>
      <c r="T9" s="5" t="s">
        <v>110</v>
      </c>
      <c r="U9" s="9"/>
      <c r="W9" s="104">
        <f t="shared" si="4"/>
        <v>82.4</v>
      </c>
      <c r="X9" s="106">
        <f t="shared" si="5"/>
        <v>25</v>
      </c>
      <c r="Y9" s="102">
        <f t="shared" si="6"/>
        <v>372</v>
      </c>
      <c r="Z9" s="109">
        <f t="shared" si="7"/>
        <v>21000</v>
      </c>
      <c r="AA9" s="109">
        <f t="shared" si="8"/>
        <v>0</v>
      </c>
      <c r="AB9" s="109">
        <f t="shared" ref="AB9:AB40" si="24">M9</f>
        <v>21000</v>
      </c>
      <c r="AC9" s="4">
        <f t="shared" ref="AC9:AC40" si="25">N9</f>
        <v>0</v>
      </c>
      <c r="AD9" s="105">
        <f t="shared" ref="AD9:AD40" si="26">O9</f>
        <v>840</v>
      </c>
      <c r="AE9" s="75" t="str">
        <f t="shared" si="10"/>
        <v>계</v>
      </c>
      <c r="AF9" s="75" t="str">
        <f t="shared" si="11"/>
        <v>5/3</v>
      </c>
      <c r="AH9" s="20" t="str">
        <f t="shared" si="21"/>
        <v>태장동 이안원주태장</v>
      </c>
      <c r="AI9" s="106">
        <f t="shared" si="22"/>
        <v>25</v>
      </c>
      <c r="AJ9" s="75" t="str">
        <f t="shared" si="12"/>
        <v>A-</v>
      </c>
      <c r="AK9" s="75" t="s">
        <v>13</v>
      </c>
      <c r="AL9" s="75" t="s">
        <v>325</v>
      </c>
      <c r="AM9" s="75" t="s">
        <v>326</v>
      </c>
      <c r="AN9" s="75" t="str">
        <f t="shared" si="13"/>
        <v>C</v>
      </c>
      <c r="AO9" s="75" t="str">
        <f t="shared" si="14"/>
        <v>X</v>
      </c>
      <c r="AP9" s="75" t="str">
        <f t="shared" si="15"/>
        <v>O</v>
      </c>
      <c r="AQ9" s="75" t="str">
        <f t="shared" si="16"/>
        <v>O</v>
      </c>
      <c r="AR9" s="75" t="str">
        <f t="shared" si="17"/>
        <v>X</v>
      </c>
      <c r="AS9" s="75" t="s">
        <v>2</v>
      </c>
      <c r="AT9" s="75" t="str">
        <f t="shared" si="18"/>
        <v>O</v>
      </c>
      <c r="AU9" s="75" t="str">
        <f t="shared" si="19"/>
        <v>O</v>
      </c>
      <c r="AV9" s="75" t="str">
        <f t="shared" si="20"/>
        <v>X</v>
      </c>
    </row>
    <row r="10" spans="1:60" s="38" customFormat="1" ht="24" x14ac:dyDescent="0.3">
      <c r="A10" s="111" t="s">
        <v>428</v>
      </c>
      <c r="B10" s="112" t="s">
        <v>429</v>
      </c>
      <c r="C10" s="113">
        <v>536</v>
      </c>
      <c r="D10" s="104">
        <v>111</v>
      </c>
      <c r="E10" s="106">
        <v>34</v>
      </c>
      <c r="F10" s="104">
        <v>85</v>
      </c>
      <c r="G10" s="17">
        <v>26</v>
      </c>
      <c r="H10" s="107">
        <v>243</v>
      </c>
      <c r="I10" s="108">
        <v>50000</v>
      </c>
      <c r="J10" s="108" t="s">
        <v>335</v>
      </c>
      <c r="K10" s="108">
        <v>28000</v>
      </c>
      <c r="L10" s="108" t="s">
        <v>335</v>
      </c>
      <c r="M10" s="109">
        <f t="shared" si="0"/>
        <v>22000</v>
      </c>
      <c r="N10" s="4">
        <f t="shared" si="1"/>
        <v>0.56000000000000005</v>
      </c>
      <c r="O10" s="105">
        <f t="shared" si="2"/>
        <v>1470.5882352941176</v>
      </c>
      <c r="P10" s="105">
        <f t="shared" si="3"/>
        <v>823.52941176470586</v>
      </c>
      <c r="Q10" s="75">
        <v>3</v>
      </c>
      <c r="R10" s="75">
        <v>2</v>
      </c>
      <c r="S10" s="75" t="s">
        <v>324</v>
      </c>
      <c r="T10" s="5">
        <v>113</v>
      </c>
      <c r="U10" s="9"/>
      <c r="W10" s="104">
        <f t="shared" si="4"/>
        <v>111</v>
      </c>
      <c r="X10" s="106">
        <f t="shared" si="5"/>
        <v>34</v>
      </c>
      <c r="Y10" s="102">
        <f t="shared" si="6"/>
        <v>243</v>
      </c>
      <c r="Z10" s="109">
        <f t="shared" si="7"/>
        <v>50000</v>
      </c>
      <c r="AA10" s="109">
        <f t="shared" si="8"/>
        <v>28000</v>
      </c>
      <c r="AB10" s="109">
        <f t="shared" si="24"/>
        <v>22000</v>
      </c>
      <c r="AC10" s="4">
        <f t="shared" si="25"/>
        <v>0.56000000000000005</v>
      </c>
      <c r="AD10" s="105">
        <f t="shared" si="26"/>
        <v>1470.5882352941176</v>
      </c>
      <c r="AE10" s="75" t="str">
        <f t="shared" si="10"/>
        <v>계</v>
      </c>
      <c r="AF10" s="75" t="str">
        <f t="shared" si="11"/>
        <v>3/2</v>
      </c>
      <c r="AH10" s="20" t="str">
        <f t="shared" si="21"/>
        <v>지정면 원주롯데캐슬골드파크2차</v>
      </c>
      <c r="AI10" s="106">
        <f t="shared" si="22"/>
        <v>34</v>
      </c>
      <c r="AJ10" s="75" t="str">
        <f t="shared" si="12"/>
        <v>A-</v>
      </c>
      <c r="AK10" s="75" t="s">
        <v>13</v>
      </c>
      <c r="AL10" s="75" t="s">
        <v>325</v>
      </c>
      <c r="AM10" s="75" t="s">
        <v>326</v>
      </c>
      <c r="AN10" s="75" t="str">
        <f t="shared" si="13"/>
        <v>C</v>
      </c>
      <c r="AO10" s="75" t="str">
        <f t="shared" si="14"/>
        <v>X</v>
      </c>
      <c r="AP10" s="75" t="str">
        <f t="shared" si="15"/>
        <v>X</v>
      </c>
      <c r="AQ10" s="75" t="str">
        <f t="shared" si="16"/>
        <v>O</v>
      </c>
      <c r="AR10" s="75" t="str">
        <f t="shared" si="17"/>
        <v>X</v>
      </c>
      <c r="AS10" s="75" t="s">
        <v>2</v>
      </c>
      <c r="AT10" s="75" t="str">
        <f t="shared" si="18"/>
        <v>O</v>
      </c>
      <c r="AU10" s="75" t="str">
        <f t="shared" si="19"/>
        <v>O</v>
      </c>
      <c r="AV10" s="75" t="str">
        <f t="shared" si="20"/>
        <v>X</v>
      </c>
    </row>
    <row r="11" spans="1:60" s="38" customFormat="1" ht="24" x14ac:dyDescent="0.3">
      <c r="A11" s="111" t="s">
        <v>430</v>
      </c>
      <c r="B11" s="112" t="s">
        <v>429</v>
      </c>
      <c r="C11" s="113">
        <v>624</v>
      </c>
      <c r="D11" s="104">
        <v>110.3</v>
      </c>
      <c r="E11" s="106">
        <v>33</v>
      </c>
      <c r="F11" s="104">
        <v>85</v>
      </c>
      <c r="G11" s="17">
        <v>26</v>
      </c>
      <c r="H11" s="107">
        <v>266</v>
      </c>
      <c r="I11" s="108">
        <v>49000</v>
      </c>
      <c r="J11" s="108" t="s">
        <v>336</v>
      </c>
      <c r="K11" s="108">
        <v>28000</v>
      </c>
      <c r="L11" s="108" t="s">
        <v>337</v>
      </c>
      <c r="M11" s="109">
        <f t="shared" si="0"/>
        <v>21000</v>
      </c>
      <c r="N11" s="4">
        <f t="shared" si="1"/>
        <v>0.5714285714285714</v>
      </c>
      <c r="O11" s="105">
        <f t="shared" si="2"/>
        <v>1484.8484848484848</v>
      </c>
      <c r="P11" s="105">
        <f t="shared" si="3"/>
        <v>848.4848484848485</v>
      </c>
      <c r="Q11" s="75">
        <v>3</v>
      </c>
      <c r="R11" s="75">
        <v>2</v>
      </c>
      <c r="S11" s="75" t="s">
        <v>324</v>
      </c>
      <c r="T11" s="5" t="s">
        <v>122</v>
      </c>
      <c r="U11" s="9"/>
      <c r="W11" s="104">
        <f t="shared" si="4"/>
        <v>110.3</v>
      </c>
      <c r="X11" s="106">
        <f t="shared" si="5"/>
        <v>33</v>
      </c>
      <c r="Y11" s="102">
        <f t="shared" si="6"/>
        <v>266</v>
      </c>
      <c r="Z11" s="109">
        <f t="shared" si="7"/>
        <v>49000</v>
      </c>
      <c r="AA11" s="109">
        <f t="shared" si="8"/>
        <v>28000</v>
      </c>
      <c r="AB11" s="109">
        <f t="shared" si="24"/>
        <v>21000</v>
      </c>
      <c r="AC11" s="4">
        <f t="shared" si="25"/>
        <v>0.5714285714285714</v>
      </c>
      <c r="AD11" s="105">
        <f t="shared" si="26"/>
        <v>1484.8484848484848</v>
      </c>
      <c r="AE11" s="75" t="str">
        <f t="shared" si="10"/>
        <v>계</v>
      </c>
      <c r="AF11" s="75" t="str">
        <f t="shared" si="11"/>
        <v>3/2</v>
      </c>
      <c r="AH11" s="20" t="str">
        <f t="shared" si="21"/>
        <v>지정면 원주롯데캐슬골드파크1차</v>
      </c>
      <c r="AI11" s="106">
        <f t="shared" si="22"/>
        <v>33</v>
      </c>
      <c r="AJ11" s="75" t="str">
        <f t="shared" si="12"/>
        <v>A-</v>
      </c>
      <c r="AK11" s="75" t="s">
        <v>13</v>
      </c>
      <c r="AL11" s="75" t="s">
        <v>325</v>
      </c>
      <c r="AM11" s="75" t="s">
        <v>326</v>
      </c>
      <c r="AN11" s="75" t="str">
        <f t="shared" si="13"/>
        <v>C</v>
      </c>
      <c r="AO11" s="75" t="str">
        <f t="shared" si="14"/>
        <v>X</v>
      </c>
      <c r="AP11" s="75" t="str">
        <f t="shared" si="15"/>
        <v>X</v>
      </c>
      <c r="AQ11" s="75" t="str">
        <f t="shared" si="16"/>
        <v>O</v>
      </c>
      <c r="AR11" s="75" t="str">
        <f t="shared" si="17"/>
        <v>X</v>
      </c>
      <c r="AS11" s="75" t="s">
        <v>2</v>
      </c>
      <c r="AT11" s="75" t="str">
        <f t="shared" si="18"/>
        <v>O</v>
      </c>
      <c r="AU11" s="75" t="str">
        <f t="shared" si="19"/>
        <v>O</v>
      </c>
      <c r="AV11" s="75" t="str">
        <f t="shared" si="20"/>
        <v>X</v>
      </c>
    </row>
    <row r="12" spans="1:60" s="38" customFormat="1" ht="12" x14ac:dyDescent="0.3">
      <c r="A12" s="111" t="s">
        <v>431</v>
      </c>
      <c r="B12" s="112" t="s">
        <v>386</v>
      </c>
      <c r="C12" s="113">
        <v>776</v>
      </c>
      <c r="D12" s="104">
        <v>114.7</v>
      </c>
      <c r="E12" s="106">
        <v>35</v>
      </c>
      <c r="F12" s="104">
        <v>85</v>
      </c>
      <c r="G12" s="17">
        <v>26</v>
      </c>
      <c r="H12" s="107">
        <v>428</v>
      </c>
      <c r="I12" s="108">
        <v>43000</v>
      </c>
      <c r="J12" s="108" t="s">
        <v>339</v>
      </c>
      <c r="K12" s="108">
        <v>25000</v>
      </c>
      <c r="L12" s="108" t="s">
        <v>340</v>
      </c>
      <c r="M12" s="109">
        <f t="shared" si="0"/>
        <v>18000</v>
      </c>
      <c r="N12" s="4">
        <f t="shared" si="1"/>
        <v>0.58139534883720934</v>
      </c>
      <c r="O12" s="105">
        <f t="shared" si="2"/>
        <v>1228.5714285714287</v>
      </c>
      <c r="P12" s="105">
        <f t="shared" si="3"/>
        <v>714.28571428571433</v>
      </c>
      <c r="Q12" s="75">
        <v>3</v>
      </c>
      <c r="R12" s="75">
        <v>2</v>
      </c>
      <c r="S12" s="75" t="s">
        <v>324</v>
      </c>
      <c r="T12" s="5" t="s">
        <v>128</v>
      </c>
      <c r="U12" s="9"/>
      <c r="W12" s="104">
        <f t="shared" si="4"/>
        <v>114.7</v>
      </c>
      <c r="X12" s="106">
        <f t="shared" si="5"/>
        <v>35</v>
      </c>
      <c r="Y12" s="102">
        <f t="shared" si="6"/>
        <v>428</v>
      </c>
      <c r="Z12" s="109">
        <f t="shared" si="7"/>
        <v>43000</v>
      </c>
      <c r="AA12" s="109">
        <f t="shared" si="8"/>
        <v>25000</v>
      </c>
      <c r="AB12" s="109">
        <f t="shared" si="24"/>
        <v>18000</v>
      </c>
      <c r="AC12" s="4">
        <f t="shared" si="25"/>
        <v>0.58139534883720934</v>
      </c>
      <c r="AD12" s="105">
        <f t="shared" si="26"/>
        <v>1228.5714285714287</v>
      </c>
      <c r="AE12" s="75" t="str">
        <f t="shared" si="10"/>
        <v>계</v>
      </c>
      <c r="AF12" s="75" t="str">
        <f t="shared" si="11"/>
        <v>3/2</v>
      </c>
      <c r="AH12" s="20" t="str">
        <f t="shared" si="21"/>
        <v>지정면 이지더원더그레이스</v>
      </c>
      <c r="AI12" s="106">
        <f t="shared" si="22"/>
        <v>35</v>
      </c>
      <c r="AJ12" s="75" t="str">
        <f t="shared" si="12"/>
        <v>A-</v>
      </c>
      <c r="AK12" s="75" t="s">
        <v>13</v>
      </c>
      <c r="AL12" s="75" t="s">
        <v>325</v>
      </c>
      <c r="AM12" s="75" t="s">
        <v>326</v>
      </c>
      <c r="AN12" s="75" t="str">
        <f t="shared" si="13"/>
        <v>C</v>
      </c>
      <c r="AO12" s="75" t="str">
        <f t="shared" si="14"/>
        <v>X</v>
      </c>
      <c r="AP12" s="75" t="str">
        <f t="shared" si="15"/>
        <v>O</v>
      </c>
      <c r="AQ12" s="75" t="str">
        <f t="shared" si="16"/>
        <v>O</v>
      </c>
      <c r="AR12" s="75" t="str">
        <f t="shared" si="17"/>
        <v>X</v>
      </c>
      <c r="AS12" s="75" t="s">
        <v>2</v>
      </c>
      <c r="AT12" s="75" t="str">
        <f t="shared" si="18"/>
        <v>O</v>
      </c>
      <c r="AU12" s="75" t="str">
        <f t="shared" si="19"/>
        <v>O</v>
      </c>
      <c r="AV12" s="75" t="str">
        <f t="shared" si="20"/>
        <v>X</v>
      </c>
    </row>
    <row r="13" spans="1:60" s="38" customFormat="1" ht="24" x14ac:dyDescent="0.3">
      <c r="A13" s="111" t="s">
        <v>432</v>
      </c>
      <c r="B13" s="112" t="s">
        <v>433</v>
      </c>
      <c r="C13" s="113">
        <v>1116</v>
      </c>
      <c r="D13" s="104">
        <v>113.4</v>
      </c>
      <c r="E13" s="106">
        <v>34</v>
      </c>
      <c r="F13" s="104">
        <v>85</v>
      </c>
      <c r="G13" s="17">
        <v>26</v>
      </c>
      <c r="H13" s="107">
        <v>472</v>
      </c>
      <c r="I13" s="108">
        <v>45000</v>
      </c>
      <c r="J13" s="108" t="s">
        <v>94</v>
      </c>
      <c r="K13" s="108">
        <v>25000</v>
      </c>
      <c r="L13" s="108" t="s">
        <v>342</v>
      </c>
      <c r="M13" s="109">
        <f t="shared" si="0"/>
        <v>20000</v>
      </c>
      <c r="N13" s="4">
        <f t="shared" si="1"/>
        <v>0.55555555555555558</v>
      </c>
      <c r="O13" s="105">
        <f t="shared" si="2"/>
        <v>1323.5294117647059</v>
      </c>
      <c r="P13" s="105">
        <f t="shared" si="3"/>
        <v>735.29411764705878</v>
      </c>
      <c r="Q13" s="75">
        <v>1</v>
      </c>
      <c r="R13" s="75">
        <v>1</v>
      </c>
      <c r="S13" s="75" t="s">
        <v>324</v>
      </c>
      <c r="T13" s="5" t="s">
        <v>135</v>
      </c>
      <c r="U13" s="9"/>
      <c r="W13" s="104">
        <f t="shared" si="4"/>
        <v>113.4</v>
      </c>
      <c r="X13" s="106">
        <f t="shared" si="5"/>
        <v>34</v>
      </c>
      <c r="Y13" s="102">
        <f t="shared" si="6"/>
        <v>472</v>
      </c>
      <c r="Z13" s="109">
        <f t="shared" si="7"/>
        <v>45000</v>
      </c>
      <c r="AA13" s="109">
        <f t="shared" si="8"/>
        <v>25000</v>
      </c>
      <c r="AB13" s="109">
        <f t="shared" si="24"/>
        <v>20000</v>
      </c>
      <c r="AC13" s="4">
        <f t="shared" si="25"/>
        <v>0.55555555555555558</v>
      </c>
      <c r="AD13" s="105">
        <f t="shared" si="26"/>
        <v>1323.5294117647059</v>
      </c>
      <c r="AE13" s="75" t="str">
        <f t="shared" si="10"/>
        <v>계</v>
      </c>
      <c r="AF13" s="75" t="str">
        <f t="shared" si="11"/>
        <v>1/1</v>
      </c>
      <c r="AH13" s="20" t="str">
        <f t="shared" si="21"/>
        <v>지정면 원주롯데캐슬더퍼스트2차</v>
      </c>
      <c r="AI13" s="106">
        <f t="shared" si="22"/>
        <v>34</v>
      </c>
      <c r="AJ13" s="75" t="str">
        <f t="shared" si="12"/>
        <v>A-</v>
      </c>
      <c r="AK13" s="75" t="s">
        <v>13</v>
      </c>
      <c r="AL13" s="75" t="s">
        <v>325</v>
      </c>
      <c r="AM13" s="75" t="s">
        <v>326</v>
      </c>
      <c r="AN13" s="75" t="str">
        <f t="shared" si="13"/>
        <v>C</v>
      </c>
      <c r="AO13" s="75" t="str">
        <f t="shared" si="14"/>
        <v>X</v>
      </c>
      <c r="AP13" s="75" t="str">
        <f t="shared" si="15"/>
        <v>O</v>
      </c>
      <c r="AQ13" s="75" t="str">
        <f t="shared" si="16"/>
        <v>O</v>
      </c>
      <c r="AR13" s="75" t="str">
        <f t="shared" si="17"/>
        <v>X</v>
      </c>
      <c r="AS13" s="75" t="s">
        <v>2</v>
      </c>
      <c r="AT13" s="75" t="str">
        <f t="shared" si="18"/>
        <v>O</v>
      </c>
      <c r="AU13" s="75" t="str">
        <f t="shared" si="19"/>
        <v>O</v>
      </c>
      <c r="AV13" s="75" t="str">
        <f t="shared" si="20"/>
        <v>X</v>
      </c>
    </row>
    <row r="14" spans="1:60" s="38" customFormat="1" ht="24" x14ac:dyDescent="0.3">
      <c r="A14" s="111" t="s">
        <v>434</v>
      </c>
      <c r="B14" s="112" t="s">
        <v>435</v>
      </c>
      <c r="C14" s="113">
        <v>794</v>
      </c>
      <c r="D14" s="104">
        <v>111.9</v>
      </c>
      <c r="E14" s="106">
        <v>34</v>
      </c>
      <c r="F14" s="104">
        <v>85</v>
      </c>
      <c r="G14" s="17">
        <v>26</v>
      </c>
      <c r="H14" s="107">
        <v>263</v>
      </c>
      <c r="I14" s="108">
        <v>40000</v>
      </c>
      <c r="J14" s="108" t="s">
        <v>330</v>
      </c>
      <c r="K14" s="108">
        <v>25000</v>
      </c>
      <c r="L14" s="108" t="s">
        <v>94</v>
      </c>
      <c r="M14" s="109">
        <f t="shared" si="0"/>
        <v>15000</v>
      </c>
      <c r="N14" s="4">
        <f t="shared" si="1"/>
        <v>0.625</v>
      </c>
      <c r="O14" s="105">
        <f t="shared" si="2"/>
        <v>1176.4705882352941</v>
      </c>
      <c r="P14" s="105">
        <f t="shared" si="3"/>
        <v>735.29411764705878</v>
      </c>
      <c r="Q14" s="75">
        <v>3</v>
      </c>
      <c r="R14" s="75">
        <v>1</v>
      </c>
      <c r="S14" s="75" t="s">
        <v>324</v>
      </c>
      <c r="T14" s="5">
        <v>77</v>
      </c>
      <c r="U14" s="9"/>
      <c r="W14" s="104">
        <f t="shared" si="4"/>
        <v>111.9</v>
      </c>
      <c r="X14" s="106">
        <f t="shared" si="5"/>
        <v>34</v>
      </c>
      <c r="Y14" s="102">
        <f t="shared" si="6"/>
        <v>263</v>
      </c>
      <c r="Z14" s="109">
        <f t="shared" si="7"/>
        <v>40000</v>
      </c>
      <c r="AA14" s="109">
        <f t="shared" si="8"/>
        <v>25000</v>
      </c>
      <c r="AB14" s="109">
        <f t="shared" si="24"/>
        <v>15000</v>
      </c>
      <c r="AC14" s="4">
        <f t="shared" si="25"/>
        <v>0.625</v>
      </c>
      <c r="AD14" s="105">
        <f t="shared" si="26"/>
        <v>1176.4705882352941</v>
      </c>
      <c r="AE14" s="75" t="str">
        <f t="shared" si="10"/>
        <v>계</v>
      </c>
      <c r="AF14" s="75" t="str">
        <f t="shared" si="11"/>
        <v>3/1</v>
      </c>
      <c r="AH14" s="20" t="str">
        <f t="shared" si="21"/>
        <v>지정면 원주기업도시유보라아이비파크2단지</v>
      </c>
      <c r="AI14" s="106">
        <f t="shared" si="22"/>
        <v>34</v>
      </c>
      <c r="AJ14" s="75" t="str">
        <f t="shared" si="12"/>
        <v>A-</v>
      </c>
      <c r="AK14" s="75" t="s">
        <v>13</v>
      </c>
      <c r="AL14" s="75" t="s">
        <v>325</v>
      </c>
      <c r="AM14" s="75" t="s">
        <v>326</v>
      </c>
      <c r="AN14" s="75" t="str">
        <f t="shared" si="13"/>
        <v>C</v>
      </c>
      <c r="AO14" s="75" t="str">
        <f t="shared" si="14"/>
        <v>X</v>
      </c>
      <c r="AP14" s="75" t="str">
        <f t="shared" si="15"/>
        <v>O</v>
      </c>
      <c r="AQ14" s="75" t="str">
        <f t="shared" si="16"/>
        <v>O</v>
      </c>
      <c r="AR14" s="75" t="str">
        <f t="shared" si="17"/>
        <v>X</v>
      </c>
      <c r="AS14" s="75" t="s">
        <v>2</v>
      </c>
      <c r="AT14" s="75" t="str">
        <f t="shared" si="18"/>
        <v>O</v>
      </c>
      <c r="AU14" s="75" t="str">
        <f t="shared" si="19"/>
        <v>O</v>
      </c>
      <c r="AV14" s="75" t="str">
        <f t="shared" si="20"/>
        <v>X</v>
      </c>
    </row>
    <row r="15" spans="1:60" s="38" customFormat="1" ht="24" x14ac:dyDescent="0.3">
      <c r="A15" s="111" t="s">
        <v>436</v>
      </c>
      <c r="B15" s="112" t="s">
        <v>433</v>
      </c>
      <c r="C15" s="113">
        <v>882</v>
      </c>
      <c r="D15" s="104">
        <v>113.5</v>
      </c>
      <c r="E15" s="106">
        <v>34</v>
      </c>
      <c r="F15" s="104">
        <v>85</v>
      </c>
      <c r="G15" s="17">
        <v>26</v>
      </c>
      <c r="H15" s="107">
        <v>407</v>
      </c>
      <c r="I15" s="108">
        <v>41000</v>
      </c>
      <c r="J15" s="108" t="s">
        <v>344</v>
      </c>
      <c r="K15" s="108">
        <v>25000</v>
      </c>
      <c r="L15" s="108" t="s">
        <v>101</v>
      </c>
      <c r="M15" s="109">
        <f t="shared" si="0"/>
        <v>16000</v>
      </c>
      <c r="N15" s="4">
        <f t="shared" si="1"/>
        <v>0.6097560975609756</v>
      </c>
      <c r="O15" s="105">
        <f t="shared" si="2"/>
        <v>1205.8823529411766</v>
      </c>
      <c r="P15" s="105">
        <f t="shared" si="3"/>
        <v>735.29411764705878</v>
      </c>
      <c r="Q15" s="75">
        <v>1</v>
      </c>
      <c r="R15" s="75">
        <v>1</v>
      </c>
      <c r="S15" s="75" t="s">
        <v>324</v>
      </c>
      <c r="T15" s="5" t="s">
        <v>145</v>
      </c>
      <c r="U15" s="9"/>
      <c r="W15" s="104">
        <f t="shared" si="4"/>
        <v>113.5</v>
      </c>
      <c r="X15" s="106">
        <f t="shared" si="5"/>
        <v>34</v>
      </c>
      <c r="Y15" s="102">
        <f t="shared" si="6"/>
        <v>407</v>
      </c>
      <c r="Z15" s="109">
        <f t="shared" si="7"/>
        <v>41000</v>
      </c>
      <c r="AA15" s="109">
        <f t="shared" si="8"/>
        <v>25000</v>
      </c>
      <c r="AB15" s="109">
        <f t="shared" si="24"/>
        <v>16000</v>
      </c>
      <c r="AC15" s="4">
        <f t="shared" si="25"/>
        <v>0.6097560975609756</v>
      </c>
      <c r="AD15" s="105">
        <f t="shared" si="26"/>
        <v>1205.8823529411766</v>
      </c>
      <c r="AE15" s="75" t="str">
        <f t="shared" si="10"/>
        <v>계</v>
      </c>
      <c r="AF15" s="75" t="str">
        <f t="shared" si="11"/>
        <v>1/1</v>
      </c>
      <c r="AH15" s="20" t="str">
        <f t="shared" si="21"/>
        <v>지정면 원주기업도시호반베르디움8단지</v>
      </c>
      <c r="AI15" s="106">
        <f t="shared" si="22"/>
        <v>34</v>
      </c>
      <c r="AJ15" s="75" t="str">
        <f t="shared" si="12"/>
        <v>A-</v>
      </c>
      <c r="AK15" s="75" t="s">
        <v>13</v>
      </c>
      <c r="AL15" s="75" t="s">
        <v>325</v>
      </c>
      <c r="AM15" s="75" t="s">
        <v>326</v>
      </c>
      <c r="AN15" s="75" t="str">
        <f t="shared" si="13"/>
        <v>C</v>
      </c>
      <c r="AO15" s="75" t="str">
        <f t="shared" si="14"/>
        <v>X</v>
      </c>
      <c r="AP15" s="75" t="str">
        <f t="shared" si="15"/>
        <v>O</v>
      </c>
      <c r="AQ15" s="75" t="str">
        <f t="shared" si="16"/>
        <v>O</v>
      </c>
      <c r="AR15" s="75" t="str">
        <f t="shared" si="17"/>
        <v>X</v>
      </c>
      <c r="AS15" s="75" t="s">
        <v>2</v>
      </c>
      <c r="AT15" s="75" t="str">
        <f t="shared" si="18"/>
        <v>O</v>
      </c>
      <c r="AU15" s="75" t="str">
        <f t="shared" si="19"/>
        <v>O</v>
      </c>
      <c r="AV15" s="75" t="str">
        <f t="shared" si="20"/>
        <v>X</v>
      </c>
    </row>
    <row r="16" spans="1:60" s="38" customFormat="1" ht="12" x14ac:dyDescent="0.3">
      <c r="A16" s="111" t="s">
        <v>437</v>
      </c>
      <c r="B16" s="112" t="s">
        <v>438</v>
      </c>
      <c r="C16" s="113">
        <v>1243</v>
      </c>
      <c r="D16" s="104">
        <v>113.2</v>
      </c>
      <c r="E16" s="106">
        <v>34</v>
      </c>
      <c r="F16" s="104">
        <v>85</v>
      </c>
      <c r="G16" s="17">
        <v>26</v>
      </c>
      <c r="H16" s="107">
        <v>24</v>
      </c>
      <c r="I16" s="108">
        <v>42000</v>
      </c>
      <c r="J16" s="108" t="s">
        <v>101</v>
      </c>
      <c r="K16" s="108"/>
      <c r="L16" s="108"/>
      <c r="M16" s="109">
        <f t="shared" si="0"/>
        <v>42000</v>
      </c>
      <c r="N16" s="4">
        <f t="shared" si="1"/>
        <v>0</v>
      </c>
      <c r="O16" s="105">
        <f t="shared" si="2"/>
        <v>1235.2941176470588</v>
      </c>
      <c r="P16" s="105">
        <f t="shared" si="3"/>
        <v>0</v>
      </c>
      <c r="Q16" s="75">
        <v>3</v>
      </c>
      <c r="R16" s="75">
        <v>2</v>
      </c>
      <c r="S16" s="75" t="s">
        <v>324</v>
      </c>
      <c r="T16" s="5" t="s">
        <v>148</v>
      </c>
      <c r="U16" s="9"/>
      <c r="W16" s="104">
        <f t="shared" si="4"/>
        <v>113.2</v>
      </c>
      <c r="X16" s="106">
        <f t="shared" si="5"/>
        <v>34</v>
      </c>
      <c r="Y16" s="102">
        <f t="shared" si="6"/>
        <v>24</v>
      </c>
      <c r="Z16" s="109">
        <f t="shared" si="7"/>
        <v>42000</v>
      </c>
      <c r="AA16" s="109">
        <f t="shared" si="8"/>
        <v>0</v>
      </c>
      <c r="AB16" s="109">
        <f t="shared" si="24"/>
        <v>42000</v>
      </c>
      <c r="AC16" s="4">
        <f t="shared" si="25"/>
        <v>0</v>
      </c>
      <c r="AD16" s="105">
        <f t="shared" si="26"/>
        <v>1235.2941176470588</v>
      </c>
      <c r="AE16" s="75" t="str">
        <f t="shared" si="10"/>
        <v>계</v>
      </c>
      <c r="AF16" s="75" t="str">
        <f t="shared" si="11"/>
        <v>3/2</v>
      </c>
      <c r="AH16" s="20" t="str">
        <f t="shared" si="21"/>
        <v>지정면 원주롯데캐슬더퍼스트</v>
      </c>
      <c r="AI16" s="106">
        <f t="shared" si="22"/>
        <v>34</v>
      </c>
      <c r="AJ16" s="75" t="str">
        <f t="shared" si="12"/>
        <v>A-</v>
      </c>
      <c r="AK16" s="75" t="s">
        <v>13</v>
      </c>
      <c r="AL16" s="75" t="s">
        <v>325</v>
      </c>
      <c r="AM16" s="75" t="s">
        <v>326</v>
      </c>
      <c r="AN16" s="75" t="str">
        <f t="shared" si="13"/>
        <v>C</v>
      </c>
      <c r="AO16" s="75" t="str">
        <f t="shared" si="14"/>
        <v>X</v>
      </c>
      <c r="AP16" s="75" t="str">
        <f t="shared" si="15"/>
        <v>O</v>
      </c>
      <c r="AQ16" s="75" t="str">
        <f t="shared" si="16"/>
        <v>O</v>
      </c>
      <c r="AR16" s="75" t="str">
        <f t="shared" si="17"/>
        <v>X</v>
      </c>
      <c r="AS16" s="75" t="s">
        <v>2</v>
      </c>
      <c r="AT16" s="75" t="str">
        <f t="shared" si="18"/>
        <v>O</v>
      </c>
      <c r="AU16" s="75" t="str">
        <f t="shared" si="19"/>
        <v>O</v>
      </c>
      <c r="AV16" s="75" t="str">
        <f t="shared" si="20"/>
        <v>X</v>
      </c>
    </row>
    <row r="17" spans="1:48" s="38" customFormat="1" ht="24" x14ac:dyDescent="0.3">
      <c r="A17" s="111" t="s">
        <v>423</v>
      </c>
      <c r="B17" s="112" t="s">
        <v>435</v>
      </c>
      <c r="C17" s="113">
        <v>548</v>
      </c>
      <c r="D17" s="104">
        <v>109.7</v>
      </c>
      <c r="E17" s="106">
        <v>33</v>
      </c>
      <c r="F17" s="104">
        <v>85</v>
      </c>
      <c r="G17" s="17">
        <v>26</v>
      </c>
      <c r="H17" s="107">
        <v>180</v>
      </c>
      <c r="I17" s="108">
        <v>39500</v>
      </c>
      <c r="J17" s="108" t="s">
        <v>101</v>
      </c>
      <c r="K17" s="108">
        <v>24000</v>
      </c>
      <c r="L17" s="108" t="s">
        <v>346</v>
      </c>
      <c r="M17" s="109">
        <f t="shared" si="0"/>
        <v>15500</v>
      </c>
      <c r="N17" s="4">
        <f t="shared" si="1"/>
        <v>0.60759493670886078</v>
      </c>
      <c r="O17" s="105">
        <f t="shared" si="2"/>
        <v>1196.969696969697</v>
      </c>
      <c r="P17" s="105">
        <f t="shared" si="3"/>
        <v>727.27272727272725</v>
      </c>
      <c r="Q17" s="75">
        <v>3</v>
      </c>
      <c r="R17" s="75">
        <v>2</v>
      </c>
      <c r="S17" s="75" t="s">
        <v>324</v>
      </c>
      <c r="T17" s="5" t="s">
        <v>153</v>
      </c>
      <c r="U17" s="9"/>
      <c r="W17" s="104">
        <f t="shared" si="4"/>
        <v>109.7</v>
      </c>
      <c r="X17" s="106">
        <f t="shared" si="5"/>
        <v>33</v>
      </c>
      <c r="Y17" s="102">
        <f t="shared" si="6"/>
        <v>180</v>
      </c>
      <c r="Z17" s="109">
        <f t="shared" si="7"/>
        <v>39500</v>
      </c>
      <c r="AA17" s="109">
        <f t="shared" si="8"/>
        <v>24000</v>
      </c>
      <c r="AB17" s="109">
        <f t="shared" si="24"/>
        <v>15500</v>
      </c>
      <c r="AC17" s="4">
        <f t="shared" si="25"/>
        <v>0.60759493670886078</v>
      </c>
      <c r="AD17" s="105">
        <f t="shared" si="26"/>
        <v>1196.969696969697</v>
      </c>
      <c r="AE17" s="75" t="str">
        <f t="shared" si="10"/>
        <v>계</v>
      </c>
      <c r="AF17" s="75" t="str">
        <f t="shared" si="11"/>
        <v>3/2</v>
      </c>
      <c r="AH17" s="20" t="str">
        <f t="shared" si="21"/>
        <v>지정면 원주기업도시유보라아이비파크1단지</v>
      </c>
      <c r="AI17" s="106">
        <f t="shared" si="22"/>
        <v>33</v>
      </c>
      <c r="AJ17" s="75" t="str">
        <f t="shared" si="12"/>
        <v>A-</v>
      </c>
      <c r="AK17" s="75" t="s">
        <v>13</v>
      </c>
      <c r="AL17" s="75" t="s">
        <v>325</v>
      </c>
      <c r="AM17" s="75" t="s">
        <v>326</v>
      </c>
      <c r="AN17" s="75" t="str">
        <f t="shared" si="13"/>
        <v>C</v>
      </c>
      <c r="AO17" s="75" t="str">
        <f t="shared" si="14"/>
        <v>X</v>
      </c>
      <c r="AP17" s="75" t="str">
        <f t="shared" si="15"/>
        <v>O</v>
      </c>
      <c r="AQ17" s="75" t="str">
        <f t="shared" si="16"/>
        <v>O</v>
      </c>
      <c r="AR17" s="75" t="str">
        <f t="shared" si="17"/>
        <v>X</v>
      </c>
      <c r="AS17" s="75" t="s">
        <v>2</v>
      </c>
      <c r="AT17" s="75" t="str">
        <f t="shared" si="18"/>
        <v>O</v>
      </c>
      <c r="AU17" s="75" t="str">
        <f t="shared" si="19"/>
        <v>O</v>
      </c>
      <c r="AV17" s="75" t="str">
        <f t="shared" si="20"/>
        <v>X</v>
      </c>
    </row>
    <row r="18" spans="1:48" s="38" customFormat="1" ht="24" x14ac:dyDescent="0.3">
      <c r="A18" s="111" t="s">
        <v>439</v>
      </c>
      <c r="B18" s="112" t="s">
        <v>440</v>
      </c>
      <c r="C18" s="113">
        <v>892</v>
      </c>
      <c r="D18" s="104">
        <v>111</v>
      </c>
      <c r="E18" s="106">
        <v>34</v>
      </c>
      <c r="F18" s="104">
        <v>84.9</v>
      </c>
      <c r="G18" s="17">
        <v>26</v>
      </c>
      <c r="H18" s="107">
        <v>532</v>
      </c>
      <c r="I18" s="108">
        <v>39500</v>
      </c>
      <c r="J18" s="108" t="s">
        <v>336</v>
      </c>
      <c r="K18" s="108">
        <v>26000</v>
      </c>
      <c r="L18" s="108" t="s">
        <v>337</v>
      </c>
      <c r="M18" s="109">
        <f t="shared" si="0"/>
        <v>13500</v>
      </c>
      <c r="N18" s="4">
        <f t="shared" si="1"/>
        <v>0.65822784810126578</v>
      </c>
      <c r="O18" s="105">
        <f t="shared" si="2"/>
        <v>1161.7647058823529</v>
      </c>
      <c r="P18" s="105">
        <f t="shared" si="3"/>
        <v>764.70588235294122</v>
      </c>
      <c r="Q18" s="75">
        <v>4</v>
      </c>
      <c r="R18" s="75">
        <v>2</v>
      </c>
      <c r="S18" s="75" t="s">
        <v>324</v>
      </c>
      <c r="T18" s="5">
        <v>146</v>
      </c>
      <c r="U18" s="9"/>
      <c r="W18" s="104">
        <f t="shared" si="4"/>
        <v>111</v>
      </c>
      <c r="X18" s="106">
        <f t="shared" si="5"/>
        <v>34</v>
      </c>
      <c r="Y18" s="102">
        <f t="shared" si="6"/>
        <v>532</v>
      </c>
      <c r="Z18" s="109">
        <f t="shared" si="7"/>
        <v>39500</v>
      </c>
      <c r="AA18" s="109">
        <f t="shared" si="8"/>
        <v>26000</v>
      </c>
      <c r="AB18" s="109">
        <f t="shared" si="24"/>
        <v>13500</v>
      </c>
      <c r="AC18" s="4">
        <f t="shared" si="25"/>
        <v>0.65822784810126578</v>
      </c>
      <c r="AD18" s="105">
        <f t="shared" si="26"/>
        <v>1161.7647058823529</v>
      </c>
      <c r="AE18" s="75" t="str">
        <f t="shared" si="10"/>
        <v>계</v>
      </c>
      <c r="AF18" s="75" t="str">
        <f t="shared" si="11"/>
        <v>4/2</v>
      </c>
      <c r="AH18" s="20" t="str">
        <f t="shared" si="21"/>
        <v>지정면 원주기업도시호반베르디움(3-1블록)</v>
      </c>
      <c r="AI18" s="106">
        <f t="shared" si="22"/>
        <v>34</v>
      </c>
      <c r="AJ18" s="75" t="str">
        <f t="shared" si="12"/>
        <v>A-</v>
      </c>
      <c r="AK18" s="75" t="s">
        <v>13</v>
      </c>
      <c r="AL18" s="75" t="s">
        <v>325</v>
      </c>
      <c r="AM18" s="75" t="s">
        <v>326</v>
      </c>
      <c r="AN18" s="75" t="str">
        <f t="shared" si="13"/>
        <v>C</v>
      </c>
      <c r="AO18" s="75" t="str">
        <f t="shared" si="14"/>
        <v>X</v>
      </c>
      <c r="AP18" s="75" t="str">
        <f t="shared" si="15"/>
        <v>O</v>
      </c>
      <c r="AQ18" s="75" t="str">
        <f t="shared" si="16"/>
        <v>O</v>
      </c>
      <c r="AR18" s="75" t="str">
        <f t="shared" si="17"/>
        <v>X</v>
      </c>
      <c r="AS18" s="75" t="s">
        <v>2</v>
      </c>
      <c r="AT18" s="75" t="str">
        <f t="shared" si="18"/>
        <v>O</v>
      </c>
      <c r="AU18" s="75" t="str">
        <f t="shared" si="19"/>
        <v>O</v>
      </c>
      <c r="AV18" s="75" t="str">
        <f t="shared" si="20"/>
        <v>X</v>
      </c>
    </row>
    <row r="19" spans="1:48" s="38" customFormat="1" ht="24" x14ac:dyDescent="0.3">
      <c r="A19" s="111" t="s">
        <v>392</v>
      </c>
      <c r="B19" s="112" t="s">
        <v>440</v>
      </c>
      <c r="C19" s="113">
        <v>824</v>
      </c>
      <c r="D19" s="104">
        <v>110.9</v>
      </c>
      <c r="E19" s="106">
        <v>34</v>
      </c>
      <c r="F19" s="104">
        <v>84.9</v>
      </c>
      <c r="G19" s="17">
        <v>26</v>
      </c>
      <c r="H19" s="107">
        <v>494</v>
      </c>
      <c r="I19" s="108">
        <v>39500</v>
      </c>
      <c r="J19" s="108" t="s">
        <v>335</v>
      </c>
      <c r="K19" s="108">
        <v>25000</v>
      </c>
      <c r="L19" s="108" t="s">
        <v>101</v>
      </c>
      <c r="M19" s="109">
        <f t="shared" si="0"/>
        <v>14500</v>
      </c>
      <c r="N19" s="4">
        <f t="shared" si="1"/>
        <v>0.63291139240506333</v>
      </c>
      <c r="O19" s="105">
        <f t="shared" si="2"/>
        <v>1161.7647058823529</v>
      </c>
      <c r="P19" s="105">
        <f t="shared" si="3"/>
        <v>735.29411764705878</v>
      </c>
      <c r="Q19" s="75">
        <v>3</v>
      </c>
      <c r="R19" s="75">
        <v>2</v>
      </c>
      <c r="S19" s="75" t="s">
        <v>324</v>
      </c>
      <c r="T19" s="5" t="s">
        <v>160</v>
      </c>
      <c r="U19" s="9"/>
      <c r="W19" s="104">
        <f t="shared" si="4"/>
        <v>110.9</v>
      </c>
      <c r="X19" s="106">
        <f t="shared" si="5"/>
        <v>34</v>
      </c>
      <c r="Y19" s="102">
        <f t="shared" si="6"/>
        <v>494</v>
      </c>
      <c r="Z19" s="109">
        <f t="shared" si="7"/>
        <v>39500</v>
      </c>
      <c r="AA19" s="109">
        <f t="shared" si="8"/>
        <v>25000</v>
      </c>
      <c r="AB19" s="109">
        <f t="shared" si="24"/>
        <v>14500</v>
      </c>
      <c r="AC19" s="4">
        <f t="shared" si="25"/>
        <v>0.63291139240506333</v>
      </c>
      <c r="AD19" s="105">
        <f t="shared" si="26"/>
        <v>1161.7647058823529</v>
      </c>
      <c r="AE19" s="75" t="str">
        <f t="shared" si="10"/>
        <v>계</v>
      </c>
      <c r="AF19" s="75" t="str">
        <f t="shared" si="11"/>
        <v>3/2</v>
      </c>
      <c r="AH19" s="20" t="str">
        <f t="shared" si="21"/>
        <v>지정면 원주기업도시호반베르디움(3-2블록)</v>
      </c>
      <c r="AI19" s="106">
        <f t="shared" si="22"/>
        <v>34</v>
      </c>
      <c r="AJ19" s="75" t="str">
        <f t="shared" si="12"/>
        <v>A-</v>
      </c>
      <c r="AK19" s="75" t="s">
        <v>13</v>
      </c>
      <c r="AL19" s="75" t="s">
        <v>325</v>
      </c>
      <c r="AM19" s="75" t="s">
        <v>326</v>
      </c>
      <c r="AN19" s="75" t="str">
        <f t="shared" si="13"/>
        <v>C</v>
      </c>
      <c r="AO19" s="75" t="str">
        <f t="shared" si="14"/>
        <v>X</v>
      </c>
      <c r="AP19" s="75" t="str">
        <f t="shared" si="15"/>
        <v>O</v>
      </c>
      <c r="AQ19" s="75" t="str">
        <f t="shared" si="16"/>
        <v>O</v>
      </c>
      <c r="AR19" s="75" t="str">
        <f t="shared" si="17"/>
        <v>X</v>
      </c>
      <c r="AS19" s="75" t="s">
        <v>2</v>
      </c>
      <c r="AT19" s="75" t="str">
        <f t="shared" si="18"/>
        <v>O</v>
      </c>
      <c r="AU19" s="75" t="str">
        <f t="shared" si="19"/>
        <v>O</v>
      </c>
      <c r="AV19" s="75" t="str">
        <f t="shared" si="20"/>
        <v>X</v>
      </c>
    </row>
    <row r="20" spans="1:48" s="38" customFormat="1" ht="24" x14ac:dyDescent="0.3">
      <c r="A20" s="111" t="s">
        <v>441</v>
      </c>
      <c r="B20" s="112" t="s">
        <v>427</v>
      </c>
      <c r="C20" s="113">
        <v>713</v>
      </c>
      <c r="D20" s="104">
        <v>113.4</v>
      </c>
      <c r="E20" s="106">
        <v>34</v>
      </c>
      <c r="F20" s="104">
        <v>84.7</v>
      </c>
      <c r="G20" s="17">
        <v>26</v>
      </c>
      <c r="H20" s="107">
        <v>178</v>
      </c>
      <c r="I20" s="108">
        <v>40000</v>
      </c>
      <c r="J20" s="108" t="s">
        <v>336</v>
      </c>
      <c r="K20" s="108">
        <v>29000</v>
      </c>
      <c r="L20" s="108" t="s">
        <v>336</v>
      </c>
      <c r="M20" s="109">
        <f t="shared" si="0"/>
        <v>11000</v>
      </c>
      <c r="N20" s="4">
        <f t="shared" si="1"/>
        <v>0.72499999999999998</v>
      </c>
      <c r="O20" s="105">
        <f t="shared" si="2"/>
        <v>1176.4705882352941</v>
      </c>
      <c r="P20" s="105">
        <f t="shared" si="3"/>
        <v>852.94117647058829</v>
      </c>
      <c r="Q20" s="75">
        <v>4</v>
      </c>
      <c r="R20" s="75">
        <v>2</v>
      </c>
      <c r="S20" s="75" t="s">
        <v>324</v>
      </c>
      <c r="T20" s="5">
        <v>137</v>
      </c>
      <c r="U20" s="9"/>
      <c r="W20" s="104">
        <f t="shared" si="4"/>
        <v>113.4</v>
      </c>
      <c r="X20" s="106">
        <f t="shared" si="5"/>
        <v>34</v>
      </c>
      <c r="Y20" s="102">
        <f t="shared" si="6"/>
        <v>178</v>
      </c>
      <c r="Z20" s="109">
        <f t="shared" si="7"/>
        <v>40000</v>
      </c>
      <c r="AA20" s="109">
        <f t="shared" si="8"/>
        <v>29000</v>
      </c>
      <c r="AB20" s="109">
        <f t="shared" si="24"/>
        <v>11000</v>
      </c>
      <c r="AC20" s="4">
        <f t="shared" si="25"/>
        <v>0.72499999999999998</v>
      </c>
      <c r="AD20" s="105">
        <f t="shared" si="26"/>
        <v>1176.4705882352941</v>
      </c>
      <c r="AE20" s="75" t="str">
        <f t="shared" si="10"/>
        <v>계</v>
      </c>
      <c r="AF20" s="75" t="str">
        <f t="shared" si="11"/>
        <v>4/2</v>
      </c>
      <c r="AH20" s="20" t="str">
        <f t="shared" si="21"/>
        <v>지정면 원주기업도시라온프라이빗</v>
      </c>
      <c r="AI20" s="106">
        <f t="shared" si="22"/>
        <v>34</v>
      </c>
      <c r="AJ20" s="75" t="str">
        <f t="shared" si="12"/>
        <v>A-</v>
      </c>
      <c r="AK20" s="75" t="s">
        <v>13</v>
      </c>
      <c r="AL20" s="75" t="s">
        <v>325</v>
      </c>
      <c r="AM20" s="75" t="s">
        <v>326</v>
      </c>
      <c r="AN20" s="75" t="str">
        <f t="shared" si="13"/>
        <v>C</v>
      </c>
      <c r="AO20" s="75" t="str">
        <f t="shared" si="14"/>
        <v>X</v>
      </c>
      <c r="AP20" s="75" t="str">
        <f t="shared" si="15"/>
        <v>O</v>
      </c>
      <c r="AQ20" s="75" t="str">
        <f t="shared" si="16"/>
        <v>O</v>
      </c>
      <c r="AR20" s="75" t="str">
        <f t="shared" si="17"/>
        <v>X</v>
      </c>
      <c r="AS20" s="75" t="s">
        <v>2</v>
      </c>
      <c r="AT20" s="75" t="str">
        <f t="shared" si="18"/>
        <v>O</v>
      </c>
      <c r="AU20" s="75" t="str">
        <f t="shared" si="19"/>
        <v>O</v>
      </c>
      <c r="AV20" s="75" t="str">
        <f t="shared" si="20"/>
        <v>X</v>
      </c>
    </row>
    <row r="21" spans="1:48" s="38" customFormat="1" ht="12" x14ac:dyDescent="0.3">
      <c r="A21" s="111" t="s">
        <v>442</v>
      </c>
      <c r="B21" s="112" t="s">
        <v>443</v>
      </c>
      <c r="C21" s="113">
        <v>776</v>
      </c>
      <c r="D21" s="104">
        <v>82</v>
      </c>
      <c r="E21" s="106">
        <v>25</v>
      </c>
      <c r="F21" s="104">
        <v>60</v>
      </c>
      <c r="G21" s="17">
        <v>18</v>
      </c>
      <c r="H21" s="107">
        <v>172</v>
      </c>
      <c r="I21" s="108">
        <v>28500</v>
      </c>
      <c r="J21" s="108" t="s">
        <v>101</v>
      </c>
      <c r="K21" s="108"/>
      <c r="L21" s="108"/>
      <c r="M21" s="109">
        <f t="shared" si="0"/>
        <v>28500</v>
      </c>
      <c r="N21" s="4">
        <f t="shared" si="1"/>
        <v>0</v>
      </c>
      <c r="O21" s="105">
        <f t="shared" si="2"/>
        <v>1140</v>
      </c>
      <c r="P21" s="105">
        <f t="shared" si="3"/>
        <v>0</v>
      </c>
      <c r="Q21" s="75">
        <v>3</v>
      </c>
      <c r="R21" s="75">
        <v>2</v>
      </c>
      <c r="S21" s="75" t="s">
        <v>324</v>
      </c>
      <c r="T21" s="5">
        <v>102</v>
      </c>
      <c r="U21" s="9"/>
      <c r="W21" s="104">
        <f t="shared" si="4"/>
        <v>82</v>
      </c>
      <c r="X21" s="106">
        <f t="shared" si="5"/>
        <v>25</v>
      </c>
      <c r="Y21" s="102">
        <f t="shared" si="6"/>
        <v>172</v>
      </c>
      <c r="Z21" s="109">
        <f t="shared" si="7"/>
        <v>28500</v>
      </c>
      <c r="AA21" s="109">
        <f t="shared" si="8"/>
        <v>0</v>
      </c>
      <c r="AB21" s="109">
        <f t="shared" si="24"/>
        <v>28500</v>
      </c>
      <c r="AC21" s="4">
        <f t="shared" si="25"/>
        <v>0</v>
      </c>
      <c r="AD21" s="105">
        <f t="shared" si="26"/>
        <v>1140</v>
      </c>
      <c r="AE21" s="75" t="str">
        <f t="shared" si="10"/>
        <v>계</v>
      </c>
      <c r="AF21" s="75" t="str">
        <f t="shared" si="11"/>
        <v>3/2</v>
      </c>
      <c r="AH21" s="20" t="str">
        <f t="shared" si="21"/>
        <v>지정면 이지더원더그레이스</v>
      </c>
      <c r="AI21" s="106">
        <f t="shared" si="22"/>
        <v>25</v>
      </c>
      <c r="AJ21" s="75" t="str">
        <f t="shared" si="12"/>
        <v>A-</v>
      </c>
      <c r="AK21" s="75" t="s">
        <v>13</v>
      </c>
      <c r="AL21" s="75" t="s">
        <v>325</v>
      </c>
      <c r="AM21" s="75" t="s">
        <v>326</v>
      </c>
      <c r="AN21" s="75" t="str">
        <f t="shared" si="13"/>
        <v>C</v>
      </c>
      <c r="AO21" s="75" t="str">
        <f t="shared" si="14"/>
        <v>X</v>
      </c>
      <c r="AP21" s="75" t="str">
        <f t="shared" si="15"/>
        <v>O</v>
      </c>
      <c r="AQ21" s="75" t="str">
        <f t="shared" si="16"/>
        <v>O</v>
      </c>
      <c r="AR21" s="75" t="str">
        <f t="shared" si="17"/>
        <v>X</v>
      </c>
      <c r="AS21" s="75" t="s">
        <v>2</v>
      </c>
      <c r="AT21" s="75" t="str">
        <f t="shared" si="18"/>
        <v>O</v>
      </c>
      <c r="AU21" s="75" t="str">
        <f t="shared" si="19"/>
        <v>O</v>
      </c>
      <c r="AV21" s="75" t="str">
        <f t="shared" si="20"/>
        <v>X</v>
      </c>
    </row>
    <row r="22" spans="1:48" s="38" customFormat="1" ht="24" x14ac:dyDescent="0.3">
      <c r="A22" s="111" t="s">
        <v>444</v>
      </c>
      <c r="B22" s="112" t="s">
        <v>445</v>
      </c>
      <c r="C22" s="113">
        <v>536</v>
      </c>
      <c r="D22" s="104">
        <v>81.2</v>
      </c>
      <c r="E22" s="106">
        <v>25</v>
      </c>
      <c r="F22" s="104">
        <v>60</v>
      </c>
      <c r="G22" s="17">
        <v>18</v>
      </c>
      <c r="H22" s="107">
        <v>128</v>
      </c>
      <c r="I22" s="108">
        <v>34500</v>
      </c>
      <c r="J22" s="108" t="s">
        <v>101</v>
      </c>
      <c r="K22" s="108"/>
      <c r="L22" s="108"/>
      <c r="M22" s="109">
        <f t="shared" si="0"/>
        <v>34500</v>
      </c>
      <c r="N22" s="4">
        <f t="shared" si="1"/>
        <v>0</v>
      </c>
      <c r="O22" s="105">
        <f t="shared" si="2"/>
        <v>1380</v>
      </c>
      <c r="P22" s="105">
        <f t="shared" si="3"/>
        <v>0</v>
      </c>
      <c r="Q22" s="75">
        <v>3</v>
      </c>
      <c r="R22" s="75">
        <v>2</v>
      </c>
      <c r="S22" s="75" t="s">
        <v>324</v>
      </c>
      <c r="T22" s="5">
        <v>104</v>
      </c>
      <c r="U22" s="9"/>
      <c r="W22" s="104">
        <f t="shared" si="4"/>
        <v>81.2</v>
      </c>
      <c r="X22" s="106">
        <f t="shared" si="5"/>
        <v>25</v>
      </c>
      <c r="Y22" s="102">
        <f t="shared" si="6"/>
        <v>128</v>
      </c>
      <c r="Z22" s="109">
        <f t="shared" si="7"/>
        <v>34500</v>
      </c>
      <c r="AA22" s="109">
        <f t="shared" si="8"/>
        <v>0</v>
      </c>
      <c r="AB22" s="109">
        <f t="shared" si="24"/>
        <v>34500</v>
      </c>
      <c r="AC22" s="4">
        <f t="shared" si="25"/>
        <v>0</v>
      </c>
      <c r="AD22" s="105">
        <f t="shared" si="26"/>
        <v>1380</v>
      </c>
      <c r="AE22" s="75" t="str">
        <f t="shared" si="10"/>
        <v>계</v>
      </c>
      <c r="AF22" s="75" t="str">
        <f t="shared" si="11"/>
        <v>3/2</v>
      </c>
      <c r="AH22" s="20" t="str">
        <f t="shared" si="21"/>
        <v>지정면 원주롯데캐슬골드파크2차</v>
      </c>
      <c r="AI22" s="106">
        <f t="shared" si="22"/>
        <v>25</v>
      </c>
      <c r="AJ22" s="75" t="str">
        <f t="shared" si="12"/>
        <v>A-</v>
      </c>
      <c r="AK22" s="75" t="s">
        <v>13</v>
      </c>
      <c r="AL22" s="75" t="s">
        <v>325</v>
      </c>
      <c r="AM22" s="75" t="s">
        <v>326</v>
      </c>
      <c r="AN22" s="75" t="str">
        <f t="shared" si="13"/>
        <v>C</v>
      </c>
      <c r="AO22" s="75" t="str">
        <f t="shared" si="14"/>
        <v>X</v>
      </c>
      <c r="AP22" s="75" t="str">
        <f t="shared" si="15"/>
        <v>O</v>
      </c>
      <c r="AQ22" s="75" t="str">
        <f t="shared" si="16"/>
        <v>O</v>
      </c>
      <c r="AR22" s="75" t="str">
        <f t="shared" si="17"/>
        <v>X</v>
      </c>
      <c r="AS22" s="75" t="s">
        <v>2</v>
      </c>
      <c r="AT22" s="75" t="str">
        <f t="shared" si="18"/>
        <v>O</v>
      </c>
      <c r="AU22" s="75" t="str">
        <f t="shared" si="19"/>
        <v>O</v>
      </c>
      <c r="AV22" s="75" t="str">
        <f t="shared" si="20"/>
        <v>X</v>
      </c>
    </row>
    <row r="23" spans="1:48" s="38" customFormat="1" ht="12" x14ac:dyDescent="0.3">
      <c r="A23" s="111" t="s">
        <v>395</v>
      </c>
      <c r="B23" s="112" t="s">
        <v>393</v>
      </c>
      <c r="C23" s="113">
        <v>1430</v>
      </c>
      <c r="D23" s="104">
        <v>110.8</v>
      </c>
      <c r="E23" s="106">
        <v>34</v>
      </c>
      <c r="F23" s="104">
        <v>85</v>
      </c>
      <c r="G23" s="17">
        <v>26</v>
      </c>
      <c r="H23" s="107">
        <v>880</v>
      </c>
      <c r="I23" s="108">
        <v>35000</v>
      </c>
      <c r="J23" s="108" t="s">
        <v>101</v>
      </c>
      <c r="K23" s="108">
        <v>23000</v>
      </c>
      <c r="L23" s="108" t="s">
        <v>346</v>
      </c>
      <c r="M23" s="109">
        <f t="shared" si="0"/>
        <v>12000</v>
      </c>
      <c r="N23" s="4">
        <f t="shared" si="1"/>
        <v>0.65714285714285714</v>
      </c>
      <c r="O23" s="105">
        <f t="shared" si="2"/>
        <v>1029.4117647058824</v>
      </c>
      <c r="P23" s="105">
        <f t="shared" si="3"/>
        <v>676.47058823529414</v>
      </c>
      <c r="Q23" s="75">
        <v>3</v>
      </c>
      <c r="R23" s="75">
        <v>1</v>
      </c>
      <c r="S23" s="75" t="s">
        <v>324</v>
      </c>
      <c r="T23" s="5">
        <v>73</v>
      </c>
      <c r="U23" s="9"/>
      <c r="W23" s="104">
        <f t="shared" si="4"/>
        <v>110.8</v>
      </c>
      <c r="X23" s="106">
        <f t="shared" si="5"/>
        <v>34</v>
      </c>
      <c r="Y23" s="102">
        <f t="shared" si="6"/>
        <v>880</v>
      </c>
      <c r="Z23" s="109">
        <f t="shared" si="7"/>
        <v>35000</v>
      </c>
      <c r="AA23" s="109">
        <f t="shared" si="8"/>
        <v>23000</v>
      </c>
      <c r="AB23" s="109">
        <f t="shared" si="24"/>
        <v>12000</v>
      </c>
      <c r="AC23" s="4">
        <f t="shared" si="25"/>
        <v>0.65714285714285714</v>
      </c>
      <c r="AD23" s="105">
        <f t="shared" si="26"/>
        <v>1029.4117647058824</v>
      </c>
      <c r="AE23" s="75" t="str">
        <f t="shared" si="10"/>
        <v>계</v>
      </c>
      <c r="AF23" s="75" t="str">
        <f t="shared" si="11"/>
        <v>3/1</v>
      </c>
      <c r="AH23" s="20" t="str">
        <f t="shared" si="21"/>
        <v>지정면 이지더원1차</v>
      </c>
      <c r="AI23" s="106">
        <f t="shared" si="22"/>
        <v>34</v>
      </c>
      <c r="AJ23" s="75" t="str">
        <f t="shared" si="12"/>
        <v>A-</v>
      </c>
      <c r="AK23" s="75" t="s">
        <v>13</v>
      </c>
      <c r="AL23" s="75" t="s">
        <v>325</v>
      </c>
      <c r="AM23" s="75" t="s">
        <v>326</v>
      </c>
      <c r="AN23" s="75" t="str">
        <f t="shared" si="13"/>
        <v>C</v>
      </c>
      <c r="AO23" s="75" t="str">
        <f t="shared" si="14"/>
        <v>X</v>
      </c>
      <c r="AP23" s="75" t="str">
        <f t="shared" si="15"/>
        <v>O</v>
      </c>
      <c r="AQ23" s="75" t="str">
        <f t="shared" si="16"/>
        <v>O</v>
      </c>
      <c r="AR23" s="75" t="str">
        <f t="shared" si="17"/>
        <v>X</v>
      </c>
      <c r="AS23" s="75" t="s">
        <v>2</v>
      </c>
      <c r="AT23" s="75" t="str">
        <f t="shared" si="18"/>
        <v>O</v>
      </c>
      <c r="AU23" s="75" t="str">
        <f t="shared" si="19"/>
        <v>O</v>
      </c>
      <c r="AV23" s="75" t="str">
        <f t="shared" si="20"/>
        <v>X</v>
      </c>
    </row>
    <row r="24" spans="1:48" s="38" customFormat="1" ht="24" x14ac:dyDescent="0.3">
      <c r="A24" s="111" t="s">
        <v>384</v>
      </c>
      <c r="B24" s="112" t="s">
        <v>385</v>
      </c>
      <c r="C24" s="113">
        <v>624</v>
      </c>
      <c r="D24" s="104">
        <v>81.599999999999994</v>
      </c>
      <c r="E24" s="106">
        <v>25</v>
      </c>
      <c r="F24" s="104">
        <v>60</v>
      </c>
      <c r="G24" s="17">
        <v>18</v>
      </c>
      <c r="H24" s="107">
        <v>157</v>
      </c>
      <c r="I24" s="108">
        <v>33000</v>
      </c>
      <c r="J24" s="108" t="s">
        <v>94</v>
      </c>
      <c r="K24" s="108">
        <v>22000</v>
      </c>
      <c r="L24" s="108" t="s">
        <v>349</v>
      </c>
      <c r="M24" s="109">
        <f t="shared" si="0"/>
        <v>11000</v>
      </c>
      <c r="N24" s="4">
        <f t="shared" si="1"/>
        <v>0.66666666666666663</v>
      </c>
      <c r="O24" s="105">
        <f t="shared" si="2"/>
        <v>1320</v>
      </c>
      <c r="P24" s="105">
        <f t="shared" si="3"/>
        <v>880</v>
      </c>
      <c r="Q24" s="75">
        <v>3</v>
      </c>
      <c r="R24" s="75">
        <v>2</v>
      </c>
      <c r="S24" s="75" t="s">
        <v>324</v>
      </c>
      <c r="T24" s="5" t="s">
        <v>179</v>
      </c>
      <c r="U24" s="9"/>
      <c r="W24" s="104">
        <f t="shared" si="4"/>
        <v>81.599999999999994</v>
      </c>
      <c r="X24" s="106">
        <f t="shared" si="5"/>
        <v>25</v>
      </c>
      <c r="Y24" s="102">
        <f t="shared" si="6"/>
        <v>157</v>
      </c>
      <c r="Z24" s="109">
        <f t="shared" si="7"/>
        <v>33000</v>
      </c>
      <c r="AA24" s="109">
        <f t="shared" si="8"/>
        <v>22000</v>
      </c>
      <c r="AB24" s="109">
        <f t="shared" si="24"/>
        <v>11000</v>
      </c>
      <c r="AC24" s="4">
        <f t="shared" si="25"/>
        <v>0.66666666666666663</v>
      </c>
      <c r="AD24" s="105">
        <f t="shared" si="26"/>
        <v>1320</v>
      </c>
      <c r="AE24" s="75" t="str">
        <f t="shared" si="10"/>
        <v>계</v>
      </c>
      <c r="AF24" s="75" t="str">
        <f t="shared" si="11"/>
        <v>3/2</v>
      </c>
      <c r="AH24" s="20" t="str">
        <f t="shared" si="21"/>
        <v>지정면 원주롯데캐슬골드파크1차</v>
      </c>
      <c r="AI24" s="106">
        <f t="shared" si="22"/>
        <v>25</v>
      </c>
      <c r="AJ24" s="75" t="str">
        <f t="shared" si="12"/>
        <v>A-</v>
      </c>
      <c r="AK24" s="75" t="s">
        <v>13</v>
      </c>
      <c r="AL24" s="75" t="s">
        <v>325</v>
      </c>
      <c r="AM24" s="75" t="s">
        <v>326</v>
      </c>
      <c r="AN24" s="75" t="str">
        <f t="shared" si="13"/>
        <v>C</v>
      </c>
      <c r="AO24" s="75" t="str">
        <f t="shared" si="14"/>
        <v>X</v>
      </c>
      <c r="AP24" s="75" t="str">
        <f t="shared" si="15"/>
        <v>O</v>
      </c>
      <c r="AQ24" s="75" t="str">
        <f t="shared" si="16"/>
        <v>O</v>
      </c>
      <c r="AR24" s="75" t="str">
        <f t="shared" si="17"/>
        <v>X</v>
      </c>
      <c r="AS24" s="75" t="s">
        <v>2</v>
      </c>
      <c r="AT24" s="75" t="str">
        <f t="shared" si="18"/>
        <v>O</v>
      </c>
      <c r="AU24" s="75" t="str">
        <f t="shared" si="19"/>
        <v>O</v>
      </c>
      <c r="AV24" s="75" t="str">
        <f t="shared" si="20"/>
        <v>X</v>
      </c>
    </row>
    <row r="25" spans="1:48" s="38" customFormat="1" ht="24" x14ac:dyDescent="0.3">
      <c r="A25" s="111" t="s">
        <v>446</v>
      </c>
      <c r="B25" s="112" t="s">
        <v>390</v>
      </c>
      <c r="C25" s="113">
        <v>794</v>
      </c>
      <c r="D25" s="104">
        <v>80.5</v>
      </c>
      <c r="E25" s="106">
        <v>24</v>
      </c>
      <c r="F25" s="104">
        <v>60</v>
      </c>
      <c r="G25" s="17">
        <v>18</v>
      </c>
      <c r="H25" s="107">
        <v>34</v>
      </c>
      <c r="I25" s="108">
        <v>29000</v>
      </c>
      <c r="J25" s="108" t="s">
        <v>344</v>
      </c>
      <c r="K25" s="108"/>
      <c r="L25" s="108"/>
      <c r="M25" s="109">
        <f t="shared" si="0"/>
        <v>29000</v>
      </c>
      <c r="N25" s="4">
        <f t="shared" si="1"/>
        <v>0</v>
      </c>
      <c r="O25" s="105">
        <f t="shared" si="2"/>
        <v>1208.3333333333333</v>
      </c>
      <c r="P25" s="105">
        <f t="shared" si="3"/>
        <v>0</v>
      </c>
      <c r="Q25" s="75">
        <v>4</v>
      </c>
      <c r="R25" s="75">
        <v>2</v>
      </c>
      <c r="S25" s="75" t="s">
        <v>324</v>
      </c>
      <c r="T25" s="5">
        <v>135</v>
      </c>
      <c r="U25" s="9"/>
      <c r="W25" s="104">
        <f t="shared" si="4"/>
        <v>80.5</v>
      </c>
      <c r="X25" s="106">
        <f t="shared" si="5"/>
        <v>24</v>
      </c>
      <c r="Y25" s="102">
        <f t="shared" si="6"/>
        <v>34</v>
      </c>
      <c r="Z25" s="109">
        <f t="shared" si="7"/>
        <v>29000</v>
      </c>
      <c r="AA25" s="109">
        <f t="shared" si="8"/>
        <v>0</v>
      </c>
      <c r="AB25" s="109">
        <f t="shared" si="24"/>
        <v>29000</v>
      </c>
      <c r="AC25" s="4">
        <f t="shared" si="25"/>
        <v>0</v>
      </c>
      <c r="AD25" s="105">
        <f t="shared" si="26"/>
        <v>1208.3333333333333</v>
      </c>
      <c r="AE25" s="75" t="str">
        <f t="shared" si="10"/>
        <v>계</v>
      </c>
      <c r="AF25" s="75" t="str">
        <f t="shared" si="11"/>
        <v>4/2</v>
      </c>
      <c r="AH25" s="20" t="str">
        <f t="shared" si="21"/>
        <v>지정면 원주기업도시유보라아이비파크2단지</v>
      </c>
      <c r="AI25" s="106">
        <f t="shared" si="22"/>
        <v>24</v>
      </c>
      <c r="AJ25" s="75" t="str">
        <f t="shared" si="12"/>
        <v>A-</v>
      </c>
      <c r="AK25" s="75" t="s">
        <v>13</v>
      </c>
      <c r="AL25" s="75" t="s">
        <v>325</v>
      </c>
      <c r="AM25" s="75" t="s">
        <v>326</v>
      </c>
      <c r="AN25" s="75" t="str">
        <f t="shared" si="13"/>
        <v>C</v>
      </c>
      <c r="AO25" s="75" t="str">
        <f t="shared" si="14"/>
        <v>X</v>
      </c>
      <c r="AP25" s="75" t="str">
        <f t="shared" si="15"/>
        <v>O</v>
      </c>
      <c r="AQ25" s="75" t="str">
        <f t="shared" si="16"/>
        <v>O</v>
      </c>
      <c r="AR25" s="75" t="str">
        <f t="shared" si="17"/>
        <v>X</v>
      </c>
      <c r="AS25" s="75" t="s">
        <v>2</v>
      </c>
      <c r="AT25" s="75" t="str">
        <f t="shared" si="18"/>
        <v>O</v>
      </c>
      <c r="AU25" s="75" t="str">
        <f t="shared" si="19"/>
        <v>O</v>
      </c>
      <c r="AV25" s="75" t="str">
        <f t="shared" si="20"/>
        <v>X</v>
      </c>
    </row>
    <row r="26" spans="1:48" s="38" customFormat="1" ht="24" x14ac:dyDescent="0.3">
      <c r="A26" s="111" t="s">
        <v>392</v>
      </c>
      <c r="B26" s="112" t="s">
        <v>391</v>
      </c>
      <c r="C26" s="113">
        <v>824</v>
      </c>
      <c r="D26" s="104">
        <v>83.1</v>
      </c>
      <c r="E26" s="106">
        <v>25</v>
      </c>
      <c r="F26" s="104">
        <v>60</v>
      </c>
      <c r="G26" s="17">
        <v>18</v>
      </c>
      <c r="H26" s="107">
        <v>244</v>
      </c>
      <c r="I26" s="108">
        <v>28000</v>
      </c>
      <c r="J26" s="108" t="s">
        <v>101</v>
      </c>
      <c r="K26" s="108">
        <v>20000</v>
      </c>
      <c r="L26" s="108" t="s">
        <v>327</v>
      </c>
      <c r="M26" s="109">
        <f t="shared" si="0"/>
        <v>8000</v>
      </c>
      <c r="N26" s="4">
        <f t="shared" si="1"/>
        <v>0.7142857142857143</v>
      </c>
      <c r="O26" s="105">
        <f t="shared" si="2"/>
        <v>1120</v>
      </c>
      <c r="P26" s="105">
        <f t="shared" si="3"/>
        <v>800</v>
      </c>
      <c r="Q26" s="75">
        <v>3</v>
      </c>
      <c r="R26" s="75">
        <v>2</v>
      </c>
      <c r="S26" s="75" t="s">
        <v>324</v>
      </c>
      <c r="T26" s="5" t="s">
        <v>183</v>
      </c>
      <c r="U26" s="9"/>
      <c r="W26" s="104">
        <f t="shared" si="4"/>
        <v>83.1</v>
      </c>
      <c r="X26" s="106">
        <f t="shared" si="5"/>
        <v>25</v>
      </c>
      <c r="Y26" s="102">
        <f t="shared" si="6"/>
        <v>244</v>
      </c>
      <c r="Z26" s="109">
        <f t="shared" si="7"/>
        <v>28000</v>
      </c>
      <c r="AA26" s="109">
        <f t="shared" si="8"/>
        <v>20000</v>
      </c>
      <c r="AB26" s="109">
        <f t="shared" si="24"/>
        <v>8000</v>
      </c>
      <c r="AC26" s="4">
        <f t="shared" si="25"/>
        <v>0.7142857142857143</v>
      </c>
      <c r="AD26" s="105">
        <f t="shared" si="26"/>
        <v>1120</v>
      </c>
      <c r="AE26" s="75" t="str">
        <f t="shared" si="10"/>
        <v>계</v>
      </c>
      <c r="AF26" s="75" t="str">
        <f t="shared" si="11"/>
        <v>3/2</v>
      </c>
      <c r="AH26" s="20" t="str">
        <f t="shared" si="21"/>
        <v>지정면 원주기업도시호반베르디움(3-2블록)</v>
      </c>
      <c r="AI26" s="106">
        <f t="shared" si="22"/>
        <v>25</v>
      </c>
      <c r="AJ26" s="75" t="str">
        <f t="shared" si="12"/>
        <v>A-</v>
      </c>
      <c r="AK26" s="75" t="s">
        <v>13</v>
      </c>
      <c r="AL26" s="75" t="s">
        <v>325</v>
      </c>
      <c r="AM26" s="75" t="s">
        <v>326</v>
      </c>
      <c r="AN26" s="75" t="str">
        <f t="shared" si="13"/>
        <v>C</v>
      </c>
      <c r="AO26" s="75" t="str">
        <f t="shared" si="14"/>
        <v>X</v>
      </c>
      <c r="AP26" s="75" t="str">
        <f t="shared" si="15"/>
        <v>O</v>
      </c>
      <c r="AQ26" s="75" t="str">
        <f t="shared" si="16"/>
        <v>O</v>
      </c>
      <c r="AR26" s="75" t="str">
        <f t="shared" si="17"/>
        <v>X</v>
      </c>
      <c r="AS26" s="75" t="s">
        <v>2</v>
      </c>
      <c r="AT26" s="75" t="str">
        <f t="shared" si="18"/>
        <v>O</v>
      </c>
      <c r="AU26" s="75" t="str">
        <f t="shared" si="19"/>
        <v>O</v>
      </c>
      <c r="AV26" s="75" t="str">
        <f t="shared" si="20"/>
        <v>X</v>
      </c>
    </row>
    <row r="27" spans="1:48" s="38" customFormat="1" ht="24" x14ac:dyDescent="0.3">
      <c r="A27" s="111" t="s">
        <v>388</v>
      </c>
      <c r="B27" s="112" t="s">
        <v>387</v>
      </c>
      <c r="C27" s="113">
        <v>882</v>
      </c>
      <c r="D27" s="104">
        <v>85.7</v>
      </c>
      <c r="E27" s="106">
        <v>26</v>
      </c>
      <c r="F27" s="104">
        <v>59.9</v>
      </c>
      <c r="G27" s="17">
        <v>18</v>
      </c>
      <c r="H27" s="107">
        <v>337</v>
      </c>
      <c r="I27" s="108">
        <v>29000</v>
      </c>
      <c r="J27" s="108" t="s">
        <v>335</v>
      </c>
      <c r="K27" s="108">
        <v>20000</v>
      </c>
      <c r="L27" s="108" t="s">
        <v>342</v>
      </c>
      <c r="M27" s="109">
        <f t="shared" si="0"/>
        <v>9000</v>
      </c>
      <c r="N27" s="4">
        <f t="shared" si="1"/>
        <v>0.68965517241379315</v>
      </c>
      <c r="O27" s="105">
        <f t="shared" si="2"/>
        <v>1115.3846153846155</v>
      </c>
      <c r="P27" s="105">
        <f t="shared" si="3"/>
        <v>769.23076923076928</v>
      </c>
      <c r="Q27" s="75">
        <v>1</v>
      </c>
      <c r="R27" s="75">
        <v>1</v>
      </c>
      <c r="S27" s="75" t="s">
        <v>324</v>
      </c>
      <c r="T27" s="5" t="s">
        <v>184</v>
      </c>
      <c r="U27" s="9"/>
      <c r="W27" s="104">
        <f t="shared" si="4"/>
        <v>85.7</v>
      </c>
      <c r="X27" s="106">
        <f t="shared" si="5"/>
        <v>26</v>
      </c>
      <c r="Y27" s="102">
        <f t="shared" si="6"/>
        <v>337</v>
      </c>
      <c r="Z27" s="109">
        <f t="shared" si="7"/>
        <v>29000</v>
      </c>
      <c r="AA27" s="109">
        <f t="shared" si="8"/>
        <v>20000</v>
      </c>
      <c r="AB27" s="109">
        <f t="shared" si="24"/>
        <v>9000</v>
      </c>
      <c r="AC27" s="4">
        <f t="shared" si="25"/>
        <v>0.68965517241379315</v>
      </c>
      <c r="AD27" s="105">
        <f t="shared" si="26"/>
        <v>1115.3846153846155</v>
      </c>
      <c r="AE27" s="75" t="str">
        <f t="shared" si="10"/>
        <v>계</v>
      </c>
      <c r="AF27" s="75" t="str">
        <f t="shared" si="11"/>
        <v>1/1</v>
      </c>
      <c r="AH27" s="20" t="str">
        <f t="shared" si="21"/>
        <v>지정면 원주기업도시호반베르디움8단지</v>
      </c>
      <c r="AI27" s="106">
        <f t="shared" si="22"/>
        <v>26</v>
      </c>
      <c r="AJ27" s="75" t="str">
        <f t="shared" si="12"/>
        <v>A-</v>
      </c>
      <c r="AK27" s="75" t="s">
        <v>13</v>
      </c>
      <c r="AL27" s="75" t="s">
        <v>325</v>
      </c>
      <c r="AM27" s="75" t="s">
        <v>326</v>
      </c>
      <c r="AN27" s="75" t="str">
        <f t="shared" si="13"/>
        <v>C</v>
      </c>
      <c r="AO27" s="75" t="str">
        <f t="shared" si="14"/>
        <v>X</v>
      </c>
      <c r="AP27" s="75" t="str">
        <f t="shared" si="15"/>
        <v>O</v>
      </c>
      <c r="AQ27" s="75" t="str">
        <f t="shared" si="16"/>
        <v>O</v>
      </c>
      <c r="AR27" s="75" t="str">
        <f t="shared" si="17"/>
        <v>X</v>
      </c>
      <c r="AS27" s="75" t="s">
        <v>2</v>
      </c>
      <c r="AT27" s="75" t="str">
        <f t="shared" si="18"/>
        <v>O</v>
      </c>
      <c r="AU27" s="75" t="str">
        <f t="shared" si="19"/>
        <v>O</v>
      </c>
      <c r="AV27" s="75" t="str">
        <f t="shared" si="20"/>
        <v>X</v>
      </c>
    </row>
    <row r="28" spans="1:48" s="38" customFormat="1" ht="24" x14ac:dyDescent="0.3">
      <c r="A28" s="111" t="s">
        <v>447</v>
      </c>
      <c r="B28" s="112" t="s">
        <v>387</v>
      </c>
      <c r="C28" s="113">
        <v>1116</v>
      </c>
      <c r="D28" s="104">
        <v>84.6</v>
      </c>
      <c r="E28" s="106">
        <v>26</v>
      </c>
      <c r="F28" s="104">
        <v>60</v>
      </c>
      <c r="G28" s="17">
        <v>18</v>
      </c>
      <c r="H28" s="107">
        <v>571</v>
      </c>
      <c r="I28" s="108">
        <v>30000</v>
      </c>
      <c r="J28" s="108" t="s">
        <v>350</v>
      </c>
      <c r="K28" s="108">
        <v>21000</v>
      </c>
      <c r="L28" s="108" t="s">
        <v>94</v>
      </c>
      <c r="M28" s="109">
        <f t="shared" si="0"/>
        <v>9000</v>
      </c>
      <c r="N28" s="4">
        <f t="shared" si="1"/>
        <v>0.7</v>
      </c>
      <c r="O28" s="105">
        <f t="shared" si="2"/>
        <v>1153.8461538461538</v>
      </c>
      <c r="P28" s="105">
        <f t="shared" si="3"/>
        <v>807.69230769230774</v>
      </c>
      <c r="Q28" s="75">
        <v>1</v>
      </c>
      <c r="R28" s="75">
        <v>1</v>
      </c>
      <c r="S28" s="75" t="s">
        <v>324</v>
      </c>
      <c r="T28" s="5" t="s">
        <v>185</v>
      </c>
      <c r="U28" s="9"/>
      <c r="W28" s="104">
        <f t="shared" si="4"/>
        <v>84.6</v>
      </c>
      <c r="X28" s="106">
        <f t="shared" si="5"/>
        <v>26</v>
      </c>
      <c r="Y28" s="102">
        <f t="shared" si="6"/>
        <v>571</v>
      </c>
      <c r="Z28" s="109">
        <f t="shared" si="7"/>
        <v>30000</v>
      </c>
      <c r="AA28" s="109">
        <f t="shared" si="8"/>
        <v>21000</v>
      </c>
      <c r="AB28" s="109">
        <f t="shared" si="24"/>
        <v>9000</v>
      </c>
      <c r="AC28" s="4">
        <f t="shared" si="25"/>
        <v>0.7</v>
      </c>
      <c r="AD28" s="105">
        <f t="shared" si="26"/>
        <v>1153.8461538461538</v>
      </c>
      <c r="AE28" s="75" t="str">
        <f t="shared" si="10"/>
        <v>계</v>
      </c>
      <c r="AF28" s="75" t="str">
        <f t="shared" si="11"/>
        <v>1/1</v>
      </c>
      <c r="AH28" s="20" t="str">
        <f t="shared" si="21"/>
        <v>지정면 원주롯데캐슬더퍼스트2차</v>
      </c>
      <c r="AI28" s="106">
        <f t="shared" si="22"/>
        <v>26</v>
      </c>
      <c r="AJ28" s="75" t="str">
        <f t="shared" si="12"/>
        <v>A-</v>
      </c>
      <c r="AK28" s="75" t="s">
        <v>13</v>
      </c>
      <c r="AL28" s="75" t="s">
        <v>325</v>
      </c>
      <c r="AM28" s="75" t="s">
        <v>326</v>
      </c>
      <c r="AN28" s="75" t="str">
        <f t="shared" si="13"/>
        <v>C</v>
      </c>
      <c r="AO28" s="75" t="str">
        <f t="shared" si="14"/>
        <v>X</v>
      </c>
      <c r="AP28" s="75" t="str">
        <f t="shared" si="15"/>
        <v>O</v>
      </c>
      <c r="AQ28" s="75" t="str">
        <f t="shared" si="16"/>
        <v>O</v>
      </c>
      <c r="AR28" s="75" t="str">
        <f t="shared" si="17"/>
        <v>X</v>
      </c>
      <c r="AS28" s="75" t="s">
        <v>2</v>
      </c>
      <c r="AT28" s="75" t="str">
        <f t="shared" si="18"/>
        <v>O</v>
      </c>
      <c r="AU28" s="75" t="str">
        <f t="shared" si="19"/>
        <v>O</v>
      </c>
      <c r="AV28" s="75" t="str">
        <f t="shared" si="20"/>
        <v>X</v>
      </c>
    </row>
    <row r="29" spans="1:48" s="38" customFormat="1" ht="12" x14ac:dyDescent="0.3">
      <c r="A29" s="111" t="s">
        <v>448</v>
      </c>
      <c r="B29" s="112" t="s">
        <v>394</v>
      </c>
      <c r="C29" s="113">
        <v>1243</v>
      </c>
      <c r="D29" s="104">
        <v>85.1</v>
      </c>
      <c r="E29" s="106">
        <v>26</v>
      </c>
      <c r="F29" s="104">
        <v>60</v>
      </c>
      <c r="G29" s="17">
        <v>18</v>
      </c>
      <c r="H29" s="107">
        <v>532</v>
      </c>
      <c r="I29" s="108">
        <v>29000</v>
      </c>
      <c r="J29" s="108" t="s">
        <v>342</v>
      </c>
      <c r="K29" s="108">
        <v>20000</v>
      </c>
      <c r="L29" s="108" t="s">
        <v>350</v>
      </c>
      <c r="M29" s="109">
        <f t="shared" si="0"/>
        <v>9000</v>
      </c>
      <c r="N29" s="4">
        <f t="shared" si="1"/>
        <v>0.68965517241379315</v>
      </c>
      <c r="O29" s="105">
        <f t="shared" si="2"/>
        <v>1115.3846153846155</v>
      </c>
      <c r="P29" s="105">
        <f t="shared" si="3"/>
        <v>769.23076923076928</v>
      </c>
      <c r="Q29" s="75">
        <v>4</v>
      </c>
      <c r="R29" s="75">
        <v>2</v>
      </c>
      <c r="S29" s="75" t="s">
        <v>324</v>
      </c>
      <c r="T29" s="5">
        <v>156</v>
      </c>
      <c r="U29" s="9"/>
      <c r="W29" s="104">
        <f t="shared" si="4"/>
        <v>85.1</v>
      </c>
      <c r="X29" s="106">
        <f t="shared" si="5"/>
        <v>26</v>
      </c>
      <c r="Y29" s="102">
        <f t="shared" si="6"/>
        <v>532</v>
      </c>
      <c r="Z29" s="109">
        <f t="shared" si="7"/>
        <v>29000</v>
      </c>
      <c r="AA29" s="109">
        <f t="shared" si="8"/>
        <v>20000</v>
      </c>
      <c r="AB29" s="109">
        <f t="shared" si="24"/>
        <v>9000</v>
      </c>
      <c r="AC29" s="4">
        <f t="shared" si="25"/>
        <v>0.68965517241379315</v>
      </c>
      <c r="AD29" s="105">
        <f t="shared" si="26"/>
        <v>1115.3846153846155</v>
      </c>
      <c r="AE29" s="75" t="str">
        <f t="shared" si="10"/>
        <v>계</v>
      </c>
      <c r="AF29" s="75" t="str">
        <f t="shared" si="11"/>
        <v>4/2</v>
      </c>
      <c r="AH29" s="20" t="str">
        <f t="shared" si="21"/>
        <v>지정면 원주롯데캐슬더퍼스트</v>
      </c>
      <c r="AI29" s="106">
        <f t="shared" si="22"/>
        <v>26</v>
      </c>
      <c r="AJ29" s="75" t="str">
        <f t="shared" si="12"/>
        <v>A-</v>
      </c>
      <c r="AK29" s="75" t="s">
        <v>13</v>
      </c>
      <c r="AL29" s="75" t="s">
        <v>325</v>
      </c>
      <c r="AM29" s="75" t="s">
        <v>326</v>
      </c>
      <c r="AN29" s="75" t="str">
        <f t="shared" si="13"/>
        <v>C</v>
      </c>
      <c r="AO29" s="75" t="str">
        <f t="shared" si="14"/>
        <v>X</v>
      </c>
      <c r="AP29" s="75" t="str">
        <f t="shared" si="15"/>
        <v>O</v>
      </c>
      <c r="AQ29" s="75" t="str">
        <f t="shared" si="16"/>
        <v>O</v>
      </c>
      <c r="AR29" s="75" t="str">
        <f t="shared" si="17"/>
        <v>X</v>
      </c>
      <c r="AS29" s="75" t="s">
        <v>2</v>
      </c>
      <c r="AT29" s="75" t="str">
        <f t="shared" si="18"/>
        <v>O</v>
      </c>
      <c r="AU29" s="75" t="str">
        <f t="shared" si="19"/>
        <v>O</v>
      </c>
      <c r="AV29" s="75" t="str">
        <f t="shared" si="20"/>
        <v>X</v>
      </c>
    </row>
    <row r="30" spans="1:48" s="38" customFormat="1" ht="24" x14ac:dyDescent="0.3">
      <c r="A30" s="111" t="s">
        <v>449</v>
      </c>
      <c r="B30" s="112" t="s">
        <v>450</v>
      </c>
      <c r="C30" s="113">
        <v>892</v>
      </c>
      <c r="D30" s="104">
        <v>83.1</v>
      </c>
      <c r="E30" s="106">
        <v>25</v>
      </c>
      <c r="F30" s="104">
        <v>60</v>
      </c>
      <c r="G30" s="17">
        <v>18</v>
      </c>
      <c r="H30" s="107">
        <v>270</v>
      </c>
      <c r="I30" s="108">
        <v>29500</v>
      </c>
      <c r="J30" s="108" t="s">
        <v>351</v>
      </c>
      <c r="K30" s="108">
        <v>20000</v>
      </c>
      <c r="L30" s="108" t="s">
        <v>94</v>
      </c>
      <c r="M30" s="109">
        <f t="shared" si="0"/>
        <v>9500</v>
      </c>
      <c r="N30" s="4">
        <f t="shared" si="1"/>
        <v>0.67796610169491522</v>
      </c>
      <c r="O30" s="105">
        <f t="shared" si="2"/>
        <v>1180</v>
      </c>
      <c r="P30" s="105">
        <f t="shared" si="3"/>
        <v>800</v>
      </c>
      <c r="Q30" s="75">
        <v>3</v>
      </c>
      <c r="R30" s="75">
        <v>2</v>
      </c>
      <c r="S30" s="75" t="s">
        <v>324</v>
      </c>
      <c r="T30" s="5">
        <v>126</v>
      </c>
      <c r="U30" s="9"/>
      <c r="W30" s="104">
        <f t="shared" si="4"/>
        <v>83.1</v>
      </c>
      <c r="X30" s="106">
        <f t="shared" si="5"/>
        <v>25</v>
      </c>
      <c r="Y30" s="102">
        <f t="shared" si="6"/>
        <v>270</v>
      </c>
      <c r="Z30" s="109">
        <f t="shared" si="7"/>
        <v>29500</v>
      </c>
      <c r="AA30" s="109">
        <f t="shared" si="8"/>
        <v>20000</v>
      </c>
      <c r="AB30" s="109">
        <f t="shared" si="24"/>
        <v>9500</v>
      </c>
      <c r="AC30" s="4">
        <f t="shared" si="25"/>
        <v>0.67796610169491522</v>
      </c>
      <c r="AD30" s="105">
        <f t="shared" si="26"/>
        <v>1180</v>
      </c>
      <c r="AE30" s="75" t="str">
        <f t="shared" si="10"/>
        <v>계</v>
      </c>
      <c r="AF30" s="75" t="str">
        <f t="shared" si="11"/>
        <v>3/2</v>
      </c>
      <c r="AH30" s="20" t="str">
        <f t="shared" si="21"/>
        <v>지정면 원주기업도시호반베르디움(3-1블록)</v>
      </c>
      <c r="AI30" s="106">
        <f t="shared" si="22"/>
        <v>25</v>
      </c>
      <c r="AJ30" s="75" t="str">
        <f t="shared" si="12"/>
        <v>A-</v>
      </c>
      <c r="AK30" s="75" t="s">
        <v>13</v>
      </c>
      <c r="AL30" s="75" t="s">
        <v>325</v>
      </c>
      <c r="AM30" s="75" t="s">
        <v>326</v>
      </c>
      <c r="AN30" s="75" t="str">
        <f t="shared" si="13"/>
        <v>C</v>
      </c>
      <c r="AO30" s="75" t="str">
        <f t="shared" si="14"/>
        <v>X</v>
      </c>
      <c r="AP30" s="75" t="str">
        <f t="shared" si="15"/>
        <v>O</v>
      </c>
      <c r="AQ30" s="75" t="str">
        <f t="shared" si="16"/>
        <v>O</v>
      </c>
      <c r="AR30" s="75" t="str">
        <f t="shared" si="17"/>
        <v>X</v>
      </c>
      <c r="AS30" s="75" t="s">
        <v>2</v>
      </c>
      <c r="AT30" s="75" t="str">
        <f t="shared" si="18"/>
        <v>O</v>
      </c>
      <c r="AU30" s="75" t="str">
        <f t="shared" si="19"/>
        <v>O</v>
      </c>
      <c r="AV30" s="75" t="str">
        <f t="shared" si="20"/>
        <v>X</v>
      </c>
    </row>
    <row r="31" spans="1:48" s="38" customFormat="1" ht="24" x14ac:dyDescent="0.3">
      <c r="A31" s="111" t="s">
        <v>389</v>
      </c>
      <c r="B31" s="112" t="s">
        <v>390</v>
      </c>
      <c r="C31" s="113">
        <v>548</v>
      </c>
      <c r="D31" s="104">
        <v>81.3</v>
      </c>
      <c r="E31" s="106">
        <v>25</v>
      </c>
      <c r="F31" s="104">
        <v>60</v>
      </c>
      <c r="G31" s="17">
        <v>18</v>
      </c>
      <c r="H31" s="107">
        <v>178</v>
      </c>
      <c r="I31" s="108">
        <v>27000</v>
      </c>
      <c r="J31" s="108" t="s">
        <v>101</v>
      </c>
      <c r="K31" s="108">
        <v>22000</v>
      </c>
      <c r="L31" s="108" t="s">
        <v>352</v>
      </c>
      <c r="M31" s="109">
        <f t="shared" si="0"/>
        <v>5000</v>
      </c>
      <c r="N31" s="4">
        <f t="shared" si="1"/>
        <v>0.81481481481481477</v>
      </c>
      <c r="O31" s="105">
        <f t="shared" si="2"/>
        <v>1080</v>
      </c>
      <c r="P31" s="105">
        <f t="shared" si="3"/>
        <v>880</v>
      </c>
      <c r="Q31" s="75">
        <v>3</v>
      </c>
      <c r="R31" s="75">
        <v>2</v>
      </c>
      <c r="S31" s="75" t="s">
        <v>324</v>
      </c>
      <c r="T31" s="5" t="s">
        <v>189</v>
      </c>
      <c r="U31" s="9"/>
      <c r="W31" s="104">
        <f t="shared" si="4"/>
        <v>81.3</v>
      </c>
      <c r="X31" s="106">
        <f t="shared" si="5"/>
        <v>25</v>
      </c>
      <c r="Y31" s="102">
        <f t="shared" si="6"/>
        <v>178</v>
      </c>
      <c r="Z31" s="109">
        <f t="shared" si="7"/>
        <v>27000</v>
      </c>
      <c r="AA31" s="109">
        <f t="shared" si="8"/>
        <v>22000</v>
      </c>
      <c r="AB31" s="109">
        <f t="shared" si="24"/>
        <v>5000</v>
      </c>
      <c r="AC31" s="4">
        <f t="shared" si="25"/>
        <v>0.81481481481481477</v>
      </c>
      <c r="AD31" s="105">
        <f t="shared" si="26"/>
        <v>1080</v>
      </c>
      <c r="AE31" s="75" t="str">
        <f t="shared" si="10"/>
        <v>계</v>
      </c>
      <c r="AF31" s="75" t="str">
        <f t="shared" si="11"/>
        <v>3/2</v>
      </c>
      <c r="AH31" s="20" t="str">
        <f t="shared" si="21"/>
        <v>지정면 원주기업도시유보라아이비파크1단지</v>
      </c>
      <c r="AI31" s="106">
        <f t="shared" si="22"/>
        <v>25</v>
      </c>
      <c r="AJ31" s="75" t="str">
        <f t="shared" si="12"/>
        <v>A-</v>
      </c>
      <c r="AK31" s="75" t="s">
        <v>13</v>
      </c>
      <c r="AL31" s="75" t="s">
        <v>325</v>
      </c>
      <c r="AM31" s="75" t="s">
        <v>326</v>
      </c>
      <c r="AN31" s="75" t="str">
        <f t="shared" si="13"/>
        <v>C</v>
      </c>
      <c r="AO31" s="75" t="str">
        <f t="shared" si="14"/>
        <v>O</v>
      </c>
      <c r="AP31" s="75" t="str">
        <f t="shared" si="15"/>
        <v>O</v>
      </c>
      <c r="AQ31" s="75" t="str">
        <f t="shared" si="16"/>
        <v>O</v>
      </c>
      <c r="AR31" s="75" t="str">
        <f t="shared" si="17"/>
        <v>O</v>
      </c>
      <c r="AS31" s="75" t="s">
        <v>2</v>
      </c>
      <c r="AT31" s="75" t="str">
        <f t="shared" si="18"/>
        <v>O</v>
      </c>
      <c r="AU31" s="75" t="str">
        <f t="shared" si="19"/>
        <v>O</v>
      </c>
      <c r="AV31" s="75" t="str">
        <f t="shared" si="20"/>
        <v>후보</v>
      </c>
    </row>
    <row r="32" spans="1:48" s="38" customFormat="1" ht="24" x14ac:dyDescent="0.3">
      <c r="A32" s="111" t="s">
        <v>451</v>
      </c>
      <c r="B32" s="112" t="s">
        <v>383</v>
      </c>
      <c r="C32" s="113">
        <v>713</v>
      </c>
      <c r="D32" s="104">
        <v>81.400000000000006</v>
      </c>
      <c r="E32" s="106">
        <v>25</v>
      </c>
      <c r="F32" s="104">
        <v>59.8</v>
      </c>
      <c r="G32" s="17">
        <v>18</v>
      </c>
      <c r="H32" s="107">
        <v>280</v>
      </c>
      <c r="I32" s="108">
        <v>27000</v>
      </c>
      <c r="J32" s="108" t="s">
        <v>336</v>
      </c>
      <c r="K32" s="108">
        <v>20000</v>
      </c>
      <c r="L32" s="108" t="s">
        <v>353</v>
      </c>
      <c r="M32" s="109">
        <f t="shared" si="0"/>
        <v>7000</v>
      </c>
      <c r="N32" s="4">
        <f t="shared" si="1"/>
        <v>0.7407407407407407</v>
      </c>
      <c r="O32" s="105">
        <f t="shared" si="2"/>
        <v>1080</v>
      </c>
      <c r="P32" s="105">
        <f t="shared" si="3"/>
        <v>800</v>
      </c>
      <c r="Q32" s="75">
        <v>3</v>
      </c>
      <c r="R32" s="75">
        <v>2</v>
      </c>
      <c r="S32" s="75" t="s">
        <v>324</v>
      </c>
      <c r="T32" s="5">
        <v>105</v>
      </c>
      <c r="U32" s="9"/>
      <c r="W32" s="104">
        <f t="shared" si="4"/>
        <v>81.400000000000006</v>
      </c>
      <c r="X32" s="106">
        <f t="shared" si="5"/>
        <v>25</v>
      </c>
      <c r="Y32" s="102">
        <f t="shared" si="6"/>
        <v>280</v>
      </c>
      <c r="Z32" s="109">
        <f t="shared" si="7"/>
        <v>27000</v>
      </c>
      <c r="AA32" s="109">
        <f t="shared" si="8"/>
        <v>20000</v>
      </c>
      <c r="AB32" s="109">
        <f t="shared" si="24"/>
        <v>7000</v>
      </c>
      <c r="AC32" s="4">
        <f t="shared" si="25"/>
        <v>0.7407407407407407</v>
      </c>
      <c r="AD32" s="105">
        <f t="shared" si="26"/>
        <v>1080</v>
      </c>
      <c r="AE32" s="75" t="str">
        <f t="shared" si="10"/>
        <v>계</v>
      </c>
      <c r="AF32" s="75" t="str">
        <f t="shared" si="11"/>
        <v>3/2</v>
      </c>
      <c r="AH32" s="20" t="str">
        <f t="shared" si="21"/>
        <v>지정면 원주기업도시라온프라이빗</v>
      </c>
      <c r="AI32" s="106">
        <f t="shared" si="22"/>
        <v>25</v>
      </c>
      <c r="AJ32" s="75" t="str">
        <f t="shared" si="12"/>
        <v>A-</v>
      </c>
      <c r="AK32" s="75" t="s">
        <v>13</v>
      </c>
      <c r="AL32" s="75" t="s">
        <v>325</v>
      </c>
      <c r="AM32" s="75" t="s">
        <v>326</v>
      </c>
      <c r="AN32" s="75" t="str">
        <f t="shared" si="13"/>
        <v>C</v>
      </c>
      <c r="AO32" s="75" t="str">
        <f t="shared" si="14"/>
        <v>X</v>
      </c>
      <c r="AP32" s="75" t="str">
        <f t="shared" si="15"/>
        <v>O</v>
      </c>
      <c r="AQ32" s="75" t="str">
        <f t="shared" si="16"/>
        <v>O</v>
      </c>
      <c r="AR32" s="75" t="str">
        <f t="shared" si="17"/>
        <v>X</v>
      </c>
      <c r="AS32" s="75" t="s">
        <v>2</v>
      </c>
      <c r="AT32" s="75" t="str">
        <f t="shared" si="18"/>
        <v>O</v>
      </c>
      <c r="AU32" s="75" t="str">
        <f t="shared" si="19"/>
        <v>O</v>
      </c>
      <c r="AV32" s="75" t="str">
        <f t="shared" si="20"/>
        <v>X</v>
      </c>
    </row>
    <row r="33" spans="1:48" s="38" customFormat="1" ht="12" x14ac:dyDescent="0.3">
      <c r="A33" s="111" t="s">
        <v>452</v>
      </c>
      <c r="B33" s="112" t="s">
        <v>393</v>
      </c>
      <c r="C33" s="113">
        <v>1430</v>
      </c>
      <c r="D33" s="104">
        <v>79.599999999999994</v>
      </c>
      <c r="E33" s="106">
        <v>24</v>
      </c>
      <c r="F33" s="104">
        <v>59.9</v>
      </c>
      <c r="G33" s="17">
        <v>18</v>
      </c>
      <c r="H33" s="107">
        <v>470</v>
      </c>
      <c r="I33" s="108">
        <v>26000</v>
      </c>
      <c r="J33" s="108" t="s">
        <v>354</v>
      </c>
      <c r="K33" s="108">
        <v>19500</v>
      </c>
      <c r="L33" s="108" t="s">
        <v>101</v>
      </c>
      <c r="M33" s="109">
        <f t="shared" si="0"/>
        <v>6500</v>
      </c>
      <c r="N33" s="4">
        <f t="shared" si="1"/>
        <v>0.75</v>
      </c>
      <c r="O33" s="105">
        <f t="shared" si="2"/>
        <v>1083.3333333333333</v>
      </c>
      <c r="P33" s="105">
        <f t="shared" si="3"/>
        <v>812.5</v>
      </c>
      <c r="Q33" s="75">
        <v>2</v>
      </c>
      <c r="R33" s="75">
        <v>1</v>
      </c>
      <c r="S33" s="75" t="s">
        <v>355</v>
      </c>
      <c r="T33" s="5">
        <v>61</v>
      </c>
      <c r="U33" s="9"/>
      <c r="W33" s="104">
        <f t="shared" si="4"/>
        <v>79.599999999999994</v>
      </c>
      <c r="X33" s="106">
        <f t="shared" si="5"/>
        <v>24</v>
      </c>
      <c r="Y33" s="102">
        <f t="shared" si="6"/>
        <v>470</v>
      </c>
      <c r="Z33" s="109">
        <f t="shared" si="7"/>
        <v>26000</v>
      </c>
      <c r="AA33" s="109">
        <f t="shared" si="8"/>
        <v>19500</v>
      </c>
      <c r="AB33" s="109">
        <f t="shared" si="24"/>
        <v>6500</v>
      </c>
      <c r="AC33" s="4">
        <f t="shared" si="25"/>
        <v>0.75</v>
      </c>
      <c r="AD33" s="105">
        <f t="shared" si="26"/>
        <v>1083.3333333333333</v>
      </c>
      <c r="AE33" s="75" t="str">
        <f t="shared" si="10"/>
        <v>복</v>
      </c>
      <c r="AF33" s="75" t="str">
        <f t="shared" si="11"/>
        <v>2/1</v>
      </c>
      <c r="AH33" s="20" t="str">
        <f t="shared" si="21"/>
        <v>지정면 이지더원1차</v>
      </c>
      <c r="AI33" s="106">
        <f t="shared" si="22"/>
        <v>24</v>
      </c>
      <c r="AJ33" s="75" t="str">
        <f t="shared" si="12"/>
        <v>A-</v>
      </c>
      <c r="AK33" s="75" t="s">
        <v>13</v>
      </c>
      <c r="AL33" s="75" t="s">
        <v>325</v>
      </c>
      <c r="AM33" s="75" t="s">
        <v>326</v>
      </c>
      <c r="AN33" s="75" t="str">
        <f t="shared" si="13"/>
        <v>C</v>
      </c>
      <c r="AO33" s="75" t="str">
        <f t="shared" si="14"/>
        <v>X</v>
      </c>
      <c r="AP33" s="75" t="str">
        <f t="shared" si="15"/>
        <v>O</v>
      </c>
      <c r="AQ33" s="75" t="str">
        <f t="shared" si="16"/>
        <v>O</v>
      </c>
      <c r="AR33" s="75" t="str">
        <f t="shared" si="17"/>
        <v>X</v>
      </c>
      <c r="AS33" s="75" t="s">
        <v>2</v>
      </c>
      <c r="AT33" s="75" t="str">
        <f t="shared" si="18"/>
        <v>O</v>
      </c>
      <c r="AU33" s="75" t="str">
        <f t="shared" si="19"/>
        <v>O</v>
      </c>
      <c r="AV33" s="75" t="str">
        <f t="shared" si="20"/>
        <v>X</v>
      </c>
    </row>
    <row r="34" spans="1:48" s="38" customFormat="1" ht="12" x14ac:dyDescent="0.3">
      <c r="A34" s="111" t="s">
        <v>396</v>
      </c>
      <c r="B34" s="112" t="s">
        <v>397</v>
      </c>
      <c r="C34" s="113">
        <v>717</v>
      </c>
      <c r="D34" s="104">
        <v>110.4</v>
      </c>
      <c r="E34" s="106">
        <v>33</v>
      </c>
      <c r="F34" s="104">
        <v>84.5</v>
      </c>
      <c r="G34" s="17">
        <v>26</v>
      </c>
      <c r="H34" s="107">
        <v>236</v>
      </c>
      <c r="I34" s="108">
        <v>30000</v>
      </c>
      <c r="J34" s="108" t="s">
        <v>335</v>
      </c>
      <c r="K34" s="108"/>
      <c r="L34" s="108"/>
      <c r="M34" s="109">
        <f t="shared" si="0"/>
        <v>30000</v>
      </c>
      <c r="N34" s="4">
        <f t="shared" si="1"/>
        <v>0</v>
      </c>
      <c r="O34" s="105">
        <f t="shared" si="2"/>
        <v>909.09090909090912</v>
      </c>
      <c r="P34" s="105">
        <f t="shared" si="3"/>
        <v>0</v>
      </c>
      <c r="Q34" s="75">
        <v>3</v>
      </c>
      <c r="R34" s="75">
        <v>2</v>
      </c>
      <c r="S34" s="75" t="s">
        <v>324</v>
      </c>
      <c r="T34" s="5">
        <v>126</v>
      </c>
      <c r="U34" s="9"/>
      <c r="W34" s="104">
        <f t="shared" si="4"/>
        <v>110.4</v>
      </c>
      <c r="X34" s="106">
        <f t="shared" si="5"/>
        <v>33</v>
      </c>
      <c r="Y34" s="102">
        <f t="shared" si="6"/>
        <v>236</v>
      </c>
      <c r="Z34" s="109">
        <f t="shared" si="7"/>
        <v>30000</v>
      </c>
      <c r="AA34" s="109">
        <f t="shared" si="8"/>
        <v>0</v>
      </c>
      <c r="AB34" s="109">
        <f t="shared" si="24"/>
        <v>30000</v>
      </c>
      <c r="AC34" s="4">
        <f t="shared" si="25"/>
        <v>0</v>
      </c>
      <c r="AD34" s="105">
        <f t="shared" si="26"/>
        <v>909.09090909090912</v>
      </c>
      <c r="AE34" s="75" t="str">
        <f t="shared" si="10"/>
        <v>계</v>
      </c>
      <c r="AF34" s="75" t="str">
        <f t="shared" si="11"/>
        <v>3/2</v>
      </c>
      <c r="AH34" s="20" t="str">
        <f>IF(A34="","",A34)</f>
        <v>우산동 한라비발디2차</v>
      </c>
      <c r="AI34" s="106">
        <f>IF(E34="","",E34)</f>
        <v>33</v>
      </c>
      <c r="AJ34" s="75" t="str">
        <f t="shared" si="12"/>
        <v>A-</v>
      </c>
      <c r="AK34" s="75" t="s">
        <v>13</v>
      </c>
      <c r="AL34" s="75" t="s">
        <v>325</v>
      </c>
      <c r="AM34" s="75" t="s">
        <v>326</v>
      </c>
      <c r="AN34" s="75" t="str">
        <f t="shared" si="13"/>
        <v>C</v>
      </c>
      <c r="AO34" s="75" t="str">
        <f t="shared" si="14"/>
        <v>X</v>
      </c>
      <c r="AP34" s="75" t="str">
        <f t="shared" si="15"/>
        <v>O</v>
      </c>
      <c r="AQ34" s="75" t="str">
        <f t="shared" si="16"/>
        <v>O</v>
      </c>
      <c r="AR34" s="75" t="str">
        <f t="shared" si="17"/>
        <v>X</v>
      </c>
      <c r="AS34" s="75" t="s">
        <v>2</v>
      </c>
      <c r="AT34" s="75" t="str">
        <f t="shared" si="18"/>
        <v>O</v>
      </c>
      <c r="AU34" s="75" t="str">
        <f t="shared" si="19"/>
        <v>O</v>
      </c>
      <c r="AV34" s="75" t="str">
        <f t="shared" si="20"/>
        <v>X</v>
      </c>
    </row>
    <row r="35" spans="1:48" s="38" customFormat="1" ht="24" x14ac:dyDescent="0.3">
      <c r="A35" s="111" t="s">
        <v>398</v>
      </c>
      <c r="B35" s="112" t="s">
        <v>453</v>
      </c>
      <c r="C35" s="113">
        <v>850</v>
      </c>
      <c r="D35" s="104">
        <v>112.6</v>
      </c>
      <c r="E35" s="106">
        <v>34</v>
      </c>
      <c r="F35" s="104">
        <v>85</v>
      </c>
      <c r="G35" s="17">
        <v>26</v>
      </c>
      <c r="H35" s="107">
        <v>246</v>
      </c>
      <c r="I35" s="108">
        <v>47000</v>
      </c>
      <c r="J35" s="108" t="s">
        <v>101</v>
      </c>
      <c r="K35" s="108">
        <v>34000</v>
      </c>
      <c r="L35" s="108" t="s">
        <v>101</v>
      </c>
      <c r="M35" s="109">
        <f t="shared" si="0"/>
        <v>13000</v>
      </c>
      <c r="N35" s="4">
        <f t="shared" si="1"/>
        <v>0.72340425531914898</v>
      </c>
      <c r="O35" s="105">
        <f t="shared" si="2"/>
        <v>1382.3529411764705</v>
      </c>
      <c r="P35" s="105">
        <f t="shared" si="3"/>
        <v>1000</v>
      </c>
      <c r="Q35" s="75">
        <v>2</v>
      </c>
      <c r="R35" s="75">
        <v>1</v>
      </c>
      <c r="S35" s="75" t="s">
        <v>324</v>
      </c>
      <c r="T35" s="5">
        <v>57</v>
      </c>
      <c r="U35" s="9"/>
      <c r="W35" s="104">
        <f t="shared" si="4"/>
        <v>112.6</v>
      </c>
      <c r="X35" s="106">
        <f t="shared" si="5"/>
        <v>34</v>
      </c>
      <c r="Y35" s="102">
        <f t="shared" si="6"/>
        <v>246</v>
      </c>
      <c r="Z35" s="109">
        <f t="shared" si="7"/>
        <v>47000</v>
      </c>
      <c r="AA35" s="109">
        <f t="shared" si="8"/>
        <v>34000</v>
      </c>
      <c r="AB35" s="109">
        <f t="shared" si="24"/>
        <v>13000</v>
      </c>
      <c r="AC35" s="4">
        <f t="shared" si="25"/>
        <v>0.72340425531914898</v>
      </c>
      <c r="AD35" s="105">
        <f t="shared" si="26"/>
        <v>1382.3529411764705</v>
      </c>
      <c r="AE35" s="75" t="str">
        <f t="shared" si="10"/>
        <v>계</v>
      </c>
      <c r="AF35" s="75" t="str">
        <f t="shared" si="11"/>
        <v>2/1</v>
      </c>
      <c r="AH35" s="20" t="str">
        <f t="shared" ref="AH35:AH43" si="27">IF(A35="","",A35)</f>
        <v>반곡동 중흥에스-클래스프라디움</v>
      </c>
      <c r="AI35" s="106">
        <f t="shared" ref="AI35:AI43" si="28">IF(E35="","",E35)</f>
        <v>34</v>
      </c>
      <c r="AJ35" s="75" t="str">
        <f t="shared" si="12"/>
        <v>A-</v>
      </c>
      <c r="AK35" s="75" t="s">
        <v>13</v>
      </c>
      <c r="AL35" s="75" t="s">
        <v>325</v>
      </c>
      <c r="AM35" s="75" t="s">
        <v>326</v>
      </c>
      <c r="AN35" s="75" t="str">
        <f t="shared" si="13"/>
        <v>C</v>
      </c>
      <c r="AO35" s="75" t="str">
        <f t="shared" si="14"/>
        <v>X</v>
      </c>
      <c r="AP35" s="75" t="str">
        <f t="shared" si="15"/>
        <v>X</v>
      </c>
      <c r="AQ35" s="75" t="str">
        <f t="shared" si="16"/>
        <v>O</v>
      </c>
      <c r="AR35" s="75" t="str">
        <f t="shared" si="17"/>
        <v>X</v>
      </c>
      <c r="AS35" s="75" t="s">
        <v>2</v>
      </c>
      <c r="AT35" s="75" t="str">
        <f t="shared" si="18"/>
        <v>O</v>
      </c>
      <c r="AU35" s="75" t="str">
        <f t="shared" si="19"/>
        <v>O</v>
      </c>
      <c r="AV35" s="75" t="str">
        <f t="shared" si="20"/>
        <v>X</v>
      </c>
    </row>
    <row r="36" spans="1:48" s="38" customFormat="1" ht="12" x14ac:dyDescent="0.3">
      <c r="A36" s="111" t="s">
        <v>454</v>
      </c>
      <c r="B36" s="112" t="s">
        <v>455</v>
      </c>
      <c r="C36" s="113">
        <v>682</v>
      </c>
      <c r="D36" s="104">
        <v>114.8</v>
      </c>
      <c r="E36" s="106">
        <v>35</v>
      </c>
      <c r="F36" s="104">
        <v>85</v>
      </c>
      <c r="G36" s="17">
        <v>26</v>
      </c>
      <c r="H36" s="107">
        <v>216</v>
      </c>
      <c r="I36" s="108">
        <v>50000</v>
      </c>
      <c r="J36" s="108" t="s">
        <v>361</v>
      </c>
      <c r="K36" s="108">
        <v>38000</v>
      </c>
      <c r="L36" s="108" t="s">
        <v>337</v>
      </c>
      <c r="M36" s="109">
        <f t="shared" ref="M36:M64" si="29">I36-K36</f>
        <v>12000</v>
      </c>
      <c r="N36" s="4">
        <f t="shared" ref="N36:N64" si="30">IF(ISERROR(K36/I36),"",K36/I36)</f>
        <v>0.76</v>
      </c>
      <c r="O36" s="105">
        <f t="shared" ref="O36:O64" si="31">I36/E36</f>
        <v>1428.5714285714287</v>
      </c>
      <c r="P36" s="105">
        <f t="shared" ref="P36:P64" si="32">K36/E36</f>
        <v>1085.7142857142858</v>
      </c>
      <c r="Q36" s="75">
        <v>3</v>
      </c>
      <c r="R36" s="75">
        <v>1</v>
      </c>
      <c r="S36" s="75" t="s">
        <v>355</v>
      </c>
      <c r="T36" s="5">
        <v>95</v>
      </c>
      <c r="U36" s="9"/>
      <c r="W36" s="104">
        <f t="shared" ref="W36:W64" si="33">D36</f>
        <v>114.8</v>
      </c>
      <c r="X36" s="106">
        <f t="shared" ref="X36:X64" si="34">E36</f>
        <v>35</v>
      </c>
      <c r="Y36" s="102">
        <f t="shared" ref="Y36:Y64" si="35">H36</f>
        <v>216</v>
      </c>
      <c r="Z36" s="109">
        <f t="shared" ref="Z36:Z64" si="36">I36</f>
        <v>50000</v>
      </c>
      <c r="AA36" s="109">
        <f t="shared" ref="AA36:AA64" si="37">K36</f>
        <v>38000</v>
      </c>
      <c r="AB36" s="109">
        <f t="shared" si="24"/>
        <v>12000</v>
      </c>
      <c r="AC36" s="4">
        <f t="shared" si="25"/>
        <v>0.76</v>
      </c>
      <c r="AD36" s="105">
        <f t="shared" si="26"/>
        <v>1428.5714285714287</v>
      </c>
      <c r="AE36" s="75" t="str">
        <f t="shared" ref="AE36:AE64" si="38">S36</f>
        <v>복</v>
      </c>
      <c r="AF36" s="75" t="str">
        <f t="shared" ref="AF36:AF64" si="39">Q36&amp;"/"&amp;R36</f>
        <v>3/1</v>
      </c>
      <c r="AH36" s="20" t="str">
        <f t="shared" si="27"/>
        <v>반곡동 힐데스하임5단지</v>
      </c>
      <c r="AI36" s="106">
        <f t="shared" si="28"/>
        <v>35</v>
      </c>
      <c r="AJ36" s="75" t="str">
        <f t="shared" ref="AJ36:AJ67" si="40">IF(AI36="","",$AJ$2)</f>
        <v>A-</v>
      </c>
      <c r="AK36" s="75" t="s">
        <v>13</v>
      </c>
      <c r="AL36" s="75" t="s">
        <v>325</v>
      </c>
      <c r="AM36" s="75" t="s">
        <v>326</v>
      </c>
      <c r="AN36" s="75" t="str">
        <f t="shared" ref="AN36:AN64" si="41">IF(AI36="","",$AN$2)</f>
        <v>C</v>
      </c>
      <c r="AO36" s="75" t="str">
        <f t="shared" ref="AO36:AO64" si="42">IF(N36="","",IF(N36&gt;=$AO$1/100,"O","X"))</f>
        <v>X</v>
      </c>
      <c r="AP36" s="75" t="str">
        <f t="shared" ref="AP36:AP64" si="43">IF(I36="","",IF(I36&lt;=$AP$1,"O","X"))</f>
        <v>X</v>
      </c>
      <c r="AQ36" s="75" t="str">
        <f t="shared" ref="AQ36:AQ64" si="44">IF(O36="","",IF(O36&lt;=$AQ$1,"O","X"))</f>
        <v>O</v>
      </c>
      <c r="AR36" s="75" t="str">
        <f t="shared" ref="AR36:AR64" si="45">IF(M36="","",IF(M36&lt;=$AR$1,"O","X"))</f>
        <v>X</v>
      </c>
      <c r="AS36" s="75" t="s">
        <v>2</v>
      </c>
      <c r="AT36" s="75" t="str">
        <f t="shared" ref="AT36:AT64" si="46">IF(OR(F36="",AI36=""),"",IF(AND((F36&lt;=85),(AI36&gt;=15)),"O","X"))</f>
        <v>O</v>
      </c>
      <c r="AU36" s="75" t="str">
        <f t="shared" ref="AU36:AU64" si="47">IF(C36="","",IF(C36&gt;=$AU$1,"O","X"))</f>
        <v>O</v>
      </c>
      <c r="AV36" s="75" t="str">
        <f t="shared" ref="AV36:AV67" si="48">IF(AO36="","",IF(AND(AO36="O",AP36="O",AR36="O",AT36="O",AU36="O"),"후보","X"))</f>
        <v>X</v>
      </c>
    </row>
    <row r="37" spans="1:48" s="38" customFormat="1" ht="12" x14ac:dyDescent="0.3">
      <c r="A37" s="111" t="s">
        <v>456</v>
      </c>
      <c r="B37" s="112" t="s">
        <v>399</v>
      </c>
      <c r="C37" s="113">
        <v>418</v>
      </c>
      <c r="D37" s="104">
        <v>109.6</v>
      </c>
      <c r="E37" s="106">
        <v>33</v>
      </c>
      <c r="F37" s="104">
        <v>84.9</v>
      </c>
      <c r="G37" s="17">
        <v>26</v>
      </c>
      <c r="H37" s="107">
        <v>258</v>
      </c>
      <c r="I37" s="108">
        <v>40000</v>
      </c>
      <c r="J37" s="108" t="s">
        <v>94</v>
      </c>
      <c r="K37" s="108">
        <v>33000</v>
      </c>
      <c r="L37" s="108" t="s">
        <v>352</v>
      </c>
      <c r="M37" s="109">
        <f t="shared" si="29"/>
        <v>7000</v>
      </c>
      <c r="N37" s="4">
        <f t="shared" si="30"/>
        <v>0.82499999999999996</v>
      </c>
      <c r="O37" s="105">
        <f t="shared" si="31"/>
        <v>1212.121212121212</v>
      </c>
      <c r="P37" s="105">
        <f t="shared" si="32"/>
        <v>1000</v>
      </c>
      <c r="Q37" s="75">
        <v>3</v>
      </c>
      <c r="R37" s="75">
        <v>1</v>
      </c>
      <c r="S37" s="75" t="s">
        <v>324</v>
      </c>
      <c r="T37" s="5">
        <v>79</v>
      </c>
      <c r="U37" s="9"/>
      <c r="W37" s="104">
        <f t="shared" si="33"/>
        <v>109.6</v>
      </c>
      <c r="X37" s="106">
        <f t="shared" si="34"/>
        <v>33</v>
      </c>
      <c r="Y37" s="102">
        <f t="shared" si="35"/>
        <v>258</v>
      </c>
      <c r="Z37" s="109">
        <f t="shared" si="36"/>
        <v>40000</v>
      </c>
      <c r="AA37" s="109">
        <f t="shared" si="37"/>
        <v>33000</v>
      </c>
      <c r="AB37" s="109">
        <f t="shared" si="24"/>
        <v>7000</v>
      </c>
      <c r="AC37" s="4">
        <f t="shared" si="25"/>
        <v>0.82499999999999996</v>
      </c>
      <c r="AD37" s="105">
        <f t="shared" si="26"/>
        <v>1212.121212121212</v>
      </c>
      <c r="AE37" s="75" t="str">
        <f t="shared" si="38"/>
        <v>계</v>
      </c>
      <c r="AF37" s="75" t="str">
        <f t="shared" si="39"/>
        <v>3/1</v>
      </c>
      <c r="AH37" s="20" t="str">
        <f t="shared" si="27"/>
        <v>반곡동 반곡모아엘가</v>
      </c>
      <c r="AI37" s="106">
        <f t="shared" si="28"/>
        <v>33</v>
      </c>
      <c r="AJ37" s="75" t="str">
        <f t="shared" si="40"/>
        <v>A-</v>
      </c>
      <c r="AK37" s="75" t="s">
        <v>13</v>
      </c>
      <c r="AL37" s="75" t="s">
        <v>325</v>
      </c>
      <c r="AM37" s="75" t="s">
        <v>326</v>
      </c>
      <c r="AN37" s="75" t="str">
        <f t="shared" si="41"/>
        <v>C</v>
      </c>
      <c r="AO37" s="75" t="str">
        <f t="shared" si="42"/>
        <v>O</v>
      </c>
      <c r="AP37" s="75" t="str">
        <f t="shared" si="43"/>
        <v>O</v>
      </c>
      <c r="AQ37" s="75" t="str">
        <f t="shared" si="44"/>
        <v>O</v>
      </c>
      <c r="AR37" s="75" t="str">
        <f t="shared" si="45"/>
        <v>X</v>
      </c>
      <c r="AS37" s="75" t="s">
        <v>2</v>
      </c>
      <c r="AT37" s="75" t="str">
        <f t="shared" si="46"/>
        <v>O</v>
      </c>
      <c r="AU37" s="75" t="str">
        <f t="shared" si="47"/>
        <v>O</v>
      </c>
      <c r="AV37" s="75" t="str">
        <f t="shared" si="48"/>
        <v>X</v>
      </c>
    </row>
    <row r="38" spans="1:48" s="38" customFormat="1" ht="12" x14ac:dyDescent="0.3">
      <c r="A38" s="111" t="s">
        <v>457</v>
      </c>
      <c r="B38" s="112" t="s">
        <v>458</v>
      </c>
      <c r="C38" s="113">
        <v>728</v>
      </c>
      <c r="D38" s="104">
        <v>109.6</v>
      </c>
      <c r="E38" s="106">
        <v>33</v>
      </c>
      <c r="F38" s="104">
        <v>84.9</v>
      </c>
      <c r="G38" s="17">
        <v>26</v>
      </c>
      <c r="H38" s="107">
        <v>191</v>
      </c>
      <c r="I38" s="108">
        <v>38000</v>
      </c>
      <c r="J38" s="108" t="s">
        <v>94</v>
      </c>
      <c r="K38" s="108">
        <v>30000</v>
      </c>
      <c r="L38" s="108" t="s">
        <v>101</v>
      </c>
      <c r="M38" s="109">
        <f t="shared" si="29"/>
        <v>8000</v>
      </c>
      <c r="N38" s="4">
        <f t="shared" si="30"/>
        <v>0.78947368421052633</v>
      </c>
      <c r="O38" s="105">
        <f t="shared" si="31"/>
        <v>1151.5151515151515</v>
      </c>
      <c r="P38" s="105">
        <f t="shared" si="32"/>
        <v>909.09090909090912</v>
      </c>
      <c r="Q38" s="75">
        <v>3</v>
      </c>
      <c r="R38" s="75">
        <v>2</v>
      </c>
      <c r="S38" s="75" t="s">
        <v>324</v>
      </c>
      <c r="T38" s="5" t="s">
        <v>216</v>
      </c>
      <c r="U38" s="9"/>
      <c r="W38" s="104">
        <f t="shared" si="33"/>
        <v>109.6</v>
      </c>
      <c r="X38" s="106">
        <f t="shared" si="34"/>
        <v>33</v>
      </c>
      <c r="Y38" s="102">
        <f t="shared" si="35"/>
        <v>191</v>
      </c>
      <c r="Z38" s="109">
        <f t="shared" si="36"/>
        <v>38000</v>
      </c>
      <c r="AA38" s="109">
        <f t="shared" si="37"/>
        <v>30000</v>
      </c>
      <c r="AB38" s="109">
        <f t="shared" si="24"/>
        <v>8000</v>
      </c>
      <c r="AC38" s="4">
        <f t="shared" si="25"/>
        <v>0.78947368421052633</v>
      </c>
      <c r="AD38" s="105">
        <f t="shared" si="26"/>
        <v>1151.5151515151515</v>
      </c>
      <c r="AE38" s="75" t="str">
        <f t="shared" si="38"/>
        <v>계</v>
      </c>
      <c r="AF38" s="75" t="str">
        <f t="shared" si="39"/>
        <v>3/2</v>
      </c>
      <c r="AH38" s="20" t="str">
        <f t="shared" si="27"/>
        <v>반곡동 푸른숨LH3단지</v>
      </c>
      <c r="AI38" s="106">
        <f t="shared" si="28"/>
        <v>33</v>
      </c>
      <c r="AJ38" s="75" t="str">
        <f t="shared" si="40"/>
        <v>A-</v>
      </c>
      <c r="AK38" s="75" t="s">
        <v>13</v>
      </c>
      <c r="AL38" s="75" t="s">
        <v>325</v>
      </c>
      <c r="AM38" s="75" t="s">
        <v>326</v>
      </c>
      <c r="AN38" s="75" t="str">
        <f t="shared" si="41"/>
        <v>C</v>
      </c>
      <c r="AO38" s="75" t="str">
        <f t="shared" si="42"/>
        <v>X</v>
      </c>
      <c r="AP38" s="75" t="str">
        <f t="shared" si="43"/>
        <v>O</v>
      </c>
      <c r="AQ38" s="75" t="str">
        <f t="shared" si="44"/>
        <v>O</v>
      </c>
      <c r="AR38" s="75" t="str">
        <f t="shared" si="45"/>
        <v>X</v>
      </c>
      <c r="AS38" s="75" t="s">
        <v>2</v>
      </c>
      <c r="AT38" s="75" t="str">
        <f t="shared" si="46"/>
        <v>O</v>
      </c>
      <c r="AU38" s="75" t="str">
        <f t="shared" si="47"/>
        <v>O</v>
      </c>
      <c r="AV38" s="75" t="str">
        <f t="shared" si="48"/>
        <v>X</v>
      </c>
    </row>
    <row r="39" spans="1:48" s="38" customFormat="1" ht="12" x14ac:dyDescent="0.3">
      <c r="A39" s="111" t="s">
        <v>400</v>
      </c>
      <c r="B39" s="112" t="s">
        <v>459</v>
      </c>
      <c r="C39" s="113">
        <v>508</v>
      </c>
      <c r="D39" s="104">
        <v>111.3</v>
      </c>
      <c r="E39" s="106">
        <v>34</v>
      </c>
      <c r="F39" s="104">
        <v>85</v>
      </c>
      <c r="G39" s="17">
        <v>26</v>
      </c>
      <c r="H39" s="107">
        <v>84</v>
      </c>
      <c r="I39" s="108">
        <v>39500</v>
      </c>
      <c r="J39" s="108" t="s">
        <v>94</v>
      </c>
      <c r="K39" s="108">
        <v>30000</v>
      </c>
      <c r="L39" s="108" t="s">
        <v>94</v>
      </c>
      <c r="M39" s="109">
        <f t="shared" si="29"/>
        <v>9500</v>
      </c>
      <c r="N39" s="4">
        <f t="shared" si="30"/>
        <v>0.759493670886076</v>
      </c>
      <c r="O39" s="105">
        <f t="shared" si="31"/>
        <v>1161.7647058823529</v>
      </c>
      <c r="P39" s="105">
        <f t="shared" si="32"/>
        <v>882.35294117647061</v>
      </c>
      <c r="Q39" s="75">
        <v>1</v>
      </c>
      <c r="R39" s="75">
        <v>1</v>
      </c>
      <c r="S39" s="75" t="s">
        <v>324</v>
      </c>
      <c r="T39" s="5" t="s">
        <v>222</v>
      </c>
      <c r="U39" s="9"/>
      <c r="W39" s="104">
        <f t="shared" si="33"/>
        <v>111.3</v>
      </c>
      <c r="X39" s="106">
        <f t="shared" si="34"/>
        <v>34</v>
      </c>
      <c r="Y39" s="102">
        <f t="shared" si="35"/>
        <v>84</v>
      </c>
      <c r="Z39" s="109">
        <f t="shared" si="36"/>
        <v>39500</v>
      </c>
      <c r="AA39" s="109">
        <f t="shared" si="37"/>
        <v>30000</v>
      </c>
      <c r="AB39" s="109">
        <f t="shared" si="24"/>
        <v>9500</v>
      </c>
      <c r="AC39" s="4">
        <f t="shared" si="25"/>
        <v>0.759493670886076</v>
      </c>
      <c r="AD39" s="105">
        <f t="shared" si="26"/>
        <v>1161.7647058823529</v>
      </c>
      <c r="AE39" s="75" t="str">
        <f t="shared" si="38"/>
        <v>계</v>
      </c>
      <c r="AF39" s="75" t="str">
        <f t="shared" si="39"/>
        <v>1/1</v>
      </c>
      <c r="AH39" s="20" t="str">
        <f t="shared" si="27"/>
        <v>반곡동 e편한세상반곡</v>
      </c>
      <c r="AI39" s="106">
        <f t="shared" si="28"/>
        <v>34</v>
      </c>
      <c r="AJ39" s="75" t="str">
        <f t="shared" si="40"/>
        <v>A-</v>
      </c>
      <c r="AK39" s="75" t="s">
        <v>13</v>
      </c>
      <c r="AL39" s="75" t="s">
        <v>325</v>
      </c>
      <c r="AM39" s="75" t="s">
        <v>326</v>
      </c>
      <c r="AN39" s="75" t="str">
        <f t="shared" si="41"/>
        <v>C</v>
      </c>
      <c r="AO39" s="75" t="str">
        <f t="shared" si="42"/>
        <v>X</v>
      </c>
      <c r="AP39" s="75" t="str">
        <f t="shared" si="43"/>
        <v>O</v>
      </c>
      <c r="AQ39" s="75" t="str">
        <f t="shared" si="44"/>
        <v>O</v>
      </c>
      <c r="AR39" s="75" t="str">
        <f t="shared" si="45"/>
        <v>X</v>
      </c>
      <c r="AS39" s="75" t="s">
        <v>2</v>
      </c>
      <c r="AT39" s="75" t="str">
        <f t="shared" si="46"/>
        <v>O</v>
      </c>
      <c r="AU39" s="75" t="str">
        <f t="shared" si="47"/>
        <v>O</v>
      </c>
      <c r="AV39" s="75" t="str">
        <f t="shared" si="48"/>
        <v>X</v>
      </c>
    </row>
    <row r="40" spans="1:48" s="38" customFormat="1" ht="12" x14ac:dyDescent="0.3">
      <c r="A40" s="111" t="s">
        <v>460</v>
      </c>
      <c r="B40" s="112" t="s">
        <v>401</v>
      </c>
      <c r="C40" s="113">
        <v>855</v>
      </c>
      <c r="D40" s="104">
        <v>110.9</v>
      </c>
      <c r="E40" s="106">
        <v>34</v>
      </c>
      <c r="F40" s="104">
        <v>85</v>
      </c>
      <c r="G40" s="17">
        <v>26</v>
      </c>
      <c r="H40" s="107">
        <v>601</v>
      </c>
      <c r="I40" s="108">
        <v>39000</v>
      </c>
      <c r="J40" s="108" t="s">
        <v>94</v>
      </c>
      <c r="K40" s="108">
        <v>29000</v>
      </c>
      <c r="L40" s="108" t="s">
        <v>101</v>
      </c>
      <c r="M40" s="109">
        <f t="shared" si="29"/>
        <v>10000</v>
      </c>
      <c r="N40" s="4">
        <f t="shared" si="30"/>
        <v>0.74358974358974361</v>
      </c>
      <c r="O40" s="105">
        <f t="shared" si="31"/>
        <v>1147.0588235294117</v>
      </c>
      <c r="P40" s="105">
        <f t="shared" si="32"/>
        <v>852.94117647058829</v>
      </c>
      <c r="Q40" s="75">
        <v>3</v>
      </c>
      <c r="R40" s="75">
        <v>1</v>
      </c>
      <c r="S40" s="75" t="s">
        <v>324</v>
      </c>
      <c r="T40" s="5">
        <v>80</v>
      </c>
      <c r="U40" s="9"/>
      <c r="W40" s="104">
        <f t="shared" si="33"/>
        <v>110.9</v>
      </c>
      <c r="X40" s="106">
        <f t="shared" si="34"/>
        <v>34</v>
      </c>
      <c r="Y40" s="102">
        <f t="shared" si="35"/>
        <v>601</v>
      </c>
      <c r="Z40" s="109">
        <f t="shared" si="36"/>
        <v>39000</v>
      </c>
      <c r="AA40" s="109">
        <f t="shared" si="37"/>
        <v>29000</v>
      </c>
      <c r="AB40" s="109">
        <f t="shared" si="24"/>
        <v>10000</v>
      </c>
      <c r="AC40" s="4">
        <f t="shared" si="25"/>
        <v>0.74358974358974361</v>
      </c>
      <c r="AD40" s="105">
        <f t="shared" si="26"/>
        <v>1147.0588235294117</v>
      </c>
      <c r="AE40" s="75" t="str">
        <f t="shared" si="38"/>
        <v>계</v>
      </c>
      <c r="AF40" s="75" t="str">
        <f t="shared" si="39"/>
        <v>3/1</v>
      </c>
      <c r="AH40" s="20" t="str">
        <f t="shared" si="27"/>
        <v>반곡동 LH센트럴파크</v>
      </c>
      <c r="AI40" s="106">
        <f t="shared" si="28"/>
        <v>34</v>
      </c>
      <c r="AJ40" s="75" t="str">
        <f t="shared" si="40"/>
        <v>A-</v>
      </c>
      <c r="AK40" s="75" t="s">
        <v>13</v>
      </c>
      <c r="AL40" s="75" t="s">
        <v>325</v>
      </c>
      <c r="AM40" s="75" t="s">
        <v>326</v>
      </c>
      <c r="AN40" s="75" t="str">
        <f t="shared" si="41"/>
        <v>C</v>
      </c>
      <c r="AO40" s="75" t="str">
        <f t="shared" si="42"/>
        <v>X</v>
      </c>
      <c r="AP40" s="75" t="str">
        <f t="shared" si="43"/>
        <v>O</v>
      </c>
      <c r="AQ40" s="75" t="str">
        <f t="shared" si="44"/>
        <v>O</v>
      </c>
      <c r="AR40" s="75" t="str">
        <f t="shared" si="45"/>
        <v>X</v>
      </c>
      <c r="AS40" s="75" t="s">
        <v>2</v>
      </c>
      <c r="AT40" s="75" t="str">
        <f t="shared" si="46"/>
        <v>O</v>
      </c>
      <c r="AU40" s="75" t="str">
        <f t="shared" si="47"/>
        <v>O</v>
      </c>
      <c r="AV40" s="75" t="str">
        <f t="shared" si="48"/>
        <v>X</v>
      </c>
    </row>
    <row r="41" spans="1:48" s="38" customFormat="1" ht="12" x14ac:dyDescent="0.3">
      <c r="A41" s="111" t="s">
        <v>461</v>
      </c>
      <c r="B41" s="112" t="s">
        <v>462</v>
      </c>
      <c r="C41" s="113">
        <v>1110</v>
      </c>
      <c r="D41" s="104">
        <v>109.1</v>
      </c>
      <c r="E41" s="106">
        <v>33</v>
      </c>
      <c r="F41" s="104">
        <v>84.9</v>
      </c>
      <c r="G41" s="17">
        <v>26</v>
      </c>
      <c r="H41" s="107">
        <v>770</v>
      </c>
      <c r="I41" s="108">
        <v>37000</v>
      </c>
      <c r="J41" s="108" t="s">
        <v>94</v>
      </c>
      <c r="K41" s="108">
        <v>29000</v>
      </c>
      <c r="L41" s="108" t="s">
        <v>349</v>
      </c>
      <c r="M41" s="109">
        <f t="shared" si="29"/>
        <v>8000</v>
      </c>
      <c r="N41" s="4">
        <f t="shared" si="30"/>
        <v>0.78378378378378377</v>
      </c>
      <c r="O41" s="105">
        <f t="shared" si="31"/>
        <v>1121.2121212121212</v>
      </c>
      <c r="P41" s="105">
        <f t="shared" si="32"/>
        <v>878.78787878787875</v>
      </c>
      <c r="Q41" s="75">
        <v>3</v>
      </c>
      <c r="R41" s="75">
        <v>1</v>
      </c>
      <c r="S41" s="75" t="s">
        <v>355</v>
      </c>
      <c r="T41" s="5">
        <v>79</v>
      </c>
      <c r="U41" s="9"/>
      <c r="W41" s="104">
        <f t="shared" si="33"/>
        <v>109.1</v>
      </c>
      <c r="X41" s="106">
        <f t="shared" si="34"/>
        <v>33</v>
      </c>
      <c r="Y41" s="102">
        <f t="shared" si="35"/>
        <v>770</v>
      </c>
      <c r="Z41" s="109">
        <f t="shared" si="36"/>
        <v>37000</v>
      </c>
      <c r="AA41" s="109">
        <f t="shared" si="37"/>
        <v>29000</v>
      </c>
      <c r="AB41" s="109">
        <f t="shared" ref="AB41:AB64" si="49">M41</f>
        <v>8000</v>
      </c>
      <c r="AC41" s="4">
        <f t="shared" ref="AC41:AC64" si="50">N41</f>
        <v>0.78378378378378377</v>
      </c>
      <c r="AD41" s="105">
        <f t="shared" ref="AD41:AD64" si="51">O41</f>
        <v>1121.2121212121212</v>
      </c>
      <c r="AE41" s="75" t="str">
        <f t="shared" si="38"/>
        <v>복</v>
      </c>
      <c r="AF41" s="75" t="str">
        <f t="shared" si="39"/>
        <v>3/1</v>
      </c>
      <c r="AH41" s="20" t="str">
        <f t="shared" si="27"/>
        <v>반곡동 푸른숨휴브레스</v>
      </c>
      <c r="AI41" s="106">
        <f t="shared" si="28"/>
        <v>33</v>
      </c>
      <c r="AJ41" s="75" t="str">
        <f t="shared" si="40"/>
        <v>A-</v>
      </c>
      <c r="AK41" s="75" t="s">
        <v>13</v>
      </c>
      <c r="AL41" s="75" t="s">
        <v>325</v>
      </c>
      <c r="AM41" s="75" t="s">
        <v>326</v>
      </c>
      <c r="AN41" s="75" t="str">
        <f t="shared" si="41"/>
        <v>C</v>
      </c>
      <c r="AO41" s="75" t="str">
        <f t="shared" si="42"/>
        <v>X</v>
      </c>
      <c r="AP41" s="75" t="str">
        <f t="shared" si="43"/>
        <v>O</v>
      </c>
      <c r="AQ41" s="75" t="str">
        <f t="shared" si="44"/>
        <v>O</v>
      </c>
      <c r="AR41" s="75" t="str">
        <f t="shared" si="45"/>
        <v>X</v>
      </c>
      <c r="AS41" s="75" t="s">
        <v>2</v>
      </c>
      <c r="AT41" s="75" t="str">
        <f t="shared" si="46"/>
        <v>O</v>
      </c>
      <c r="AU41" s="75" t="str">
        <f t="shared" si="47"/>
        <v>O</v>
      </c>
      <c r="AV41" s="75" t="str">
        <f t="shared" si="48"/>
        <v>X</v>
      </c>
    </row>
    <row r="42" spans="1:48" s="38" customFormat="1" ht="12" x14ac:dyDescent="0.3">
      <c r="A42" s="111" t="s">
        <v>402</v>
      </c>
      <c r="B42" s="112" t="s">
        <v>403</v>
      </c>
      <c r="C42" s="113">
        <v>424</v>
      </c>
      <c r="D42" s="104">
        <v>109.7</v>
      </c>
      <c r="E42" s="106">
        <v>33</v>
      </c>
      <c r="F42" s="104">
        <v>85</v>
      </c>
      <c r="G42" s="17">
        <v>26</v>
      </c>
      <c r="H42" s="107">
        <v>251</v>
      </c>
      <c r="I42" s="108">
        <v>31500</v>
      </c>
      <c r="J42" s="108" t="s">
        <v>349</v>
      </c>
      <c r="K42" s="108">
        <v>23000</v>
      </c>
      <c r="L42" s="108" t="s">
        <v>352</v>
      </c>
      <c r="M42" s="109">
        <f t="shared" si="29"/>
        <v>8500</v>
      </c>
      <c r="N42" s="4">
        <f t="shared" si="30"/>
        <v>0.73015873015873012</v>
      </c>
      <c r="O42" s="105">
        <f t="shared" si="31"/>
        <v>954.5454545454545</v>
      </c>
      <c r="P42" s="105">
        <f t="shared" si="32"/>
        <v>696.969696969697</v>
      </c>
      <c r="Q42" s="75">
        <v>4</v>
      </c>
      <c r="R42" s="75">
        <v>2</v>
      </c>
      <c r="S42" s="75" t="s">
        <v>324</v>
      </c>
      <c r="T42" s="5" t="s">
        <v>235</v>
      </c>
      <c r="U42" s="9"/>
      <c r="W42" s="104">
        <f t="shared" si="33"/>
        <v>109.7</v>
      </c>
      <c r="X42" s="106">
        <f t="shared" si="34"/>
        <v>33</v>
      </c>
      <c r="Y42" s="102">
        <f t="shared" si="35"/>
        <v>251</v>
      </c>
      <c r="Z42" s="109">
        <f t="shared" si="36"/>
        <v>31500</v>
      </c>
      <c r="AA42" s="109">
        <f t="shared" si="37"/>
        <v>23000</v>
      </c>
      <c r="AB42" s="109">
        <f t="shared" si="49"/>
        <v>8500</v>
      </c>
      <c r="AC42" s="4">
        <f t="shared" si="50"/>
        <v>0.73015873015873012</v>
      </c>
      <c r="AD42" s="105">
        <f t="shared" si="51"/>
        <v>954.5454545454545</v>
      </c>
      <c r="AE42" s="75" t="str">
        <f t="shared" si="38"/>
        <v>계</v>
      </c>
      <c r="AF42" s="75" t="str">
        <f t="shared" si="39"/>
        <v>4/2</v>
      </c>
      <c r="AH42" s="20" t="str">
        <f t="shared" si="27"/>
        <v>반곡동 반곡퍼스트힐</v>
      </c>
      <c r="AI42" s="106">
        <f t="shared" si="28"/>
        <v>33</v>
      </c>
      <c r="AJ42" s="75" t="str">
        <f t="shared" si="40"/>
        <v>A-</v>
      </c>
      <c r="AK42" s="75" t="s">
        <v>13</v>
      </c>
      <c r="AL42" s="75" t="s">
        <v>325</v>
      </c>
      <c r="AM42" s="75" t="s">
        <v>326</v>
      </c>
      <c r="AN42" s="75" t="str">
        <f t="shared" si="41"/>
        <v>C</v>
      </c>
      <c r="AO42" s="75" t="str">
        <f t="shared" si="42"/>
        <v>X</v>
      </c>
      <c r="AP42" s="75" t="str">
        <f t="shared" si="43"/>
        <v>O</v>
      </c>
      <c r="AQ42" s="75" t="str">
        <f t="shared" si="44"/>
        <v>O</v>
      </c>
      <c r="AR42" s="75" t="str">
        <f t="shared" si="45"/>
        <v>X</v>
      </c>
      <c r="AS42" s="75" t="s">
        <v>2</v>
      </c>
      <c r="AT42" s="75" t="str">
        <f t="shared" si="46"/>
        <v>O</v>
      </c>
      <c r="AU42" s="75" t="str">
        <f t="shared" si="47"/>
        <v>O</v>
      </c>
      <c r="AV42" s="75" t="str">
        <f t="shared" si="48"/>
        <v>X</v>
      </c>
    </row>
    <row r="43" spans="1:48" s="38" customFormat="1" ht="12" x14ac:dyDescent="0.3">
      <c r="A43" s="111" t="s">
        <v>463</v>
      </c>
      <c r="B43" s="112" t="s">
        <v>464</v>
      </c>
      <c r="C43" s="113">
        <v>508</v>
      </c>
      <c r="D43" s="104">
        <v>84.5</v>
      </c>
      <c r="E43" s="106">
        <v>26</v>
      </c>
      <c r="F43" s="104">
        <v>59.8</v>
      </c>
      <c r="G43" s="17">
        <v>18</v>
      </c>
      <c r="H43" s="107">
        <v>164</v>
      </c>
      <c r="I43" s="108">
        <v>28900</v>
      </c>
      <c r="J43" s="108" t="s">
        <v>327</v>
      </c>
      <c r="K43" s="108">
        <v>18000</v>
      </c>
      <c r="L43" s="108" t="s">
        <v>101</v>
      </c>
      <c r="M43" s="109">
        <f t="shared" si="29"/>
        <v>10900</v>
      </c>
      <c r="N43" s="4">
        <f t="shared" si="30"/>
        <v>0.62283737024221453</v>
      </c>
      <c r="O43" s="105">
        <f t="shared" si="31"/>
        <v>1111.5384615384614</v>
      </c>
      <c r="P43" s="105">
        <f t="shared" si="32"/>
        <v>692.30769230769226</v>
      </c>
      <c r="Q43" s="75">
        <v>3</v>
      </c>
      <c r="R43" s="75">
        <v>2</v>
      </c>
      <c r="S43" s="75" t="s">
        <v>324</v>
      </c>
      <c r="T43" s="5" t="s">
        <v>153</v>
      </c>
      <c r="U43" s="9"/>
      <c r="W43" s="104">
        <f t="shared" si="33"/>
        <v>84.5</v>
      </c>
      <c r="X43" s="106">
        <f t="shared" si="34"/>
        <v>26</v>
      </c>
      <c r="Y43" s="102">
        <f t="shared" si="35"/>
        <v>164</v>
      </c>
      <c r="Z43" s="109">
        <f t="shared" si="36"/>
        <v>28900</v>
      </c>
      <c r="AA43" s="109">
        <f t="shared" si="37"/>
        <v>18000</v>
      </c>
      <c r="AB43" s="109">
        <f t="shared" si="49"/>
        <v>10900</v>
      </c>
      <c r="AC43" s="4">
        <f t="shared" si="50"/>
        <v>0.62283737024221453</v>
      </c>
      <c r="AD43" s="105">
        <f t="shared" si="51"/>
        <v>1111.5384615384614</v>
      </c>
      <c r="AE43" s="75" t="str">
        <f t="shared" si="38"/>
        <v>계</v>
      </c>
      <c r="AF43" s="75" t="str">
        <f t="shared" si="39"/>
        <v>3/2</v>
      </c>
      <c r="AH43" s="20" t="str">
        <f t="shared" si="27"/>
        <v>반곡동 e편한세상반곡</v>
      </c>
      <c r="AI43" s="106">
        <f t="shared" si="28"/>
        <v>26</v>
      </c>
      <c r="AJ43" s="75" t="str">
        <f t="shared" si="40"/>
        <v>A-</v>
      </c>
      <c r="AK43" s="75" t="s">
        <v>13</v>
      </c>
      <c r="AL43" s="75" t="s">
        <v>325</v>
      </c>
      <c r="AM43" s="75" t="s">
        <v>326</v>
      </c>
      <c r="AN43" s="75" t="str">
        <f t="shared" si="41"/>
        <v>C</v>
      </c>
      <c r="AO43" s="75" t="str">
        <f t="shared" si="42"/>
        <v>X</v>
      </c>
      <c r="AP43" s="75" t="str">
        <f t="shared" si="43"/>
        <v>O</v>
      </c>
      <c r="AQ43" s="75" t="str">
        <f t="shared" si="44"/>
        <v>O</v>
      </c>
      <c r="AR43" s="75" t="str">
        <f t="shared" si="45"/>
        <v>X</v>
      </c>
      <c r="AS43" s="75" t="s">
        <v>2</v>
      </c>
      <c r="AT43" s="75" t="str">
        <f t="shared" si="46"/>
        <v>O</v>
      </c>
      <c r="AU43" s="75" t="str">
        <f t="shared" si="47"/>
        <v>O</v>
      </c>
      <c r="AV43" s="75" t="str">
        <f t="shared" si="48"/>
        <v>X</v>
      </c>
    </row>
    <row r="44" spans="1:48" s="38" customFormat="1" ht="12" x14ac:dyDescent="0.3">
      <c r="A44" s="111" t="s">
        <v>404</v>
      </c>
      <c r="B44" s="112" t="s">
        <v>465</v>
      </c>
      <c r="C44" s="113">
        <v>842</v>
      </c>
      <c r="D44" s="104">
        <v>117.4</v>
      </c>
      <c r="E44" s="106">
        <v>35</v>
      </c>
      <c r="F44" s="104">
        <v>84.6</v>
      </c>
      <c r="G44" s="17">
        <v>26</v>
      </c>
      <c r="H44" s="107">
        <v>376</v>
      </c>
      <c r="I44" s="108"/>
      <c r="J44" s="108"/>
      <c r="K44" s="108"/>
      <c r="L44" s="108"/>
      <c r="M44" s="109">
        <f t="shared" si="29"/>
        <v>0</v>
      </c>
      <c r="N44" s="4" t="str">
        <f t="shared" si="30"/>
        <v/>
      </c>
      <c r="O44" s="105">
        <f t="shared" si="31"/>
        <v>0</v>
      </c>
      <c r="P44" s="105">
        <f t="shared" si="32"/>
        <v>0</v>
      </c>
      <c r="Q44" s="75">
        <v>3</v>
      </c>
      <c r="R44" s="75">
        <v>2</v>
      </c>
      <c r="S44" s="75" t="s">
        <v>324</v>
      </c>
      <c r="T44" s="5">
        <v>103</v>
      </c>
      <c r="U44" s="9"/>
      <c r="W44" s="104">
        <f t="shared" si="33"/>
        <v>117.4</v>
      </c>
      <c r="X44" s="106">
        <f t="shared" si="34"/>
        <v>35</v>
      </c>
      <c r="Y44" s="102">
        <f t="shared" si="35"/>
        <v>376</v>
      </c>
      <c r="Z44" s="109">
        <f t="shared" si="36"/>
        <v>0</v>
      </c>
      <c r="AA44" s="109">
        <f t="shared" si="37"/>
        <v>0</v>
      </c>
      <c r="AB44" s="109">
        <f t="shared" si="49"/>
        <v>0</v>
      </c>
      <c r="AC44" s="4" t="str">
        <f t="shared" si="50"/>
        <v/>
      </c>
      <c r="AD44" s="105">
        <f t="shared" si="51"/>
        <v>0</v>
      </c>
      <c r="AE44" s="75" t="str">
        <f t="shared" si="38"/>
        <v>계</v>
      </c>
      <c r="AF44" s="75" t="str">
        <f t="shared" si="39"/>
        <v>3/2</v>
      </c>
      <c r="AH44" s="20" t="str">
        <f>IF(A44="","",A44)</f>
        <v>문막읍 서원주코아루아너스</v>
      </c>
      <c r="AI44" s="106">
        <f>IF(E44="","",E44)</f>
        <v>35</v>
      </c>
      <c r="AJ44" s="75" t="str">
        <f t="shared" si="40"/>
        <v>A-</v>
      </c>
      <c r="AK44" s="75" t="s">
        <v>13</v>
      </c>
      <c r="AL44" s="75" t="s">
        <v>325</v>
      </c>
      <c r="AM44" s="75" t="s">
        <v>326</v>
      </c>
      <c r="AN44" s="75" t="str">
        <f t="shared" si="41"/>
        <v>C</v>
      </c>
      <c r="AO44" s="75" t="str">
        <f t="shared" si="42"/>
        <v/>
      </c>
      <c r="AP44" s="75" t="str">
        <f t="shared" si="43"/>
        <v/>
      </c>
      <c r="AQ44" s="75" t="str">
        <f t="shared" si="44"/>
        <v>O</v>
      </c>
      <c r="AR44" s="75" t="str">
        <f t="shared" si="45"/>
        <v>O</v>
      </c>
      <c r="AS44" s="75" t="s">
        <v>2</v>
      </c>
      <c r="AT44" s="75" t="str">
        <f t="shared" si="46"/>
        <v>O</v>
      </c>
      <c r="AU44" s="75" t="str">
        <f t="shared" si="47"/>
        <v>O</v>
      </c>
      <c r="AV44" s="75" t="str">
        <f t="shared" si="48"/>
        <v/>
      </c>
    </row>
    <row r="45" spans="1:48" s="38" customFormat="1" ht="24" x14ac:dyDescent="0.3">
      <c r="A45" s="111" t="s">
        <v>409</v>
      </c>
      <c r="B45" s="112" t="s">
        <v>410</v>
      </c>
      <c r="C45" s="113">
        <v>936</v>
      </c>
      <c r="D45" s="104">
        <v>111.6</v>
      </c>
      <c r="E45" s="106">
        <v>34</v>
      </c>
      <c r="F45" s="104">
        <v>85</v>
      </c>
      <c r="G45" s="17">
        <v>26</v>
      </c>
      <c r="H45" s="107">
        <v>272</v>
      </c>
      <c r="I45" s="108">
        <v>56200</v>
      </c>
      <c r="J45" s="108" t="s">
        <v>372</v>
      </c>
      <c r="K45" s="108">
        <v>29000</v>
      </c>
      <c r="L45" s="108" t="s">
        <v>327</v>
      </c>
      <c r="M45" s="109">
        <f t="shared" si="29"/>
        <v>27200</v>
      </c>
      <c r="N45" s="4">
        <f t="shared" si="30"/>
        <v>0.51601423487544484</v>
      </c>
      <c r="O45" s="105">
        <f t="shared" si="31"/>
        <v>1652.9411764705883</v>
      </c>
      <c r="P45" s="105">
        <f t="shared" si="32"/>
        <v>852.94117647058829</v>
      </c>
      <c r="Q45" s="75">
        <v>3</v>
      </c>
      <c r="R45" s="75">
        <v>2</v>
      </c>
      <c r="S45" s="75" t="s">
        <v>324</v>
      </c>
      <c r="T45" s="5" t="s">
        <v>245</v>
      </c>
      <c r="U45" s="9"/>
      <c r="W45" s="104">
        <f t="shared" si="33"/>
        <v>111.6</v>
      </c>
      <c r="X45" s="106">
        <f t="shared" si="34"/>
        <v>34</v>
      </c>
      <c r="Y45" s="102">
        <f t="shared" si="35"/>
        <v>272</v>
      </c>
      <c r="Z45" s="109">
        <f t="shared" si="36"/>
        <v>56200</v>
      </c>
      <c r="AA45" s="109">
        <f t="shared" si="37"/>
        <v>29000</v>
      </c>
      <c r="AB45" s="109">
        <f t="shared" si="49"/>
        <v>27200</v>
      </c>
      <c r="AC45" s="4">
        <f t="shared" si="50"/>
        <v>0.51601423487544484</v>
      </c>
      <c r="AD45" s="105">
        <f t="shared" si="51"/>
        <v>1652.9411764705883</v>
      </c>
      <c r="AE45" s="75" t="str">
        <f t="shared" si="38"/>
        <v>계</v>
      </c>
      <c r="AF45" s="75" t="str">
        <f t="shared" si="39"/>
        <v>3/2</v>
      </c>
      <c r="AH45" s="20" t="str">
        <f t="shared" ref="AH45:AH51" si="52">IF(A45="","",A45)</f>
        <v>무실동 더샵원주센트럴파크1단지</v>
      </c>
      <c r="AI45" s="106">
        <f t="shared" ref="AI45:AI51" si="53">IF(E45="","",E45)</f>
        <v>34</v>
      </c>
      <c r="AJ45" s="75" t="str">
        <f t="shared" si="40"/>
        <v>A-</v>
      </c>
      <c r="AK45" s="75" t="s">
        <v>13</v>
      </c>
      <c r="AL45" s="75" t="s">
        <v>325</v>
      </c>
      <c r="AM45" s="75" t="s">
        <v>326</v>
      </c>
      <c r="AN45" s="75" t="str">
        <f t="shared" si="41"/>
        <v>C</v>
      </c>
      <c r="AO45" s="75" t="str">
        <f t="shared" si="42"/>
        <v>X</v>
      </c>
      <c r="AP45" s="75" t="str">
        <f t="shared" si="43"/>
        <v>X</v>
      </c>
      <c r="AQ45" s="75" t="str">
        <f t="shared" si="44"/>
        <v>X</v>
      </c>
      <c r="AR45" s="75" t="str">
        <f t="shared" si="45"/>
        <v>X</v>
      </c>
      <c r="AS45" s="75" t="s">
        <v>2</v>
      </c>
      <c r="AT45" s="75" t="str">
        <f t="shared" si="46"/>
        <v>O</v>
      </c>
      <c r="AU45" s="75" t="str">
        <f t="shared" si="47"/>
        <v>O</v>
      </c>
      <c r="AV45" s="75" t="str">
        <f t="shared" si="48"/>
        <v>X</v>
      </c>
    </row>
    <row r="46" spans="1:48" s="38" customFormat="1" ht="12" x14ac:dyDescent="0.3">
      <c r="A46" s="111" t="s">
        <v>405</v>
      </c>
      <c r="B46" s="112" t="s">
        <v>397</v>
      </c>
      <c r="C46" s="113">
        <v>653</v>
      </c>
      <c r="D46" s="104">
        <v>111.5</v>
      </c>
      <c r="E46" s="106">
        <v>34</v>
      </c>
      <c r="F46" s="104">
        <v>85</v>
      </c>
      <c r="G46" s="17">
        <v>26</v>
      </c>
      <c r="H46" s="107">
        <v>245</v>
      </c>
      <c r="I46" s="108">
        <v>49000</v>
      </c>
      <c r="J46" s="108" t="s">
        <v>351</v>
      </c>
      <c r="K46" s="108"/>
      <c r="L46" s="108"/>
      <c r="M46" s="109">
        <f t="shared" si="29"/>
        <v>49000</v>
      </c>
      <c r="N46" s="4">
        <f t="shared" si="30"/>
        <v>0</v>
      </c>
      <c r="O46" s="105">
        <f t="shared" si="31"/>
        <v>1441.1764705882354</v>
      </c>
      <c r="P46" s="105">
        <f t="shared" si="32"/>
        <v>0</v>
      </c>
      <c r="Q46" s="75">
        <v>3</v>
      </c>
      <c r="R46" s="75">
        <v>1</v>
      </c>
      <c r="S46" s="75" t="s">
        <v>355</v>
      </c>
      <c r="T46" s="5">
        <v>94</v>
      </c>
      <c r="U46" s="9"/>
      <c r="W46" s="104">
        <f t="shared" si="33"/>
        <v>111.5</v>
      </c>
      <c r="X46" s="106">
        <f t="shared" si="34"/>
        <v>34</v>
      </c>
      <c r="Y46" s="102">
        <f t="shared" si="35"/>
        <v>245</v>
      </c>
      <c r="Z46" s="109">
        <f t="shared" si="36"/>
        <v>49000</v>
      </c>
      <c r="AA46" s="109">
        <f t="shared" si="37"/>
        <v>0</v>
      </c>
      <c r="AB46" s="109">
        <f t="shared" si="49"/>
        <v>49000</v>
      </c>
      <c r="AC46" s="4">
        <f t="shared" si="50"/>
        <v>0</v>
      </c>
      <c r="AD46" s="105">
        <f t="shared" si="51"/>
        <v>1441.1764705882354</v>
      </c>
      <c r="AE46" s="75" t="str">
        <f t="shared" si="38"/>
        <v>복</v>
      </c>
      <c r="AF46" s="75" t="str">
        <f t="shared" si="39"/>
        <v>3/1</v>
      </c>
      <c r="AH46" s="20" t="str">
        <f t="shared" si="52"/>
        <v>무실동 무실우미린</v>
      </c>
      <c r="AI46" s="106">
        <f t="shared" si="53"/>
        <v>34</v>
      </c>
      <c r="AJ46" s="75" t="str">
        <f t="shared" si="40"/>
        <v>A-</v>
      </c>
      <c r="AK46" s="75" t="s">
        <v>13</v>
      </c>
      <c r="AL46" s="75" t="s">
        <v>325</v>
      </c>
      <c r="AM46" s="75" t="s">
        <v>326</v>
      </c>
      <c r="AN46" s="75" t="str">
        <f t="shared" si="41"/>
        <v>C</v>
      </c>
      <c r="AO46" s="75" t="str">
        <f t="shared" si="42"/>
        <v>X</v>
      </c>
      <c r="AP46" s="75" t="str">
        <f t="shared" si="43"/>
        <v>X</v>
      </c>
      <c r="AQ46" s="75" t="str">
        <f t="shared" si="44"/>
        <v>O</v>
      </c>
      <c r="AR46" s="75" t="str">
        <f t="shared" si="45"/>
        <v>X</v>
      </c>
      <c r="AS46" s="75" t="s">
        <v>2</v>
      </c>
      <c r="AT46" s="75" t="str">
        <f t="shared" si="46"/>
        <v>O</v>
      </c>
      <c r="AU46" s="75" t="str">
        <f t="shared" si="47"/>
        <v>O</v>
      </c>
      <c r="AV46" s="75" t="str">
        <f t="shared" si="48"/>
        <v>X</v>
      </c>
    </row>
    <row r="47" spans="1:48" s="38" customFormat="1" ht="12" x14ac:dyDescent="0.3">
      <c r="A47" s="111" t="s">
        <v>466</v>
      </c>
      <c r="B47" s="112" t="s">
        <v>406</v>
      </c>
      <c r="C47" s="113">
        <v>482</v>
      </c>
      <c r="D47" s="104">
        <v>108.4</v>
      </c>
      <c r="E47" s="106">
        <v>33</v>
      </c>
      <c r="F47" s="104">
        <v>84.9</v>
      </c>
      <c r="G47" s="17">
        <v>26</v>
      </c>
      <c r="H47" s="107">
        <v>72</v>
      </c>
      <c r="I47" s="108">
        <v>48000</v>
      </c>
      <c r="J47" s="108" t="s">
        <v>101</v>
      </c>
      <c r="K47" s="108"/>
      <c r="L47" s="108"/>
      <c r="M47" s="109">
        <f t="shared" si="29"/>
        <v>48000</v>
      </c>
      <c r="N47" s="4">
        <f t="shared" si="30"/>
        <v>0</v>
      </c>
      <c r="O47" s="105">
        <f t="shared" si="31"/>
        <v>1454.5454545454545</v>
      </c>
      <c r="P47" s="105">
        <f t="shared" si="32"/>
        <v>0</v>
      </c>
      <c r="Q47" s="75">
        <v>4</v>
      </c>
      <c r="R47" s="75">
        <v>2</v>
      </c>
      <c r="S47" s="75" t="s">
        <v>324</v>
      </c>
      <c r="T47" s="5" t="s">
        <v>255</v>
      </c>
      <c r="U47" s="9"/>
      <c r="W47" s="104">
        <f t="shared" si="33"/>
        <v>108.4</v>
      </c>
      <c r="X47" s="106">
        <f t="shared" si="34"/>
        <v>33</v>
      </c>
      <c r="Y47" s="102">
        <f t="shared" si="35"/>
        <v>72</v>
      </c>
      <c r="Z47" s="109">
        <f t="shared" si="36"/>
        <v>48000</v>
      </c>
      <c r="AA47" s="109">
        <f t="shared" si="37"/>
        <v>0</v>
      </c>
      <c r="AB47" s="109">
        <f t="shared" si="49"/>
        <v>48000</v>
      </c>
      <c r="AC47" s="4">
        <f t="shared" si="50"/>
        <v>0</v>
      </c>
      <c r="AD47" s="105">
        <f t="shared" si="51"/>
        <v>1454.5454545454545</v>
      </c>
      <c r="AE47" s="75" t="str">
        <f t="shared" si="38"/>
        <v>계</v>
      </c>
      <c r="AF47" s="75" t="str">
        <f t="shared" si="39"/>
        <v>4/2</v>
      </c>
      <c r="AH47" s="20" t="str">
        <f t="shared" si="52"/>
        <v>무실동 원주무실세영리첼1차</v>
      </c>
      <c r="AI47" s="106">
        <f t="shared" si="53"/>
        <v>33</v>
      </c>
      <c r="AJ47" s="75" t="str">
        <f t="shared" si="40"/>
        <v>A-</v>
      </c>
      <c r="AK47" s="75" t="s">
        <v>13</v>
      </c>
      <c r="AL47" s="75" t="s">
        <v>325</v>
      </c>
      <c r="AM47" s="75" t="s">
        <v>326</v>
      </c>
      <c r="AN47" s="75" t="str">
        <f t="shared" si="41"/>
        <v>C</v>
      </c>
      <c r="AO47" s="75" t="str">
        <f t="shared" si="42"/>
        <v>X</v>
      </c>
      <c r="AP47" s="75" t="str">
        <f t="shared" si="43"/>
        <v>X</v>
      </c>
      <c r="AQ47" s="75" t="str">
        <f t="shared" si="44"/>
        <v>O</v>
      </c>
      <c r="AR47" s="75" t="str">
        <f t="shared" si="45"/>
        <v>X</v>
      </c>
      <c r="AS47" s="75" t="s">
        <v>2</v>
      </c>
      <c r="AT47" s="75" t="str">
        <f t="shared" si="46"/>
        <v>O</v>
      </c>
      <c r="AU47" s="75" t="str">
        <f t="shared" si="47"/>
        <v>O</v>
      </c>
      <c r="AV47" s="75" t="str">
        <f t="shared" si="48"/>
        <v>X</v>
      </c>
    </row>
    <row r="48" spans="1:48" s="38" customFormat="1" ht="12" x14ac:dyDescent="0.3">
      <c r="A48" s="111" t="s">
        <v>407</v>
      </c>
      <c r="B48" s="112" t="s">
        <v>408</v>
      </c>
      <c r="C48" s="113">
        <v>526</v>
      </c>
      <c r="D48" s="104">
        <v>110.4</v>
      </c>
      <c r="E48" s="106">
        <v>33</v>
      </c>
      <c r="F48" s="104">
        <v>85</v>
      </c>
      <c r="G48" s="17">
        <v>26</v>
      </c>
      <c r="H48" s="107">
        <v>129</v>
      </c>
      <c r="I48" s="108"/>
      <c r="J48" s="108"/>
      <c r="K48" s="108">
        <v>35000</v>
      </c>
      <c r="L48" s="108" t="s">
        <v>94</v>
      </c>
      <c r="M48" s="109">
        <f t="shared" si="29"/>
        <v>-35000</v>
      </c>
      <c r="N48" s="4" t="str">
        <f t="shared" si="30"/>
        <v/>
      </c>
      <c r="O48" s="105">
        <f t="shared" si="31"/>
        <v>0</v>
      </c>
      <c r="P48" s="105">
        <f t="shared" si="32"/>
        <v>1060.6060606060605</v>
      </c>
      <c r="Q48" s="75">
        <v>3</v>
      </c>
      <c r="R48" s="75">
        <v>2</v>
      </c>
      <c r="S48" s="75" t="s">
        <v>324</v>
      </c>
      <c r="T48" s="5">
        <v>116</v>
      </c>
      <c r="U48" s="9"/>
      <c r="W48" s="104">
        <f t="shared" si="33"/>
        <v>110.4</v>
      </c>
      <c r="X48" s="106">
        <f t="shared" si="34"/>
        <v>33</v>
      </c>
      <c r="Y48" s="102">
        <f t="shared" si="35"/>
        <v>129</v>
      </c>
      <c r="Z48" s="109">
        <f t="shared" si="36"/>
        <v>0</v>
      </c>
      <c r="AA48" s="109">
        <f t="shared" si="37"/>
        <v>35000</v>
      </c>
      <c r="AB48" s="109">
        <f t="shared" si="49"/>
        <v>-35000</v>
      </c>
      <c r="AC48" s="4" t="str">
        <f t="shared" si="50"/>
        <v/>
      </c>
      <c r="AD48" s="105">
        <f t="shared" si="51"/>
        <v>0</v>
      </c>
      <c r="AE48" s="75" t="str">
        <f t="shared" si="38"/>
        <v>계</v>
      </c>
      <c r="AF48" s="75" t="str">
        <f t="shared" si="39"/>
        <v>3/2</v>
      </c>
      <c r="AH48" s="20" t="str">
        <f t="shared" si="52"/>
        <v>무실동 원주무실세영리첼2차</v>
      </c>
      <c r="AI48" s="106">
        <f t="shared" si="53"/>
        <v>33</v>
      </c>
      <c r="AJ48" s="75" t="str">
        <f t="shared" si="40"/>
        <v>A-</v>
      </c>
      <c r="AK48" s="75" t="s">
        <v>13</v>
      </c>
      <c r="AL48" s="75" t="s">
        <v>325</v>
      </c>
      <c r="AM48" s="75" t="s">
        <v>326</v>
      </c>
      <c r="AN48" s="75" t="str">
        <f t="shared" si="41"/>
        <v>C</v>
      </c>
      <c r="AO48" s="75" t="str">
        <f t="shared" si="42"/>
        <v/>
      </c>
      <c r="AP48" s="75" t="str">
        <f t="shared" si="43"/>
        <v/>
      </c>
      <c r="AQ48" s="75" t="str">
        <f t="shared" si="44"/>
        <v>O</v>
      </c>
      <c r="AR48" s="75" t="str">
        <f t="shared" si="45"/>
        <v>O</v>
      </c>
      <c r="AS48" s="75" t="s">
        <v>2</v>
      </c>
      <c r="AT48" s="75" t="str">
        <f t="shared" si="46"/>
        <v>O</v>
      </c>
      <c r="AU48" s="75" t="str">
        <f t="shared" si="47"/>
        <v>O</v>
      </c>
      <c r="AV48" s="75" t="str">
        <f t="shared" si="48"/>
        <v/>
      </c>
    </row>
    <row r="49" spans="1:48" s="38" customFormat="1" ht="12" x14ac:dyDescent="0.3">
      <c r="A49" s="111" t="s">
        <v>467</v>
      </c>
      <c r="B49" s="112" t="s">
        <v>468</v>
      </c>
      <c r="C49" s="113">
        <v>653</v>
      </c>
      <c r="D49" s="104">
        <v>98.2</v>
      </c>
      <c r="E49" s="106">
        <v>30</v>
      </c>
      <c r="F49" s="104">
        <v>75.3</v>
      </c>
      <c r="G49" s="17">
        <v>23</v>
      </c>
      <c r="H49" s="107">
        <v>221</v>
      </c>
      <c r="I49" s="108">
        <v>42000</v>
      </c>
      <c r="J49" s="108" t="s">
        <v>335</v>
      </c>
      <c r="K49" s="108">
        <v>29000</v>
      </c>
      <c r="L49" s="108" t="s">
        <v>351</v>
      </c>
      <c r="M49" s="109">
        <f t="shared" si="29"/>
        <v>13000</v>
      </c>
      <c r="N49" s="4">
        <f t="shared" si="30"/>
        <v>0.69047619047619047</v>
      </c>
      <c r="O49" s="105">
        <f t="shared" si="31"/>
        <v>1400</v>
      </c>
      <c r="P49" s="105">
        <f t="shared" si="32"/>
        <v>966.66666666666663</v>
      </c>
      <c r="Q49" s="75">
        <v>2</v>
      </c>
      <c r="R49" s="75">
        <v>1</v>
      </c>
      <c r="S49" s="75" t="s">
        <v>355</v>
      </c>
      <c r="T49" s="5" t="s">
        <v>261</v>
      </c>
      <c r="U49" s="9"/>
      <c r="W49" s="104">
        <f t="shared" si="33"/>
        <v>98.2</v>
      </c>
      <c r="X49" s="106">
        <f t="shared" si="34"/>
        <v>30</v>
      </c>
      <c r="Y49" s="102">
        <f t="shared" si="35"/>
        <v>221</v>
      </c>
      <c r="Z49" s="109">
        <f t="shared" si="36"/>
        <v>42000</v>
      </c>
      <c r="AA49" s="109">
        <f t="shared" si="37"/>
        <v>29000</v>
      </c>
      <c r="AB49" s="109">
        <f t="shared" si="49"/>
        <v>13000</v>
      </c>
      <c r="AC49" s="4">
        <f t="shared" si="50"/>
        <v>0.69047619047619047</v>
      </c>
      <c r="AD49" s="105">
        <f t="shared" si="51"/>
        <v>1400</v>
      </c>
      <c r="AE49" s="75" t="str">
        <f t="shared" si="38"/>
        <v>복</v>
      </c>
      <c r="AF49" s="75" t="str">
        <f t="shared" si="39"/>
        <v>2/1</v>
      </c>
      <c r="AH49" s="20" t="str">
        <f t="shared" si="52"/>
        <v>무실동 무실우미린</v>
      </c>
      <c r="AI49" s="106">
        <f t="shared" si="53"/>
        <v>30</v>
      </c>
      <c r="AJ49" s="75" t="str">
        <f t="shared" si="40"/>
        <v>A-</v>
      </c>
      <c r="AK49" s="75" t="s">
        <v>13</v>
      </c>
      <c r="AL49" s="75" t="s">
        <v>325</v>
      </c>
      <c r="AM49" s="75" t="s">
        <v>326</v>
      </c>
      <c r="AN49" s="75" t="str">
        <f t="shared" si="41"/>
        <v>C</v>
      </c>
      <c r="AO49" s="75" t="str">
        <f t="shared" si="42"/>
        <v>X</v>
      </c>
      <c r="AP49" s="75" t="str">
        <f t="shared" si="43"/>
        <v>O</v>
      </c>
      <c r="AQ49" s="75" t="str">
        <f t="shared" si="44"/>
        <v>O</v>
      </c>
      <c r="AR49" s="75" t="str">
        <f t="shared" si="45"/>
        <v>X</v>
      </c>
      <c r="AS49" s="75" t="s">
        <v>2</v>
      </c>
      <c r="AT49" s="75" t="str">
        <f t="shared" si="46"/>
        <v>O</v>
      </c>
      <c r="AU49" s="75" t="str">
        <f t="shared" si="47"/>
        <v>O</v>
      </c>
      <c r="AV49" s="75" t="str">
        <f t="shared" si="48"/>
        <v>X</v>
      </c>
    </row>
    <row r="50" spans="1:48" s="38" customFormat="1" ht="24" x14ac:dyDescent="0.3">
      <c r="A50" s="111" t="s">
        <v>469</v>
      </c>
      <c r="B50" s="112" t="s">
        <v>470</v>
      </c>
      <c r="C50" s="113">
        <v>936</v>
      </c>
      <c r="D50" s="104">
        <v>80</v>
      </c>
      <c r="E50" s="106">
        <v>24</v>
      </c>
      <c r="F50" s="104">
        <v>60</v>
      </c>
      <c r="G50" s="17">
        <v>18</v>
      </c>
      <c r="H50" s="107">
        <v>312</v>
      </c>
      <c r="I50" s="108"/>
      <c r="J50" s="108"/>
      <c r="K50" s="108"/>
      <c r="L50" s="108"/>
      <c r="M50" s="109">
        <f t="shared" si="29"/>
        <v>0</v>
      </c>
      <c r="N50" s="4" t="str">
        <f t="shared" si="30"/>
        <v/>
      </c>
      <c r="O50" s="105">
        <f t="shared" si="31"/>
        <v>0</v>
      </c>
      <c r="P50" s="105">
        <f t="shared" si="32"/>
        <v>0</v>
      </c>
      <c r="Q50" s="75">
        <v>3</v>
      </c>
      <c r="R50" s="75">
        <v>2</v>
      </c>
      <c r="S50" s="75" t="s">
        <v>324</v>
      </c>
      <c r="T50" s="5" t="s">
        <v>262</v>
      </c>
      <c r="U50" s="9"/>
      <c r="W50" s="104">
        <f t="shared" si="33"/>
        <v>80</v>
      </c>
      <c r="X50" s="106">
        <f t="shared" si="34"/>
        <v>24</v>
      </c>
      <c r="Y50" s="102">
        <f t="shared" si="35"/>
        <v>312</v>
      </c>
      <c r="Z50" s="109">
        <f t="shared" si="36"/>
        <v>0</v>
      </c>
      <c r="AA50" s="109">
        <f t="shared" si="37"/>
        <v>0</v>
      </c>
      <c r="AB50" s="109">
        <f t="shared" si="49"/>
        <v>0</v>
      </c>
      <c r="AC50" s="4" t="str">
        <f t="shared" si="50"/>
        <v/>
      </c>
      <c r="AD50" s="105">
        <f t="shared" si="51"/>
        <v>0</v>
      </c>
      <c r="AE50" s="75" t="str">
        <f t="shared" si="38"/>
        <v>계</v>
      </c>
      <c r="AF50" s="75" t="str">
        <f t="shared" si="39"/>
        <v>3/2</v>
      </c>
      <c r="AH50" s="20" t="str">
        <f t="shared" si="52"/>
        <v>무실동 더샵원주센트럴파크1단지</v>
      </c>
      <c r="AI50" s="106">
        <f t="shared" si="53"/>
        <v>24</v>
      </c>
      <c r="AJ50" s="75" t="str">
        <f t="shared" si="40"/>
        <v>A-</v>
      </c>
      <c r="AK50" s="75" t="s">
        <v>13</v>
      </c>
      <c r="AL50" s="75" t="s">
        <v>325</v>
      </c>
      <c r="AM50" s="75" t="s">
        <v>326</v>
      </c>
      <c r="AN50" s="75" t="str">
        <f t="shared" si="41"/>
        <v>C</v>
      </c>
      <c r="AO50" s="75" t="str">
        <f t="shared" si="42"/>
        <v/>
      </c>
      <c r="AP50" s="75" t="str">
        <f t="shared" si="43"/>
        <v/>
      </c>
      <c r="AQ50" s="75" t="str">
        <f t="shared" si="44"/>
        <v>O</v>
      </c>
      <c r="AR50" s="75" t="str">
        <f t="shared" si="45"/>
        <v>O</v>
      </c>
      <c r="AS50" s="75" t="s">
        <v>2</v>
      </c>
      <c r="AT50" s="75" t="str">
        <f t="shared" si="46"/>
        <v>O</v>
      </c>
      <c r="AU50" s="75" t="str">
        <f t="shared" si="47"/>
        <v>O</v>
      </c>
      <c r="AV50" s="75" t="str">
        <f t="shared" si="48"/>
        <v/>
      </c>
    </row>
    <row r="51" spans="1:48" s="38" customFormat="1" ht="12" x14ac:dyDescent="0.3">
      <c r="A51" s="111" t="s">
        <v>411</v>
      </c>
      <c r="B51" s="112" t="s">
        <v>412</v>
      </c>
      <c r="C51" s="113">
        <v>639</v>
      </c>
      <c r="D51" s="104">
        <v>88.6</v>
      </c>
      <c r="E51" s="106">
        <v>27</v>
      </c>
      <c r="F51" s="104">
        <v>59.9</v>
      </c>
      <c r="G51" s="17">
        <v>18</v>
      </c>
      <c r="H51" s="107">
        <v>337</v>
      </c>
      <c r="I51" s="108">
        <v>32000</v>
      </c>
      <c r="J51" s="108" t="s">
        <v>101</v>
      </c>
      <c r="K51" s="108">
        <v>25000</v>
      </c>
      <c r="L51" s="108" t="s">
        <v>101</v>
      </c>
      <c r="M51" s="109">
        <f t="shared" si="29"/>
        <v>7000</v>
      </c>
      <c r="N51" s="4">
        <f t="shared" si="30"/>
        <v>0.78125</v>
      </c>
      <c r="O51" s="105">
        <f t="shared" si="31"/>
        <v>1185.1851851851852</v>
      </c>
      <c r="P51" s="105">
        <f t="shared" si="32"/>
        <v>925.92592592592598</v>
      </c>
      <c r="Q51" s="75">
        <v>3</v>
      </c>
      <c r="R51" s="75">
        <v>2</v>
      </c>
      <c r="S51" s="75" t="s">
        <v>324</v>
      </c>
      <c r="T51" s="5" t="s">
        <v>265</v>
      </c>
      <c r="U51" s="9"/>
      <c r="W51" s="104">
        <f t="shared" si="33"/>
        <v>88.6</v>
      </c>
      <c r="X51" s="106">
        <f t="shared" si="34"/>
        <v>27</v>
      </c>
      <c r="Y51" s="102">
        <f t="shared" si="35"/>
        <v>337</v>
      </c>
      <c r="Z51" s="109">
        <f t="shared" si="36"/>
        <v>32000</v>
      </c>
      <c r="AA51" s="109">
        <f t="shared" si="37"/>
        <v>25000</v>
      </c>
      <c r="AB51" s="109">
        <f t="shared" si="49"/>
        <v>7000</v>
      </c>
      <c r="AC51" s="4">
        <f t="shared" si="50"/>
        <v>0.78125</v>
      </c>
      <c r="AD51" s="105">
        <f t="shared" si="51"/>
        <v>1185.1851851851852</v>
      </c>
      <c r="AE51" s="75" t="str">
        <f t="shared" si="38"/>
        <v>계</v>
      </c>
      <c r="AF51" s="75" t="str">
        <f t="shared" si="39"/>
        <v>3/2</v>
      </c>
      <c r="AH51" s="20" t="str">
        <f t="shared" si="52"/>
        <v>무실동 사랑으로부영</v>
      </c>
      <c r="AI51" s="106">
        <f t="shared" si="53"/>
        <v>27</v>
      </c>
      <c r="AJ51" s="75" t="str">
        <f t="shared" si="40"/>
        <v>A-</v>
      </c>
      <c r="AK51" s="75" t="s">
        <v>13</v>
      </c>
      <c r="AL51" s="75" t="s">
        <v>325</v>
      </c>
      <c r="AM51" s="75" t="s">
        <v>326</v>
      </c>
      <c r="AN51" s="75" t="str">
        <f t="shared" si="41"/>
        <v>C</v>
      </c>
      <c r="AO51" s="75" t="str">
        <f t="shared" si="42"/>
        <v>X</v>
      </c>
      <c r="AP51" s="75" t="str">
        <f t="shared" si="43"/>
        <v>O</v>
      </c>
      <c r="AQ51" s="75" t="str">
        <f t="shared" si="44"/>
        <v>O</v>
      </c>
      <c r="AR51" s="75" t="str">
        <f t="shared" si="45"/>
        <v>X</v>
      </c>
      <c r="AS51" s="75" t="s">
        <v>2</v>
      </c>
      <c r="AT51" s="75" t="str">
        <f t="shared" si="46"/>
        <v>O</v>
      </c>
      <c r="AU51" s="75" t="str">
        <f t="shared" si="47"/>
        <v>O</v>
      </c>
      <c r="AV51" s="75" t="str">
        <f t="shared" si="48"/>
        <v>X</v>
      </c>
    </row>
    <row r="52" spans="1:48" s="38" customFormat="1" ht="24" x14ac:dyDescent="0.3">
      <c r="A52" s="111" t="s">
        <v>471</v>
      </c>
      <c r="B52" s="112" t="s">
        <v>472</v>
      </c>
      <c r="C52" s="113">
        <v>838</v>
      </c>
      <c r="D52" s="104">
        <v>109</v>
      </c>
      <c r="E52" s="106">
        <v>33</v>
      </c>
      <c r="F52" s="104">
        <v>85</v>
      </c>
      <c r="G52" s="17">
        <v>26</v>
      </c>
      <c r="H52" s="107">
        <v>483</v>
      </c>
      <c r="I52" s="108">
        <v>49600</v>
      </c>
      <c r="J52" s="108" t="s">
        <v>361</v>
      </c>
      <c r="K52" s="108">
        <v>26000</v>
      </c>
      <c r="L52" s="108" t="s">
        <v>344</v>
      </c>
      <c r="M52" s="109">
        <f t="shared" si="29"/>
        <v>23600</v>
      </c>
      <c r="N52" s="4">
        <f t="shared" si="30"/>
        <v>0.52419354838709675</v>
      </c>
      <c r="O52" s="105">
        <f t="shared" si="31"/>
        <v>1503.030303030303</v>
      </c>
      <c r="P52" s="105">
        <f t="shared" si="32"/>
        <v>787.87878787878788</v>
      </c>
      <c r="Q52" s="75">
        <v>2</v>
      </c>
      <c r="R52" s="75">
        <v>1</v>
      </c>
      <c r="S52" s="75" t="s">
        <v>355</v>
      </c>
      <c r="T52" s="5">
        <v>51</v>
      </c>
      <c r="U52" s="9"/>
      <c r="W52" s="104">
        <f t="shared" si="33"/>
        <v>109</v>
      </c>
      <c r="X52" s="106">
        <f t="shared" si="34"/>
        <v>33</v>
      </c>
      <c r="Y52" s="102">
        <f t="shared" si="35"/>
        <v>483</v>
      </c>
      <c r="Z52" s="109">
        <f t="shared" si="36"/>
        <v>49600</v>
      </c>
      <c r="AA52" s="109">
        <f t="shared" si="37"/>
        <v>26000</v>
      </c>
      <c r="AB52" s="109">
        <f t="shared" si="49"/>
        <v>23600</v>
      </c>
      <c r="AC52" s="4">
        <f t="shared" si="50"/>
        <v>0.52419354838709675</v>
      </c>
      <c r="AD52" s="105">
        <f t="shared" si="51"/>
        <v>1503.030303030303</v>
      </c>
      <c r="AE52" s="75" t="str">
        <f t="shared" si="38"/>
        <v>복</v>
      </c>
      <c r="AF52" s="75" t="str">
        <f t="shared" si="39"/>
        <v>2/1</v>
      </c>
      <c r="AH52" s="20" t="str">
        <f>IF(A52="","",A52)</f>
        <v>명륜동 원주더샵센트럴파크2단지</v>
      </c>
      <c r="AI52" s="106">
        <f>IF(E52="","",E52)</f>
        <v>33</v>
      </c>
      <c r="AJ52" s="75" t="str">
        <f t="shared" si="40"/>
        <v>A-</v>
      </c>
      <c r="AK52" s="75" t="s">
        <v>13</v>
      </c>
      <c r="AL52" s="75" t="s">
        <v>325</v>
      </c>
      <c r="AM52" s="75" t="s">
        <v>326</v>
      </c>
      <c r="AN52" s="75" t="str">
        <f t="shared" si="41"/>
        <v>C</v>
      </c>
      <c r="AO52" s="75" t="str">
        <f t="shared" si="42"/>
        <v>X</v>
      </c>
      <c r="AP52" s="75" t="str">
        <f t="shared" si="43"/>
        <v>X</v>
      </c>
      <c r="AQ52" s="75" t="str">
        <f t="shared" si="44"/>
        <v>X</v>
      </c>
      <c r="AR52" s="75" t="str">
        <f t="shared" si="45"/>
        <v>X</v>
      </c>
      <c r="AS52" s="75" t="s">
        <v>2</v>
      </c>
      <c r="AT52" s="75" t="str">
        <f t="shared" si="46"/>
        <v>O</v>
      </c>
      <c r="AU52" s="75" t="str">
        <f t="shared" si="47"/>
        <v>O</v>
      </c>
      <c r="AV52" s="75" t="str">
        <f t="shared" si="48"/>
        <v>X</v>
      </c>
    </row>
    <row r="53" spans="1:48" s="38" customFormat="1" ht="24" x14ac:dyDescent="0.3">
      <c r="A53" s="111" t="s">
        <v>473</v>
      </c>
      <c r="B53" s="112" t="s">
        <v>474</v>
      </c>
      <c r="C53" s="113">
        <v>348</v>
      </c>
      <c r="D53" s="104">
        <v>108.3</v>
      </c>
      <c r="E53" s="106">
        <v>33</v>
      </c>
      <c r="F53" s="104">
        <v>84.9</v>
      </c>
      <c r="G53" s="17">
        <v>26</v>
      </c>
      <c r="H53" s="107">
        <v>203</v>
      </c>
      <c r="I53" s="108">
        <v>39000</v>
      </c>
      <c r="J53" s="108" t="s">
        <v>349</v>
      </c>
      <c r="K53" s="108">
        <v>30000</v>
      </c>
      <c r="L53" s="108" t="s">
        <v>349</v>
      </c>
      <c r="M53" s="109">
        <f t="shared" si="29"/>
        <v>9000</v>
      </c>
      <c r="N53" s="4">
        <f t="shared" si="30"/>
        <v>0.76923076923076927</v>
      </c>
      <c r="O53" s="105">
        <f t="shared" si="31"/>
        <v>1181.8181818181818</v>
      </c>
      <c r="P53" s="105">
        <f t="shared" si="32"/>
        <v>909.09090909090912</v>
      </c>
      <c r="Q53" s="75">
        <v>3</v>
      </c>
      <c r="R53" s="75">
        <v>1</v>
      </c>
      <c r="S53" s="75" t="s">
        <v>324</v>
      </c>
      <c r="T53" s="5">
        <v>61</v>
      </c>
      <c r="U53" s="9"/>
      <c r="W53" s="104">
        <f t="shared" si="33"/>
        <v>108.3</v>
      </c>
      <c r="X53" s="106">
        <f t="shared" si="34"/>
        <v>33</v>
      </c>
      <c r="Y53" s="102">
        <f t="shared" si="35"/>
        <v>203</v>
      </c>
      <c r="Z53" s="109">
        <f t="shared" si="36"/>
        <v>39000</v>
      </c>
      <c r="AA53" s="109">
        <f t="shared" si="37"/>
        <v>30000</v>
      </c>
      <c r="AB53" s="109">
        <f t="shared" si="49"/>
        <v>9000</v>
      </c>
      <c r="AC53" s="4">
        <f t="shared" si="50"/>
        <v>0.76923076923076927</v>
      </c>
      <c r="AD53" s="105">
        <f t="shared" si="51"/>
        <v>1181.8181818181818</v>
      </c>
      <c r="AE53" s="75" t="str">
        <f t="shared" si="38"/>
        <v>계</v>
      </c>
      <c r="AF53" s="75" t="str">
        <f t="shared" si="39"/>
        <v>3/1</v>
      </c>
      <c r="AH53" s="20" t="str">
        <f t="shared" ref="AH53:AH64" si="54">IF(A53="","",A53)</f>
        <v>단구동 원주단구내안애카운티에듀파크2단지</v>
      </c>
      <c r="AI53" s="106">
        <f t="shared" ref="AI53:AI64" si="55">IF(E53="","",E53)</f>
        <v>33</v>
      </c>
      <c r="AJ53" s="75" t="str">
        <f t="shared" si="40"/>
        <v>A-</v>
      </c>
      <c r="AK53" s="75" t="s">
        <v>13</v>
      </c>
      <c r="AL53" s="75" t="s">
        <v>325</v>
      </c>
      <c r="AM53" s="75" t="s">
        <v>326</v>
      </c>
      <c r="AN53" s="75" t="str">
        <f t="shared" si="41"/>
        <v>C</v>
      </c>
      <c r="AO53" s="75" t="str">
        <f t="shared" si="42"/>
        <v>X</v>
      </c>
      <c r="AP53" s="75" t="str">
        <f t="shared" si="43"/>
        <v>O</v>
      </c>
      <c r="AQ53" s="75" t="str">
        <f t="shared" si="44"/>
        <v>O</v>
      </c>
      <c r="AR53" s="75" t="str">
        <f t="shared" si="45"/>
        <v>X</v>
      </c>
      <c r="AS53" s="75" t="s">
        <v>2</v>
      </c>
      <c r="AT53" s="75" t="str">
        <f t="shared" si="46"/>
        <v>O</v>
      </c>
      <c r="AU53" s="75" t="str">
        <f t="shared" si="47"/>
        <v>O</v>
      </c>
      <c r="AV53" s="75" t="str">
        <f t="shared" si="48"/>
        <v>X</v>
      </c>
    </row>
    <row r="54" spans="1:48" s="38" customFormat="1" ht="24" x14ac:dyDescent="0.3">
      <c r="A54" s="111" t="s">
        <v>475</v>
      </c>
      <c r="B54" s="112" t="s">
        <v>386</v>
      </c>
      <c r="C54" s="113">
        <v>571</v>
      </c>
      <c r="D54" s="104">
        <v>107.3</v>
      </c>
      <c r="E54" s="106">
        <v>32</v>
      </c>
      <c r="F54" s="104">
        <v>84.9</v>
      </c>
      <c r="G54" s="17">
        <v>26</v>
      </c>
      <c r="H54" s="107">
        <v>421</v>
      </c>
      <c r="I54" s="108">
        <v>35000</v>
      </c>
      <c r="J54" s="108" t="s">
        <v>336</v>
      </c>
      <c r="K54" s="108">
        <v>28000</v>
      </c>
      <c r="L54" s="108" t="s">
        <v>323</v>
      </c>
      <c r="M54" s="109">
        <f t="shared" si="29"/>
        <v>7000</v>
      </c>
      <c r="N54" s="4">
        <f t="shared" si="30"/>
        <v>0.8</v>
      </c>
      <c r="O54" s="105">
        <f t="shared" si="31"/>
        <v>1093.75</v>
      </c>
      <c r="P54" s="105">
        <f t="shared" si="32"/>
        <v>875</v>
      </c>
      <c r="Q54" s="75">
        <v>3</v>
      </c>
      <c r="R54" s="75">
        <v>2</v>
      </c>
      <c r="S54" s="75" t="s">
        <v>324</v>
      </c>
      <c r="T54" s="5">
        <v>158</v>
      </c>
      <c r="U54" s="9"/>
      <c r="W54" s="104">
        <f t="shared" si="33"/>
        <v>107.3</v>
      </c>
      <c r="X54" s="106">
        <f t="shared" si="34"/>
        <v>32</v>
      </c>
      <c r="Y54" s="102">
        <f t="shared" si="35"/>
        <v>421</v>
      </c>
      <c r="Z54" s="109">
        <f t="shared" si="36"/>
        <v>35000</v>
      </c>
      <c r="AA54" s="109">
        <f t="shared" si="37"/>
        <v>28000</v>
      </c>
      <c r="AB54" s="109">
        <f t="shared" si="49"/>
        <v>7000</v>
      </c>
      <c r="AC54" s="4">
        <f t="shared" si="50"/>
        <v>0.8</v>
      </c>
      <c r="AD54" s="105">
        <f t="shared" si="51"/>
        <v>1093.75</v>
      </c>
      <c r="AE54" s="75" t="str">
        <f t="shared" si="38"/>
        <v>계</v>
      </c>
      <c r="AF54" s="75" t="str">
        <f t="shared" si="39"/>
        <v>3/2</v>
      </c>
      <c r="AH54" s="20" t="str">
        <f t="shared" si="54"/>
        <v>단구동 원주단구내안애카운티에듀파크1단지</v>
      </c>
      <c r="AI54" s="106">
        <f t="shared" si="55"/>
        <v>32</v>
      </c>
      <c r="AJ54" s="75" t="str">
        <f t="shared" si="40"/>
        <v>A-</v>
      </c>
      <c r="AK54" s="75" t="s">
        <v>13</v>
      </c>
      <c r="AL54" s="75" t="s">
        <v>325</v>
      </c>
      <c r="AM54" s="75" t="s">
        <v>326</v>
      </c>
      <c r="AN54" s="75" t="str">
        <f t="shared" si="41"/>
        <v>C</v>
      </c>
      <c r="AO54" s="75" t="str">
        <f t="shared" si="42"/>
        <v>O</v>
      </c>
      <c r="AP54" s="75" t="str">
        <f t="shared" si="43"/>
        <v>O</v>
      </c>
      <c r="AQ54" s="75" t="str">
        <f t="shared" si="44"/>
        <v>O</v>
      </c>
      <c r="AR54" s="75" t="str">
        <f t="shared" si="45"/>
        <v>X</v>
      </c>
      <c r="AS54" s="75" t="s">
        <v>2</v>
      </c>
      <c r="AT54" s="75" t="str">
        <f t="shared" si="46"/>
        <v>O</v>
      </c>
      <c r="AU54" s="75" t="str">
        <f t="shared" si="47"/>
        <v>O</v>
      </c>
      <c r="AV54" s="75" t="str">
        <f t="shared" si="48"/>
        <v>X</v>
      </c>
    </row>
    <row r="55" spans="1:48" s="38" customFormat="1" ht="12" x14ac:dyDescent="0.3">
      <c r="A55" s="111" t="s">
        <v>413</v>
      </c>
      <c r="B55" s="112" t="s">
        <v>476</v>
      </c>
      <c r="C55" s="113">
        <v>724</v>
      </c>
      <c r="D55" s="104">
        <v>114.2</v>
      </c>
      <c r="E55" s="106">
        <v>35</v>
      </c>
      <c r="F55" s="104">
        <v>84.9</v>
      </c>
      <c r="G55" s="17">
        <v>26</v>
      </c>
      <c r="H55" s="107">
        <v>217</v>
      </c>
      <c r="I55" s="108">
        <v>36000</v>
      </c>
      <c r="J55" s="108" t="s">
        <v>349</v>
      </c>
      <c r="K55" s="108"/>
      <c r="L55" s="108"/>
      <c r="M55" s="109">
        <f t="shared" si="29"/>
        <v>36000</v>
      </c>
      <c r="N55" s="4">
        <f t="shared" si="30"/>
        <v>0</v>
      </c>
      <c r="O55" s="105">
        <f t="shared" si="31"/>
        <v>1028.5714285714287</v>
      </c>
      <c r="P55" s="105">
        <f t="shared" si="32"/>
        <v>0</v>
      </c>
      <c r="Q55" s="75">
        <v>3</v>
      </c>
      <c r="R55" s="75">
        <v>2</v>
      </c>
      <c r="S55" s="75" t="s">
        <v>324</v>
      </c>
      <c r="T55" s="5" t="s">
        <v>286</v>
      </c>
      <c r="U55" s="9"/>
      <c r="W55" s="104">
        <f t="shared" si="33"/>
        <v>114.2</v>
      </c>
      <c r="X55" s="106">
        <f t="shared" si="34"/>
        <v>35</v>
      </c>
      <c r="Y55" s="102">
        <f t="shared" si="35"/>
        <v>217</v>
      </c>
      <c r="Z55" s="109">
        <f t="shared" si="36"/>
        <v>36000</v>
      </c>
      <c r="AA55" s="109">
        <f t="shared" si="37"/>
        <v>0</v>
      </c>
      <c r="AB55" s="109">
        <f t="shared" si="49"/>
        <v>36000</v>
      </c>
      <c r="AC55" s="4">
        <f t="shared" si="50"/>
        <v>0</v>
      </c>
      <c r="AD55" s="105">
        <f t="shared" si="51"/>
        <v>1028.5714285714287</v>
      </c>
      <c r="AE55" s="75" t="str">
        <f t="shared" si="38"/>
        <v>계</v>
      </c>
      <c r="AF55" s="75" t="str">
        <f t="shared" si="39"/>
        <v>3/2</v>
      </c>
      <c r="AH55" s="20" t="str">
        <f t="shared" si="54"/>
        <v>단구동 단구한신더휴</v>
      </c>
      <c r="AI55" s="106">
        <f t="shared" si="55"/>
        <v>35</v>
      </c>
      <c r="AJ55" s="75" t="str">
        <f t="shared" si="40"/>
        <v>A-</v>
      </c>
      <c r="AK55" s="75" t="s">
        <v>13</v>
      </c>
      <c r="AL55" s="75" t="s">
        <v>325</v>
      </c>
      <c r="AM55" s="75" t="s">
        <v>326</v>
      </c>
      <c r="AN55" s="75" t="str">
        <f t="shared" si="41"/>
        <v>C</v>
      </c>
      <c r="AO55" s="75" t="str">
        <f t="shared" si="42"/>
        <v>X</v>
      </c>
      <c r="AP55" s="75" t="str">
        <f t="shared" si="43"/>
        <v>O</v>
      </c>
      <c r="AQ55" s="75" t="str">
        <f t="shared" si="44"/>
        <v>O</v>
      </c>
      <c r="AR55" s="75" t="str">
        <f t="shared" si="45"/>
        <v>X</v>
      </c>
      <c r="AS55" s="75" t="s">
        <v>2</v>
      </c>
      <c r="AT55" s="75" t="str">
        <f t="shared" si="46"/>
        <v>O</v>
      </c>
      <c r="AU55" s="75" t="str">
        <f t="shared" si="47"/>
        <v>O</v>
      </c>
      <c r="AV55" s="75" t="str">
        <f t="shared" si="48"/>
        <v>X</v>
      </c>
    </row>
    <row r="56" spans="1:48" s="38" customFormat="1" ht="12" x14ac:dyDescent="0.3">
      <c r="A56" s="111" t="s">
        <v>415</v>
      </c>
      <c r="B56" s="112" t="s">
        <v>416</v>
      </c>
      <c r="C56" s="113">
        <v>499</v>
      </c>
      <c r="D56" s="104">
        <v>115.4</v>
      </c>
      <c r="E56" s="106">
        <v>35</v>
      </c>
      <c r="F56" s="104">
        <v>85</v>
      </c>
      <c r="G56" s="17">
        <v>26</v>
      </c>
      <c r="H56" s="107">
        <v>121</v>
      </c>
      <c r="I56" s="108"/>
      <c r="J56" s="108"/>
      <c r="K56" s="108"/>
      <c r="L56" s="108"/>
      <c r="M56" s="109">
        <f t="shared" si="29"/>
        <v>0</v>
      </c>
      <c r="N56" s="4" t="str">
        <f t="shared" si="30"/>
        <v/>
      </c>
      <c r="O56" s="105">
        <f t="shared" si="31"/>
        <v>0</v>
      </c>
      <c r="P56" s="105">
        <f t="shared" si="32"/>
        <v>0</v>
      </c>
      <c r="Q56" s="75">
        <v>4</v>
      </c>
      <c r="R56" s="75">
        <v>2</v>
      </c>
      <c r="S56" s="75" t="s">
        <v>324</v>
      </c>
      <c r="T56" s="5" t="s">
        <v>293</v>
      </c>
      <c r="U56" s="9"/>
      <c r="W56" s="104">
        <f t="shared" si="33"/>
        <v>115.4</v>
      </c>
      <c r="X56" s="106">
        <f t="shared" si="34"/>
        <v>35</v>
      </c>
      <c r="Y56" s="102">
        <f t="shared" si="35"/>
        <v>121</v>
      </c>
      <c r="Z56" s="109">
        <f t="shared" si="36"/>
        <v>0</v>
      </c>
      <c r="AA56" s="109">
        <f t="shared" si="37"/>
        <v>0</v>
      </c>
      <c r="AB56" s="109">
        <f t="shared" si="49"/>
        <v>0</v>
      </c>
      <c r="AC56" s="4" t="str">
        <f t="shared" si="50"/>
        <v/>
      </c>
      <c r="AD56" s="105">
        <f t="shared" si="51"/>
        <v>0</v>
      </c>
      <c r="AE56" s="75" t="str">
        <f t="shared" si="38"/>
        <v>계</v>
      </c>
      <c r="AF56" s="75" t="str">
        <f t="shared" si="39"/>
        <v>4/2</v>
      </c>
      <c r="AH56" s="20" t="str">
        <f t="shared" si="54"/>
        <v>단계동 원주봉화산벨라시티3차</v>
      </c>
      <c r="AI56" s="106">
        <f t="shared" si="55"/>
        <v>35</v>
      </c>
      <c r="AJ56" s="75" t="str">
        <f t="shared" si="40"/>
        <v>A-</v>
      </c>
      <c r="AK56" s="75" t="s">
        <v>13</v>
      </c>
      <c r="AL56" s="75" t="s">
        <v>325</v>
      </c>
      <c r="AM56" s="75" t="s">
        <v>326</v>
      </c>
      <c r="AN56" s="75" t="str">
        <f t="shared" si="41"/>
        <v>C</v>
      </c>
      <c r="AO56" s="75" t="str">
        <f t="shared" si="42"/>
        <v/>
      </c>
      <c r="AP56" s="75" t="str">
        <f t="shared" si="43"/>
        <v/>
      </c>
      <c r="AQ56" s="75" t="str">
        <f t="shared" si="44"/>
        <v>O</v>
      </c>
      <c r="AR56" s="75" t="str">
        <f t="shared" si="45"/>
        <v>O</v>
      </c>
      <c r="AS56" s="75" t="s">
        <v>2</v>
      </c>
      <c r="AT56" s="75" t="str">
        <f t="shared" si="46"/>
        <v>O</v>
      </c>
      <c r="AU56" s="75" t="str">
        <f t="shared" si="47"/>
        <v>O</v>
      </c>
      <c r="AV56" s="75" t="str">
        <f t="shared" si="48"/>
        <v/>
      </c>
    </row>
    <row r="57" spans="1:48" s="38" customFormat="1" ht="12" x14ac:dyDescent="0.3">
      <c r="A57" s="111" t="s">
        <v>417</v>
      </c>
      <c r="B57" s="112" t="s">
        <v>414</v>
      </c>
      <c r="C57" s="113">
        <v>996</v>
      </c>
      <c r="D57" s="104">
        <v>109.8</v>
      </c>
      <c r="E57" s="106">
        <v>33</v>
      </c>
      <c r="F57" s="104">
        <v>84.9</v>
      </c>
      <c r="G57" s="17">
        <v>26</v>
      </c>
      <c r="H57" s="107">
        <v>169</v>
      </c>
      <c r="I57" s="108">
        <v>42000</v>
      </c>
      <c r="J57" s="108" t="s">
        <v>336</v>
      </c>
      <c r="K57" s="108">
        <v>27000</v>
      </c>
      <c r="L57" s="108" t="s">
        <v>372</v>
      </c>
      <c r="M57" s="109">
        <f t="shared" si="29"/>
        <v>15000</v>
      </c>
      <c r="N57" s="4">
        <f t="shared" si="30"/>
        <v>0.6428571428571429</v>
      </c>
      <c r="O57" s="105">
        <f t="shared" si="31"/>
        <v>1272.7272727272727</v>
      </c>
      <c r="P57" s="105">
        <f t="shared" si="32"/>
        <v>818.18181818181813</v>
      </c>
      <c r="Q57" s="75">
        <v>3</v>
      </c>
      <c r="R57" s="75">
        <v>1</v>
      </c>
      <c r="S57" s="75" t="s">
        <v>324</v>
      </c>
      <c r="T57" s="5" t="s">
        <v>83</v>
      </c>
      <c r="U57" s="9"/>
      <c r="W57" s="104">
        <f t="shared" si="33"/>
        <v>109.8</v>
      </c>
      <c r="X57" s="106">
        <f t="shared" si="34"/>
        <v>33</v>
      </c>
      <c r="Y57" s="102">
        <f t="shared" si="35"/>
        <v>169</v>
      </c>
      <c r="Z57" s="109">
        <f t="shared" si="36"/>
        <v>42000</v>
      </c>
      <c r="AA57" s="109">
        <f t="shared" si="37"/>
        <v>27000</v>
      </c>
      <c r="AB57" s="109">
        <f t="shared" si="49"/>
        <v>15000</v>
      </c>
      <c r="AC57" s="4">
        <f t="shared" si="50"/>
        <v>0.6428571428571429</v>
      </c>
      <c r="AD57" s="105">
        <f t="shared" si="51"/>
        <v>1272.7272727272727</v>
      </c>
      <c r="AE57" s="75" t="str">
        <f t="shared" si="38"/>
        <v>계</v>
      </c>
      <c r="AF57" s="75" t="str">
        <f t="shared" si="39"/>
        <v>3/1</v>
      </c>
      <c r="AH57" s="20" t="str">
        <f t="shared" si="54"/>
        <v>단계동 원주봉화산푸르지오</v>
      </c>
      <c r="AI57" s="106">
        <f t="shared" si="55"/>
        <v>33</v>
      </c>
      <c r="AJ57" s="75" t="str">
        <f t="shared" si="40"/>
        <v>A-</v>
      </c>
      <c r="AK57" s="75" t="s">
        <v>13</v>
      </c>
      <c r="AL57" s="75" t="s">
        <v>325</v>
      </c>
      <c r="AM57" s="75" t="s">
        <v>326</v>
      </c>
      <c r="AN57" s="75" t="str">
        <f t="shared" si="41"/>
        <v>C</v>
      </c>
      <c r="AO57" s="75" t="str">
        <f t="shared" si="42"/>
        <v>X</v>
      </c>
      <c r="AP57" s="75" t="str">
        <f t="shared" si="43"/>
        <v>O</v>
      </c>
      <c r="AQ57" s="75" t="str">
        <f t="shared" si="44"/>
        <v>O</v>
      </c>
      <c r="AR57" s="75" t="str">
        <f t="shared" si="45"/>
        <v>X</v>
      </c>
      <c r="AS57" s="75" t="s">
        <v>2</v>
      </c>
      <c r="AT57" s="75" t="str">
        <f t="shared" si="46"/>
        <v>O</v>
      </c>
      <c r="AU57" s="75" t="str">
        <f t="shared" si="47"/>
        <v>O</v>
      </c>
      <c r="AV57" s="75" t="str">
        <f t="shared" si="48"/>
        <v>X</v>
      </c>
    </row>
    <row r="58" spans="1:48" s="38" customFormat="1" ht="12" x14ac:dyDescent="0.3">
      <c r="A58" s="111" t="s">
        <v>418</v>
      </c>
      <c r="B58" s="112" t="s">
        <v>383</v>
      </c>
      <c r="C58" s="113">
        <v>839</v>
      </c>
      <c r="D58" s="104">
        <v>115.8</v>
      </c>
      <c r="E58" s="106">
        <v>35</v>
      </c>
      <c r="F58" s="104">
        <v>85</v>
      </c>
      <c r="G58" s="17">
        <v>26</v>
      </c>
      <c r="H58" s="107">
        <v>322</v>
      </c>
      <c r="I58" s="108">
        <v>41000</v>
      </c>
      <c r="J58" s="108" t="s">
        <v>331</v>
      </c>
      <c r="K58" s="108">
        <v>30000</v>
      </c>
      <c r="L58" s="108" t="s">
        <v>372</v>
      </c>
      <c r="M58" s="109">
        <f t="shared" si="29"/>
        <v>11000</v>
      </c>
      <c r="N58" s="4">
        <f t="shared" si="30"/>
        <v>0.73170731707317072</v>
      </c>
      <c r="O58" s="105">
        <f t="shared" si="31"/>
        <v>1171.4285714285713</v>
      </c>
      <c r="P58" s="105">
        <f t="shared" si="32"/>
        <v>857.14285714285711</v>
      </c>
      <c r="Q58" s="75">
        <v>3</v>
      </c>
      <c r="R58" s="75">
        <v>2</v>
      </c>
      <c r="S58" s="75" t="s">
        <v>324</v>
      </c>
      <c r="T58" s="5">
        <v>115</v>
      </c>
      <c r="U58" s="9"/>
      <c r="W58" s="104">
        <f t="shared" si="33"/>
        <v>115.8</v>
      </c>
      <c r="X58" s="106">
        <f t="shared" si="34"/>
        <v>35</v>
      </c>
      <c r="Y58" s="102">
        <f t="shared" si="35"/>
        <v>322</v>
      </c>
      <c r="Z58" s="109">
        <f t="shared" si="36"/>
        <v>41000</v>
      </c>
      <c r="AA58" s="109">
        <f t="shared" si="37"/>
        <v>30000</v>
      </c>
      <c r="AB58" s="109">
        <f t="shared" si="49"/>
        <v>11000</v>
      </c>
      <c r="AC58" s="4">
        <f t="shared" si="50"/>
        <v>0.73170731707317072</v>
      </c>
      <c r="AD58" s="105">
        <f t="shared" si="51"/>
        <v>1171.4285714285713</v>
      </c>
      <c r="AE58" s="75" t="str">
        <f t="shared" si="38"/>
        <v>계</v>
      </c>
      <c r="AF58" s="75" t="str">
        <f t="shared" si="39"/>
        <v>3/2</v>
      </c>
      <c r="AH58" s="20" t="str">
        <f t="shared" si="54"/>
        <v>단계동 원주봉화산벨라시티2차</v>
      </c>
      <c r="AI58" s="106">
        <f t="shared" si="55"/>
        <v>35</v>
      </c>
      <c r="AJ58" s="75" t="str">
        <f t="shared" si="40"/>
        <v>A-</v>
      </c>
      <c r="AK58" s="75" t="s">
        <v>13</v>
      </c>
      <c r="AL58" s="75" t="s">
        <v>325</v>
      </c>
      <c r="AM58" s="75" t="s">
        <v>326</v>
      </c>
      <c r="AN58" s="75" t="str">
        <f t="shared" si="41"/>
        <v>C</v>
      </c>
      <c r="AO58" s="75" t="str">
        <f t="shared" si="42"/>
        <v>X</v>
      </c>
      <c r="AP58" s="75" t="str">
        <f t="shared" si="43"/>
        <v>O</v>
      </c>
      <c r="AQ58" s="75" t="str">
        <f t="shared" si="44"/>
        <v>O</v>
      </c>
      <c r="AR58" s="75" t="str">
        <f t="shared" si="45"/>
        <v>X</v>
      </c>
      <c r="AS58" s="75" t="s">
        <v>2</v>
      </c>
      <c r="AT58" s="75" t="str">
        <f t="shared" si="46"/>
        <v>O</v>
      </c>
      <c r="AU58" s="75" t="str">
        <f t="shared" si="47"/>
        <v>O</v>
      </c>
      <c r="AV58" s="75" t="str">
        <f t="shared" si="48"/>
        <v>X</v>
      </c>
    </row>
    <row r="59" spans="1:48" s="38" customFormat="1" ht="12" x14ac:dyDescent="0.3">
      <c r="A59" s="111" t="s">
        <v>419</v>
      </c>
      <c r="B59" s="112" t="s">
        <v>420</v>
      </c>
      <c r="C59" s="113">
        <v>566</v>
      </c>
      <c r="D59" s="104">
        <v>110.9</v>
      </c>
      <c r="E59" s="106">
        <v>34</v>
      </c>
      <c r="F59" s="104">
        <v>85</v>
      </c>
      <c r="G59" s="17">
        <v>26</v>
      </c>
      <c r="H59" s="107">
        <v>92</v>
      </c>
      <c r="I59" s="108">
        <v>37000</v>
      </c>
      <c r="J59" s="108" t="s">
        <v>327</v>
      </c>
      <c r="K59" s="108"/>
      <c r="L59" s="108"/>
      <c r="M59" s="109">
        <f t="shared" si="29"/>
        <v>37000</v>
      </c>
      <c r="N59" s="4">
        <f t="shared" si="30"/>
        <v>0</v>
      </c>
      <c r="O59" s="105">
        <f t="shared" si="31"/>
        <v>1088.2352941176471</v>
      </c>
      <c r="P59" s="105">
        <f t="shared" si="32"/>
        <v>0</v>
      </c>
      <c r="Q59" s="75">
        <v>3</v>
      </c>
      <c r="R59" s="75">
        <v>1</v>
      </c>
      <c r="S59" s="75" t="s">
        <v>324</v>
      </c>
      <c r="T59" s="5">
        <v>77</v>
      </c>
      <c r="U59" s="9"/>
      <c r="W59" s="104">
        <f t="shared" si="33"/>
        <v>110.9</v>
      </c>
      <c r="X59" s="106">
        <f t="shared" si="34"/>
        <v>34</v>
      </c>
      <c r="Y59" s="102">
        <f t="shared" si="35"/>
        <v>92</v>
      </c>
      <c r="Z59" s="109">
        <f t="shared" si="36"/>
        <v>37000</v>
      </c>
      <c r="AA59" s="109">
        <f t="shared" si="37"/>
        <v>0</v>
      </c>
      <c r="AB59" s="109">
        <f t="shared" si="49"/>
        <v>37000</v>
      </c>
      <c r="AC59" s="4">
        <f t="shared" si="50"/>
        <v>0</v>
      </c>
      <c r="AD59" s="105">
        <f t="shared" si="51"/>
        <v>1088.2352941176471</v>
      </c>
      <c r="AE59" s="75" t="str">
        <f t="shared" si="38"/>
        <v>계</v>
      </c>
      <c r="AF59" s="75" t="str">
        <f t="shared" si="39"/>
        <v>3/1</v>
      </c>
      <c r="AH59" s="20" t="str">
        <f t="shared" si="54"/>
        <v>단계동 봉화산벨라시티</v>
      </c>
      <c r="AI59" s="106">
        <f t="shared" si="55"/>
        <v>34</v>
      </c>
      <c r="AJ59" s="75" t="str">
        <f t="shared" si="40"/>
        <v>A-</v>
      </c>
      <c r="AK59" s="75" t="s">
        <v>13</v>
      </c>
      <c r="AL59" s="75" t="s">
        <v>325</v>
      </c>
      <c r="AM59" s="75" t="s">
        <v>326</v>
      </c>
      <c r="AN59" s="75" t="str">
        <f t="shared" si="41"/>
        <v>C</v>
      </c>
      <c r="AO59" s="75" t="str">
        <f t="shared" si="42"/>
        <v>X</v>
      </c>
      <c r="AP59" s="75" t="str">
        <f t="shared" si="43"/>
        <v>O</v>
      </c>
      <c r="AQ59" s="75" t="str">
        <f t="shared" si="44"/>
        <v>O</v>
      </c>
      <c r="AR59" s="75" t="str">
        <f t="shared" si="45"/>
        <v>X</v>
      </c>
      <c r="AS59" s="75" t="s">
        <v>2</v>
      </c>
      <c r="AT59" s="75" t="str">
        <f t="shared" si="46"/>
        <v>O</v>
      </c>
      <c r="AU59" s="75" t="str">
        <f t="shared" si="47"/>
        <v>O</v>
      </c>
      <c r="AV59" s="75" t="str">
        <f t="shared" si="48"/>
        <v>X</v>
      </c>
    </row>
    <row r="60" spans="1:48" s="38" customFormat="1" ht="12" x14ac:dyDescent="0.3">
      <c r="A60" s="111" t="s">
        <v>477</v>
      </c>
      <c r="B60" s="112" t="s">
        <v>478</v>
      </c>
      <c r="C60" s="113">
        <v>996</v>
      </c>
      <c r="D60" s="104">
        <v>98.6</v>
      </c>
      <c r="E60" s="106">
        <v>30</v>
      </c>
      <c r="F60" s="104">
        <v>72.900000000000006</v>
      </c>
      <c r="G60" s="17">
        <v>22</v>
      </c>
      <c r="H60" s="107">
        <v>323</v>
      </c>
      <c r="I60" s="108">
        <v>35000</v>
      </c>
      <c r="J60" s="108" t="s">
        <v>361</v>
      </c>
      <c r="K60" s="108">
        <v>26000</v>
      </c>
      <c r="L60" s="108" t="s">
        <v>361</v>
      </c>
      <c r="M60" s="109">
        <f t="shared" si="29"/>
        <v>9000</v>
      </c>
      <c r="N60" s="4">
        <f t="shared" si="30"/>
        <v>0.74285714285714288</v>
      </c>
      <c r="O60" s="105">
        <f t="shared" si="31"/>
        <v>1166.6666666666667</v>
      </c>
      <c r="P60" s="105">
        <f t="shared" si="32"/>
        <v>866.66666666666663</v>
      </c>
      <c r="Q60" s="75">
        <v>3</v>
      </c>
      <c r="R60" s="75">
        <v>1</v>
      </c>
      <c r="S60" s="75" t="s">
        <v>324</v>
      </c>
      <c r="T60" s="5" t="s">
        <v>309</v>
      </c>
      <c r="U60" s="9"/>
      <c r="W60" s="104">
        <f t="shared" si="33"/>
        <v>98.6</v>
      </c>
      <c r="X60" s="106">
        <f t="shared" si="34"/>
        <v>30</v>
      </c>
      <c r="Y60" s="102">
        <f t="shared" si="35"/>
        <v>323</v>
      </c>
      <c r="Z60" s="109">
        <f t="shared" si="36"/>
        <v>35000</v>
      </c>
      <c r="AA60" s="109">
        <f t="shared" si="37"/>
        <v>26000</v>
      </c>
      <c r="AB60" s="109">
        <f t="shared" si="49"/>
        <v>9000</v>
      </c>
      <c r="AC60" s="4">
        <f t="shared" si="50"/>
        <v>0.74285714285714288</v>
      </c>
      <c r="AD60" s="105">
        <f t="shared" si="51"/>
        <v>1166.6666666666667</v>
      </c>
      <c r="AE60" s="75" t="str">
        <f t="shared" si="38"/>
        <v>계</v>
      </c>
      <c r="AF60" s="75" t="str">
        <f t="shared" si="39"/>
        <v>3/1</v>
      </c>
      <c r="AH60" s="20" t="str">
        <f t="shared" si="54"/>
        <v>단계동 원주봉화산푸르지오</v>
      </c>
      <c r="AI60" s="106">
        <f t="shared" si="55"/>
        <v>30</v>
      </c>
      <c r="AJ60" s="75" t="str">
        <f t="shared" si="40"/>
        <v>A-</v>
      </c>
      <c r="AK60" s="75" t="s">
        <v>13</v>
      </c>
      <c r="AL60" s="75" t="s">
        <v>325</v>
      </c>
      <c r="AM60" s="75" t="s">
        <v>326</v>
      </c>
      <c r="AN60" s="75" t="str">
        <f t="shared" si="41"/>
        <v>C</v>
      </c>
      <c r="AO60" s="75" t="str">
        <f t="shared" si="42"/>
        <v>X</v>
      </c>
      <c r="AP60" s="75" t="str">
        <f t="shared" si="43"/>
        <v>O</v>
      </c>
      <c r="AQ60" s="75" t="str">
        <f t="shared" si="44"/>
        <v>O</v>
      </c>
      <c r="AR60" s="75" t="str">
        <f t="shared" si="45"/>
        <v>X</v>
      </c>
      <c r="AS60" s="75" t="s">
        <v>2</v>
      </c>
      <c r="AT60" s="75" t="str">
        <f t="shared" si="46"/>
        <v>O</v>
      </c>
      <c r="AU60" s="75" t="str">
        <f t="shared" si="47"/>
        <v>O</v>
      </c>
      <c r="AV60" s="75" t="str">
        <f t="shared" si="48"/>
        <v>X</v>
      </c>
    </row>
    <row r="61" spans="1:48" s="38" customFormat="1" ht="12" x14ac:dyDescent="0.3">
      <c r="A61" s="111" t="s">
        <v>479</v>
      </c>
      <c r="B61" s="112" t="s">
        <v>416</v>
      </c>
      <c r="C61" s="113">
        <v>499</v>
      </c>
      <c r="D61" s="104">
        <v>83.1</v>
      </c>
      <c r="E61" s="106">
        <v>25</v>
      </c>
      <c r="F61" s="104">
        <v>59.9</v>
      </c>
      <c r="G61" s="17">
        <v>18</v>
      </c>
      <c r="H61" s="107">
        <v>126</v>
      </c>
      <c r="I61" s="108">
        <v>32000</v>
      </c>
      <c r="J61" s="108" t="s">
        <v>344</v>
      </c>
      <c r="K61" s="108"/>
      <c r="L61" s="108"/>
      <c r="M61" s="109">
        <f t="shared" si="29"/>
        <v>32000</v>
      </c>
      <c r="N61" s="4">
        <f t="shared" si="30"/>
        <v>0</v>
      </c>
      <c r="O61" s="105">
        <f t="shared" si="31"/>
        <v>1280</v>
      </c>
      <c r="P61" s="105">
        <f t="shared" si="32"/>
        <v>0</v>
      </c>
      <c r="Q61" s="75">
        <v>4</v>
      </c>
      <c r="R61" s="75">
        <v>2</v>
      </c>
      <c r="S61" s="75" t="s">
        <v>324</v>
      </c>
      <c r="T61" s="5" t="s">
        <v>310</v>
      </c>
      <c r="U61" s="9"/>
      <c r="W61" s="104">
        <f t="shared" si="33"/>
        <v>83.1</v>
      </c>
      <c r="X61" s="106">
        <f t="shared" si="34"/>
        <v>25</v>
      </c>
      <c r="Y61" s="102">
        <f t="shared" si="35"/>
        <v>126</v>
      </c>
      <c r="Z61" s="109">
        <f t="shared" si="36"/>
        <v>32000</v>
      </c>
      <c r="AA61" s="109">
        <f t="shared" si="37"/>
        <v>0</v>
      </c>
      <c r="AB61" s="109">
        <f t="shared" si="49"/>
        <v>32000</v>
      </c>
      <c r="AC61" s="4">
        <f t="shared" si="50"/>
        <v>0</v>
      </c>
      <c r="AD61" s="105">
        <f t="shared" si="51"/>
        <v>1280</v>
      </c>
      <c r="AE61" s="75" t="str">
        <f t="shared" si="38"/>
        <v>계</v>
      </c>
      <c r="AF61" s="75" t="str">
        <f t="shared" si="39"/>
        <v>4/2</v>
      </c>
      <c r="AH61" s="20" t="str">
        <f t="shared" si="54"/>
        <v>단계동 원주봉화산벨라시티3차</v>
      </c>
      <c r="AI61" s="106">
        <f t="shared" si="55"/>
        <v>25</v>
      </c>
      <c r="AJ61" s="75" t="str">
        <f t="shared" si="40"/>
        <v>A-</v>
      </c>
      <c r="AK61" s="75" t="s">
        <v>13</v>
      </c>
      <c r="AL61" s="75" t="s">
        <v>325</v>
      </c>
      <c r="AM61" s="75" t="s">
        <v>326</v>
      </c>
      <c r="AN61" s="75" t="str">
        <f t="shared" si="41"/>
        <v>C</v>
      </c>
      <c r="AO61" s="75" t="str">
        <f t="shared" si="42"/>
        <v>X</v>
      </c>
      <c r="AP61" s="75" t="str">
        <f t="shared" si="43"/>
        <v>O</v>
      </c>
      <c r="AQ61" s="75" t="str">
        <f t="shared" si="44"/>
        <v>O</v>
      </c>
      <c r="AR61" s="75" t="str">
        <f t="shared" si="45"/>
        <v>X</v>
      </c>
      <c r="AS61" s="75" t="s">
        <v>2</v>
      </c>
      <c r="AT61" s="75" t="str">
        <f t="shared" si="46"/>
        <v>O</v>
      </c>
      <c r="AU61" s="75" t="str">
        <f t="shared" si="47"/>
        <v>O</v>
      </c>
      <c r="AV61" s="75" t="str">
        <f t="shared" si="48"/>
        <v>X</v>
      </c>
    </row>
    <row r="62" spans="1:48" s="38" customFormat="1" ht="12" x14ac:dyDescent="0.3">
      <c r="A62" s="111" t="s">
        <v>480</v>
      </c>
      <c r="B62" s="112" t="s">
        <v>383</v>
      </c>
      <c r="C62" s="113">
        <v>839</v>
      </c>
      <c r="D62" s="104">
        <v>83.8</v>
      </c>
      <c r="E62" s="106">
        <v>25</v>
      </c>
      <c r="F62" s="104">
        <v>60</v>
      </c>
      <c r="G62" s="17">
        <v>18</v>
      </c>
      <c r="H62" s="107">
        <v>74</v>
      </c>
      <c r="I62" s="108">
        <v>32000</v>
      </c>
      <c r="J62" s="108" t="s">
        <v>101</v>
      </c>
      <c r="K62" s="108"/>
      <c r="L62" s="108"/>
      <c r="M62" s="109">
        <f t="shared" si="29"/>
        <v>32000</v>
      </c>
      <c r="N62" s="4">
        <f t="shared" si="30"/>
        <v>0</v>
      </c>
      <c r="O62" s="105">
        <f t="shared" si="31"/>
        <v>1280</v>
      </c>
      <c r="P62" s="105">
        <f t="shared" si="32"/>
        <v>0</v>
      </c>
      <c r="Q62" s="75">
        <v>3</v>
      </c>
      <c r="R62" s="75">
        <v>1</v>
      </c>
      <c r="S62" s="75" t="s">
        <v>324</v>
      </c>
      <c r="T62" s="5">
        <v>78</v>
      </c>
      <c r="U62" s="9"/>
      <c r="W62" s="104">
        <f t="shared" si="33"/>
        <v>83.8</v>
      </c>
      <c r="X62" s="106">
        <f t="shared" si="34"/>
        <v>25</v>
      </c>
      <c r="Y62" s="102">
        <f t="shared" si="35"/>
        <v>74</v>
      </c>
      <c r="Z62" s="109">
        <f t="shared" si="36"/>
        <v>32000</v>
      </c>
      <c r="AA62" s="109">
        <f t="shared" si="37"/>
        <v>0</v>
      </c>
      <c r="AB62" s="109">
        <f t="shared" si="49"/>
        <v>32000</v>
      </c>
      <c r="AC62" s="4">
        <f t="shared" si="50"/>
        <v>0</v>
      </c>
      <c r="AD62" s="105">
        <f t="shared" si="51"/>
        <v>1280</v>
      </c>
      <c r="AE62" s="75" t="str">
        <f t="shared" si="38"/>
        <v>계</v>
      </c>
      <c r="AF62" s="75" t="str">
        <f t="shared" si="39"/>
        <v>3/1</v>
      </c>
      <c r="AH62" s="20" t="str">
        <f t="shared" si="54"/>
        <v>단계동 원주봉화산벨라시티2차</v>
      </c>
      <c r="AI62" s="106">
        <f t="shared" si="55"/>
        <v>25</v>
      </c>
      <c r="AJ62" s="75" t="str">
        <f t="shared" si="40"/>
        <v>A-</v>
      </c>
      <c r="AK62" s="75" t="s">
        <v>13</v>
      </c>
      <c r="AL62" s="75" t="s">
        <v>325</v>
      </c>
      <c r="AM62" s="75" t="s">
        <v>326</v>
      </c>
      <c r="AN62" s="75" t="str">
        <f t="shared" si="41"/>
        <v>C</v>
      </c>
      <c r="AO62" s="75" t="str">
        <f t="shared" si="42"/>
        <v>X</v>
      </c>
      <c r="AP62" s="75" t="str">
        <f t="shared" si="43"/>
        <v>O</v>
      </c>
      <c r="AQ62" s="75" t="str">
        <f t="shared" si="44"/>
        <v>O</v>
      </c>
      <c r="AR62" s="75" t="str">
        <f t="shared" si="45"/>
        <v>X</v>
      </c>
      <c r="AS62" s="75" t="s">
        <v>2</v>
      </c>
      <c r="AT62" s="75" t="str">
        <f t="shared" si="46"/>
        <v>O</v>
      </c>
      <c r="AU62" s="75" t="str">
        <f t="shared" si="47"/>
        <v>O</v>
      </c>
      <c r="AV62" s="75" t="str">
        <f t="shared" si="48"/>
        <v>X</v>
      </c>
    </row>
    <row r="63" spans="1:48" s="38" customFormat="1" ht="12" x14ac:dyDescent="0.3">
      <c r="A63" s="111" t="s">
        <v>481</v>
      </c>
      <c r="B63" s="112" t="s">
        <v>482</v>
      </c>
      <c r="C63" s="113">
        <v>996</v>
      </c>
      <c r="D63" s="104">
        <v>85</v>
      </c>
      <c r="E63" s="106">
        <v>26</v>
      </c>
      <c r="F63" s="104">
        <v>60.8</v>
      </c>
      <c r="G63" s="17">
        <v>18</v>
      </c>
      <c r="H63" s="107">
        <v>337</v>
      </c>
      <c r="I63" s="108">
        <v>29000</v>
      </c>
      <c r="J63" s="108" t="s">
        <v>323</v>
      </c>
      <c r="K63" s="108">
        <v>24000</v>
      </c>
      <c r="L63" s="108" t="s">
        <v>101</v>
      </c>
      <c r="M63" s="109">
        <f t="shared" si="29"/>
        <v>5000</v>
      </c>
      <c r="N63" s="4">
        <f t="shared" si="30"/>
        <v>0.82758620689655171</v>
      </c>
      <c r="O63" s="105">
        <f t="shared" si="31"/>
        <v>1115.3846153846155</v>
      </c>
      <c r="P63" s="105">
        <f t="shared" si="32"/>
        <v>923.07692307692309</v>
      </c>
      <c r="Q63" s="75">
        <v>2</v>
      </c>
      <c r="R63" s="75">
        <v>1</v>
      </c>
      <c r="S63" s="75" t="s">
        <v>324</v>
      </c>
      <c r="T63" s="5" t="s">
        <v>314</v>
      </c>
      <c r="U63" s="9"/>
      <c r="W63" s="104">
        <f t="shared" si="33"/>
        <v>85</v>
      </c>
      <c r="X63" s="106">
        <f t="shared" si="34"/>
        <v>26</v>
      </c>
      <c r="Y63" s="102">
        <f t="shared" si="35"/>
        <v>337</v>
      </c>
      <c r="Z63" s="109">
        <f t="shared" si="36"/>
        <v>29000</v>
      </c>
      <c r="AA63" s="109">
        <f t="shared" si="37"/>
        <v>24000</v>
      </c>
      <c r="AB63" s="109">
        <f t="shared" si="49"/>
        <v>5000</v>
      </c>
      <c r="AC63" s="4">
        <f t="shared" si="50"/>
        <v>0.82758620689655171</v>
      </c>
      <c r="AD63" s="105">
        <f t="shared" si="51"/>
        <v>1115.3846153846155</v>
      </c>
      <c r="AE63" s="75" t="str">
        <f t="shared" si="38"/>
        <v>계</v>
      </c>
      <c r="AF63" s="75" t="str">
        <f t="shared" si="39"/>
        <v>2/1</v>
      </c>
      <c r="AH63" s="20" t="str">
        <f t="shared" si="54"/>
        <v>단계동 원주봉화산푸르지오</v>
      </c>
      <c r="AI63" s="106">
        <f t="shared" si="55"/>
        <v>26</v>
      </c>
      <c r="AJ63" s="75" t="str">
        <f t="shared" si="40"/>
        <v>A-</v>
      </c>
      <c r="AK63" s="75" t="s">
        <v>13</v>
      </c>
      <c r="AL63" s="75" t="s">
        <v>325</v>
      </c>
      <c r="AM63" s="75" t="s">
        <v>326</v>
      </c>
      <c r="AN63" s="75" t="str">
        <f t="shared" si="41"/>
        <v>C</v>
      </c>
      <c r="AO63" s="75" t="str">
        <f t="shared" si="42"/>
        <v>O</v>
      </c>
      <c r="AP63" s="75" t="str">
        <f t="shared" si="43"/>
        <v>O</v>
      </c>
      <c r="AQ63" s="75" t="str">
        <f t="shared" si="44"/>
        <v>O</v>
      </c>
      <c r="AR63" s="75" t="str">
        <f t="shared" si="45"/>
        <v>O</v>
      </c>
      <c r="AS63" s="75" t="s">
        <v>2</v>
      </c>
      <c r="AT63" s="75" t="str">
        <f t="shared" si="46"/>
        <v>O</v>
      </c>
      <c r="AU63" s="75" t="str">
        <f t="shared" si="47"/>
        <v>O</v>
      </c>
      <c r="AV63" s="75" t="str">
        <f t="shared" si="48"/>
        <v>후보</v>
      </c>
    </row>
    <row r="64" spans="1:48" s="38" customFormat="1" ht="12" x14ac:dyDescent="0.3">
      <c r="A64" s="111" t="s">
        <v>419</v>
      </c>
      <c r="B64" s="112" t="s">
        <v>483</v>
      </c>
      <c r="C64" s="113">
        <v>566</v>
      </c>
      <c r="D64" s="104">
        <v>87.9</v>
      </c>
      <c r="E64" s="106">
        <v>27</v>
      </c>
      <c r="F64" s="104">
        <v>59.9</v>
      </c>
      <c r="G64" s="17">
        <v>18</v>
      </c>
      <c r="H64" s="107">
        <v>164</v>
      </c>
      <c r="I64" s="108">
        <v>28000</v>
      </c>
      <c r="J64" s="108" t="s">
        <v>101</v>
      </c>
      <c r="K64" s="108"/>
      <c r="L64" s="108"/>
      <c r="M64" s="109">
        <f t="shared" si="29"/>
        <v>28000</v>
      </c>
      <c r="N64" s="4">
        <f t="shared" si="30"/>
        <v>0</v>
      </c>
      <c r="O64" s="105">
        <f t="shared" si="31"/>
        <v>1037.037037037037</v>
      </c>
      <c r="P64" s="105">
        <f t="shared" si="32"/>
        <v>0</v>
      </c>
      <c r="Q64" s="75">
        <v>3</v>
      </c>
      <c r="R64" s="75">
        <v>2</v>
      </c>
      <c r="S64" s="75" t="s">
        <v>355</v>
      </c>
      <c r="T64" s="5" t="s">
        <v>315</v>
      </c>
      <c r="U64" s="9"/>
      <c r="W64" s="104">
        <f t="shared" si="33"/>
        <v>87.9</v>
      </c>
      <c r="X64" s="106">
        <f t="shared" si="34"/>
        <v>27</v>
      </c>
      <c r="Y64" s="102">
        <f t="shared" si="35"/>
        <v>164</v>
      </c>
      <c r="Z64" s="109">
        <f t="shared" si="36"/>
        <v>28000</v>
      </c>
      <c r="AA64" s="109">
        <f t="shared" si="37"/>
        <v>0</v>
      </c>
      <c r="AB64" s="109">
        <f t="shared" si="49"/>
        <v>28000</v>
      </c>
      <c r="AC64" s="4">
        <f t="shared" si="50"/>
        <v>0</v>
      </c>
      <c r="AD64" s="105">
        <f t="shared" si="51"/>
        <v>1037.037037037037</v>
      </c>
      <c r="AE64" s="75" t="str">
        <f t="shared" si="38"/>
        <v>복</v>
      </c>
      <c r="AF64" s="75" t="str">
        <f t="shared" si="39"/>
        <v>3/2</v>
      </c>
      <c r="AH64" s="20" t="str">
        <f t="shared" si="54"/>
        <v>단계동 봉화산벨라시티</v>
      </c>
      <c r="AI64" s="106">
        <f t="shared" si="55"/>
        <v>27</v>
      </c>
      <c r="AJ64" s="75" t="str">
        <f t="shared" si="40"/>
        <v>A-</v>
      </c>
      <c r="AK64" s="75" t="s">
        <v>13</v>
      </c>
      <c r="AL64" s="75" t="s">
        <v>325</v>
      </c>
      <c r="AM64" s="75" t="s">
        <v>326</v>
      </c>
      <c r="AN64" s="75" t="str">
        <f t="shared" si="41"/>
        <v>C</v>
      </c>
      <c r="AO64" s="75" t="str">
        <f t="shared" si="42"/>
        <v>X</v>
      </c>
      <c r="AP64" s="75" t="str">
        <f t="shared" si="43"/>
        <v>O</v>
      </c>
      <c r="AQ64" s="75" t="str">
        <f t="shared" si="44"/>
        <v>O</v>
      </c>
      <c r="AR64" s="75" t="str">
        <f t="shared" si="45"/>
        <v>X</v>
      </c>
      <c r="AS64" s="75" t="s">
        <v>2</v>
      </c>
      <c r="AT64" s="75" t="str">
        <f t="shared" si="46"/>
        <v>O</v>
      </c>
      <c r="AU64" s="75" t="str">
        <f t="shared" si="47"/>
        <v>O</v>
      </c>
      <c r="AV64" s="75" t="str">
        <f t="shared" si="48"/>
        <v>X</v>
      </c>
    </row>
    <row r="65" spans="1:58" s="38" customFormat="1" ht="16.5" customHeight="1" x14ac:dyDescent="0.3">
      <c r="A65" s="77"/>
      <c r="B65" s="77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  <c r="AI65" s="77"/>
      <c r="AJ65" s="77"/>
      <c r="AK65" s="77"/>
      <c r="AL65" s="77"/>
      <c r="AM65" s="77"/>
      <c r="AN65" s="77"/>
      <c r="AO65" s="77"/>
      <c r="AP65" s="77"/>
      <c r="AQ65" s="77"/>
      <c r="AR65" s="77"/>
      <c r="AS65" s="77"/>
      <c r="AT65" s="77"/>
      <c r="AU65" s="77"/>
      <c r="AV65" s="77"/>
      <c r="AX65" s="84">
        <v>2005</v>
      </c>
      <c r="AY65" s="84">
        <v>3</v>
      </c>
      <c r="AZ65" s="66"/>
    </row>
    <row r="66" spans="1:58" s="38" customFormat="1" ht="16.5" customHeight="1" x14ac:dyDescent="0.3">
      <c r="A66" s="77"/>
      <c r="B66" s="77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  <c r="AI66" s="77"/>
      <c r="AJ66" s="77"/>
      <c r="AK66" s="77"/>
      <c r="AL66" s="77"/>
      <c r="AM66" s="77"/>
      <c r="AN66" s="77"/>
      <c r="AO66" s="77"/>
      <c r="AP66" s="77"/>
      <c r="AQ66" s="77"/>
      <c r="AR66" s="77"/>
      <c r="AS66" s="77"/>
      <c r="AT66" s="77"/>
      <c r="AU66" s="77"/>
      <c r="AV66" s="77"/>
      <c r="AX66" s="84">
        <v>2005</v>
      </c>
      <c r="AY66" s="84">
        <v>3</v>
      </c>
      <c r="AZ66" s="66"/>
    </row>
    <row r="67" spans="1:58" s="38" customFormat="1" ht="16.5" customHeight="1" x14ac:dyDescent="0.3">
      <c r="A67" s="77"/>
      <c r="B67" s="77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  <c r="AX67" s="84">
        <v>2005</v>
      </c>
      <c r="AY67" s="84">
        <v>3</v>
      </c>
      <c r="AZ67" s="66"/>
    </row>
    <row r="68" spans="1:58" s="38" customFormat="1" ht="16.5" customHeight="1" x14ac:dyDescent="0.3">
      <c r="A68" s="77"/>
      <c r="B68" s="77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X68" s="84">
        <v>1994</v>
      </c>
      <c r="AY68" s="84">
        <v>5</v>
      </c>
      <c r="AZ68" s="84"/>
      <c r="BA68" s="75" t="s">
        <v>59</v>
      </c>
      <c r="BB68" s="85">
        <v>0</v>
      </c>
      <c r="BC68" s="85">
        <v>0</v>
      </c>
      <c r="BD68" s="85">
        <v>0</v>
      </c>
      <c r="BE68" s="85">
        <v>0</v>
      </c>
      <c r="BF68" s="85">
        <v>0</v>
      </c>
    </row>
    <row r="69" spans="1:58" s="38" customFormat="1" ht="16.5" customHeight="1" x14ac:dyDescent="0.3">
      <c r="A69" s="77"/>
      <c r="B69" s="77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77"/>
      <c r="AJ69" s="77"/>
      <c r="AK69" s="77"/>
      <c r="AL69" s="77"/>
      <c r="AM69" s="77"/>
      <c r="AN69" s="77"/>
      <c r="AO69" s="77"/>
      <c r="AP69" s="77"/>
      <c r="AQ69" s="77"/>
      <c r="AR69" s="77"/>
      <c r="AS69" s="77"/>
      <c r="AT69" s="77"/>
      <c r="AU69" s="77"/>
      <c r="AV69" s="77"/>
      <c r="AX69" s="84">
        <v>1994</v>
      </c>
      <c r="AY69" s="84">
        <v>5</v>
      </c>
      <c r="AZ69" s="84"/>
      <c r="BA69" s="75" t="s">
        <v>60</v>
      </c>
      <c r="BB69" s="85">
        <v>0</v>
      </c>
      <c r="BC69" s="85">
        <v>0</v>
      </c>
      <c r="BD69" s="85">
        <v>0</v>
      </c>
      <c r="BE69" s="85">
        <v>0</v>
      </c>
      <c r="BF69" s="85">
        <v>0</v>
      </c>
    </row>
    <row r="70" spans="1:58" s="38" customFormat="1" ht="16.5" customHeight="1" x14ac:dyDescent="0.3">
      <c r="A70" s="77"/>
      <c r="B70" s="77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X70" s="84">
        <v>1994</v>
      </c>
      <c r="AY70" s="84">
        <v>5</v>
      </c>
      <c r="AZ70" s="84"/>
      <c r="BA70" s="76" t="s">
        <v>61</v>
      </c>
      <c r="BB70" s="86">
        <v>0</v>
      </c>
      <c r="BC70" s="86">
        <v>0</v>
      </c>
      <c r="BD70" s="86">
        <v>0</v>
      </c>
      <c r="BE70" s="86">
        <v>0</v>
      </c>
      <c r="BF70" s="86">
        <v>0</v>
      </c>
    </row>
    <row r="71" spans="1:58" s="38" customFormat="1" ht="16.5" customHeight="1" x14ac:dyDescent="0.3">
      <c r="A71" s="77"/>
      <c r="B71" s="77"/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  <c r="AX71" s="84">
        <v>1995</v>
      </c>
      <c r="AY71" s="84">
        <v>8</v>
      </c>
      <c r="AZ71" s="84"/>
      <c r="BA71" s="2"/>
    </row>
    <row r="72" spans="1:58" s="38" customFormat="1" ht="16.5" customHeight="1" x14ac:dyDescent="0.3">
      <c r="A72" s="77"/>
      <c r="B72" s="77"/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X72" s="84">
        <v>1995</v>
      </c>
      <c r="AY72" s="84">
        <v>8</v>
      </c>
      <c r="AZ72" s="84"/>
      <c r="BA72" s="75"/>
      <c r="BB72" s="75" t="s">
        <v>62</v>
      </c>
      <c r="BC72" s="75" t="s">
        <v>63</v>
      </c>
      <c r="BD72" s="75" t="s">
        <v>64</v>
      </c>
      <c r="BE72" s="75" t="s">
        <v>65</v>
      </c>
      <c r="BF72" s="75" t="s">
        <v>66</v>
      </c>
    </row>
    <row r="73" spans="1:58" s="38" customFormat="1" ht="16.5" customHeight="1" x14ac:dyDescent="0.3">
      <c r="A73" s="77"/>
      <c r="B73" s="77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X73" s="84">
        <v>1994</v>
      </c>
      <c r="AY73" s="84">
        <v>12</v>
      </c>
      <c r="BA73" s="75" t="s">
        <v>59</v>
      </c>
      <c r="BB73" s="87" t="e">
        <v>#DIV/0!</v>
      </c>
      <c r="BC73" s="87" t="e">
        <v>#DIV/0!</v>
      </c>
      <c r="BD73" s="87" t="e">
        <v>#DIV/0!</v>
      </c>
      <c r="BE73" s="87" t="e">
        <v>#DIV/0!</v>
      </c>
      <c r="BF73" s="87" t="e">
        <v>#DIV/0!</v>
      </c>
    </row>
    <row r="74" spans="1:58" s="38" customFormat="1" ht="16.5" customHeight="1" x14ac:dyDescent="0.3">
      <c r="A74" s="77"/>
      <c r="B74" s="77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X74" s="84">
        <v>1993</v>
      </c>
      <c r="AY74" s="84">
        <v>6</v>
      </c>
      <c r="BA74" s="76" t="s">
        <v>61</v>
      </c>
      <c r="BB74" s="88" t="e">
        <v>#DIV/0!</v>
      </c>
      <c r="BC74" s="88" t="e">
        <v>#DIV/0!</v>
      </c>
      <c r="BD74" s="88" t="e">
        <v>#DIV/0!</v>
      </c>
      <c r="BE74" s="88" t="e">
        <v>#DIV/0!</v>
      </c>
      <c r="BF74" s="88" t="e">
        <v>#DIV/0!</v>
      </c>
    </row>
    <row r="75" spans="1:58" s="38" customFormat="1" ht="16.5" customHeight="1" x14ac:dyDescent="0.3">
      <c r="A75" s="77"/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  <c r="AX75" s="84">
        <v>1993</v>
      </c>
      <c r="AY75" s="84">
        <v>6</v>
      </c>
      <c r="BA75" s="75" t="s">
        <v>66</v>
      </c>
      <c r="BB75" s="87" t="e">
        <v>#DIV/0!</v>
      </c>
      <c r="BC75" s="87" t="e">
        <v>#DIV/0!</v>
      </c>
      <c r="BD75" s="87" t="e">
        <v>#DIV/0!</v>
      </c>
      <c r="BE75" s="87" t="e">
        <v>#DIV/0!</v>
      </c>
      <c r="BF75" s="87" t="e">
        <v>#DIV/0!</v>
      </c>
    </row>
    <row r="76" spans="1:58" s="38" customFormat="1" ht="16.5" customHeight="1" x14ac:dyDescent="0.3">
      <c r="A76" s="77"/>
      <c r="B76" s="77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X76" s="84">
        <v>2019</v>
      </c>
      <c r="AY76" s="84">
        <v>3</v>
      </c>
    </row>
    <row r="77" spans="1:58" s="38" customFormat="1" ht="16.5" customHeight="1" x14ac:dyDescent="0.3">
      <c r="A77" s="77"/>
      <c r="B77" s="77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  <c r="AM77" s="77"/>
      <c r="AN77" s="77"/>
      <c r="AO77" s="77"/>
      <c r="AP77" s="77"/>
      <c r="AQ77" s="77"/>
      <c r="AR77" s="77"/>
      <c r="AS77" s="77"/>
      <c r="AT77" s="77"/>
      <c r="AU77" s="77"/>
      <c r="AV77" s="77"/>
      <c r="AX77" s="84">
        <v>2019</v>
      </c>
      <c r="AY77" s="84">
        <v>3</v>
      </c>
    </row>
    <row r="78" spans="1:58" s="38" customFormat="1" ht="16.5" customHeight="1" x14ac:dyDescent="0.3">
      <c r="A78" s="77"/>
      <c r="B78" s="77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  <c r="AI78" s="77"/>
      <c r="AJ78" s="77"/>
      <c r="AK78" s="77"/>
      <c r="AL78" s="77"/>
      <c r="AM78" s="77"/>
      <c r="AN78" s="77"/>
      <c r="AO78" s="77"/>
      <c r="AP78" s="77"/>
      <c r="AQ78" s="77"/>
      <c r="AR78" s="77"/>
      <c r="AS78" s="77"/>
      <c r="AT78" s="77"/>
      <c r="AU78" s="77"/>
      <c r="AV78" s="77"/>
      <c r="AX78" s="84">
        <v>2019</v>
      </c>
      <c r="AY78" s="84">
        <v>3</v>
      </c>
    </row>
    <row r="79" spans="1:58" s="38" customFormat="1" ht="16.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  <c r="AI79" s="77"/>
      <c r="AJ79" s="77"/>
      <c r="AK79" s="77"/>
      <c r="AL79" s="77"/>
      <c r="AM79" s="77"/>
      <c r="AN79" s="77"/>
      <c r="AO79" s="77"/>
      <c r="AP79" s="77"/>
      <c r="AQ79" s="77"/>
      <c r="AR79" s="77"/>
      <c r="AS79" s="77"/>
      <c r="AT79" s="77"/>
      <c r="AU79" s="77"/>
      <c r="AV79" s="77"/>
      <c r="AX79" s="84">
        <v>2019</v>
      </c>
      <c r="AY79" s="84">
        <v>3</v>
      </c>
    </row>
    <row r="80" spans="1:58" s="38" customFormat="1" ht="16.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  <c r="AX80" s="84">
        <v>1993</v>
      </c>
      <c r="AY80" s="84">
        <v>8</v>
      </c>
    </row>
    <row r="81" spans="1:51" s="38" customFormat="1" ht="16.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  <c r="AI81" s="77"/>
      <c r="AJ81" s="77"/>
      <c r="AK81" s="77"/>
      <c r="AL81" s="77"/>
      <c r="AM81" s="77"/>
      <c r="AN81" s="77"/>
      <c r="AO81" s="77"/>
      <c r="AP81" s="77"/>
      <c r="AQ81" s="77"/>
      <c r="AR81" s="77"/>
      <c r="AS81" s="77"/>
      <c r="AT81" s="77"/>
      <c r="AU81" s="77"/>
      <c r="AV81" s="77"/>
      <c r="AX81" s="84">
        <v>1993</v>
      </c>
      <c r="AY81" s="84">
        <v>8</v>
      </c>
    </row>
    <row r="82" spans="1:51" s="38" customFormat="1" ht="16.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  <c r="AI82" s="77"/>
      <c r="AJ82" s="77"/>
      <c r="AK82" s="77"/>
      <c r="AL82" s="77"/>
      <c r="AM82" s="77"/>
      <c r="AN82" s="77"/>
      <c r="AO82" s="77"/>
      <c r="AP82" s="77"/>
      <c r="AQ82" s="77"/>
      <c r="AR82" s="77"/>
      <c r="AS82" s="77"/>
      <c r="AT82" s="77"/>
      <c r="AU82" s="77"/>
      <c r="AV82" s="77"/>
      <c r="AX82" s="84">
        <v>1995</v>
      </c>
      <c r="AY82" s="84">
        <v>8</v>
      </c>
    </row>
    <row r="83" spans="1:51" s="38" customFormat="1" ht="16.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  <c r="AI83" s="77"/>
      <c r="AJ83" s="77"/>
      <c r="AK83" s="77"/>
      <c r="AL83" s="77"/>
      <c r="AM83" s="77"/>
      <c r="AN83" s="77"/>
      <c r="AO83" s="77"/>
      <c r="AP83" s="77"/>
      <c r="AQ83" s="77"/>
      <c r="AR83" s="77"/>
      <c r="AS83" s="77"/>
      <c r="AT83" s="77"/>
      <c r="AU83" s="77"/>
      <c r="AV83" s="77"/>
      <c r="AX83" s="84">
        <v>1995</v>
      </c>
      <c r="AY83" s="84">
        <v>8</v>
      </c>
    </row>
    <row r="84" spans="1:51" s="38" customFormat="1" ht="16.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  <c r="AI84" s="77"/>
      <c r="AJ84" s="77"/>
      <c r="AK84" s="77"/>
      <c r="AL84" s="77"/>
      <c r="AM84" s="77"/>
      <c r="AN84" s="77"/>
      <c r="AO84" s="77"/>
      <c r="AP84" s="77"/>
      <c r="AQ84" s="77"/>
      <c r="AR84" s="77"/>
      <c r="AS84" s="77"/>
      <c r="AT84" s="77"/>
      <c r="AU84" s="77"/>
      <c r="AV84" s="77"/>
      <c r="AX84" s="84">
        <v>1993</v>
      </c>
      <c r="AY84" s="84">
        <v>4</v>
      </c>
    </row>
    <row r="85" spans="1:51" s="38" customFormat="1" ht="16.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  <c r="AI85" s="77"/>
      <c r="AJ85" s="77"/>
      <c r="AK85" s="77"/>
      <c r="AL85" s="77"/>
      <c r="AM85" s="77"/>
      <c r="AN85" s="77"/>
      <c r="AO85" s="77"/>
      <c r="AP85" s="77"/>
      <c r="AQ85" s="77"/>
      <c r="AR85" s="77"/>
      <c r="AS85" s="77"/>
      <c r="AT85" s="77"/>
      <c r="AU85" s="77"/>
      <c r="AV85" s="77"/>
      <c r="AX85" s="84">
        <v>1993</v>
      </c>
      <c r="AY85" s="84">
        <v>4</v>
      </c>
    </row>
    <row r="86" spans="1:51" s="38" customFormat="1" ht="16.5" customHeight="1" x14ac:dyDescent="0.3">
      <c r="A86" s="77"/>
      <c r="B86" s="77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  <c r="AI86" s="77"/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  <c r="AX86" s="84">
        <v>1993</v>
      </c>
      <c r="AY86" s="84">
        <v>4</v>
      </c>
    </row>
    <row r="87" spans="1:51" s="38" customFormat="1" ht="16.5" customHeight="1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  <c r="AI87" s="77"/>
      <c r="AJ87" s="77"/>
      <c r="AK87" s="77"/>
      <c r="AL87" s="77"/>
      <c r="AM87" s="77"/>
      <c r="AN87" s="77"/>
      <c r="AO87" s="77"/>
      <c r="AP87" s="77"/>
      <c r="AQ87" s="77"/>
      <c r="AR87" s="77"/>
      <c r="AS87" s="77"/>
      <c r="AT87" s="77"/>
      <c r="AU87" s="77"/>
      <c r="AV87" s="77"/>
      <c r="AX87" s="84">
        <v>2017</v>
      </c>
      <c r="AY87" s="84">
        <v>11</v>
      </c>
    </row>
    <row r="88" spans="1:51" s="38" customFormat="1" ht="16.5" customHeight="1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X88" s="84">
        <v>2017</v>
      </c>
      <c r="AY88" s="84">
        <v>11</v>
      </c>
    </row>
    <row r="89" spans="1:51" s="38" customFormat="1" ht="16.5" customHeight="1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7"/>
      <c r="AM89" s="77"/>
      <c r="AN89" s="77"/>
      <c r="AO89" s="77"/>
      <c r="AP89" s="77"/>
      <c r="AQ89" s="77"/>
      <c r="AR89" s="77"/>
      <c r="AS89" s="77"/>
      <c r="AT89" s="77"/>
      <c r="AU89" s="77"/>
      <c r="AV89" s="77"/>
      <c r="AX89" s="84">
        <v>1993</v>
      </c>
      <c r="AY89" s="84">
        <v>1</v>
      </c>
    </row>
    <row r="90" spans="1:51" s="38" customFormat="1" ht="16.5" customHeight="1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  <c r="AI90" s="77"/>
      <c r="AJ90" s="77"/>
      <c r="AK90" s="77"/>
      <c r="AL90" s="77"/>
      <c r="AM90" s="77"/>
      <c r="AN90" s="77"/>
      <c r="AO90" s="77"/>
      <c r="AP90" s="77"/>
      <c r="AQ90" s="77"/>
      <c r="AR90" s="77"/>
      <c r="AS90" s="77"/>
      <c r="AT90" s="77"/>
      <c r="AU90" s="77"/>
      <c r="AV90" s="77"/>
      <c r="AX90" s="84">
        <v>2019</v>
      </c>
      <c r="AY90" s="84">
        <v>5</v>
      </c>
    </row>
    <row r="91" spans="1:51" s="38" customFormat="1" ht="16.5" customHeight="1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  <c r="AO91" s="77"/>
      <c r="AP91" s="77"/>
      <c r="AQ91" s="77"/>
      <c r="AR91" s="77"/>
      <c r="AS91" s="77"/>
      <c r="AT91" s="77"/>
      <c r="AU91" s="77"/>
      <c r="AV91" s="77"/>
      <c r="AX91" s="84">
        <v>2019</v>
      </c>
      <c r="AY91" s="84">
        <v>5</v>
      </c>
    </row>
    <row r="92" spans="1:51" s="38" customFormat="1" ht="16.5" customHeight="1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  <c r="AO92" s="77"/>
      <c r="AP92" s="77"/>
      <c r="AQ92" s="77"/>
      <c r="AR92" s="77"/>
      <c r="AS92" s="77"/>
      <c r="AT92" s="77"/>
      <c r="AU92" s="77"/>
      <c r="AV92" s="77"/>
      <c r="AX92" s="84">
        <v>2019</v>
      </c>
      <c r="AY92" s="84">
        <v>5</v>
      </c>
    </row>
    <row r="93" spans="1:51" s="38" customFormat="1" ht="16.5" customHeight="1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  <c r="AO93" s="77"/>
      <c r="AP93" s="77"/>
      <c r="AQ93" s="77"/>
      <c r="AR93" s="77"/>
      <c r="AS93" s="77"/>
      <c r="AT93" s="77"/>
      <c r="AU93" s="77"/>
      <c r="AV93" s="77"/>
      <c r="AX93" s="84">
        <v>1994</v>
      </c>
      <c r="AY93" s="84">
        <v>12</v>
      </c>
    </row>
    <row r="94" spans="1:51" s="38" customFormat="1" ht="16.5" customHeight="1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  <c r="AO94" s="77"/>
      <c r="AP94" s="77"/>
      <c r="AQ94" s="77"/>
      <c r="AR94" s="77"/>
      <c r="AS94" s="77"/>
      <c r="AT94" s="77"/>
      <c r="AU94" s="77"/>
      <c r="AV94" s="77"/>
      <c r="AX94" s="84">
        <v>1994</v>
      </c>
      <c r="AY94" s="84">
        <v>12</v>
      </c>
    </row>
    <row r="95" spans="1:51" s="38" customFormat="1" ht="16.5" customHeight="1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  <c r="AO95" s="77"/>
      <c r="AP95" s="77"/>
      <c r="AQ95" s="77"/>
      <c r="AR95" s="77"/>
      <c r="AS95" s="77"/>
      <c r="AT95" s="77"/>
      <c r="AU95" s="77"/>
      <c r="AV95" s="77"/>
      <c r="AX95" s="84">
        <v>1994</v>
      </c>
      <c r="AY95" s="84">
        <v>12</v>
      </c>
    </row>
    <row r="96" spans="1:51" s="38" customFormat="1" ht="16.5" customHeight="1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  <c r="AO96" s="77"/>
      <c r="AP96" s="77"/>
      <c r="AQ96" s="77"/>
      <c r="AR96" s="77"/>
      <c r="AS96" s="77"/>
      <c r="AT96" s="77"/>
      <c r="AU96" s="77"/>
      <c r="AV96" s="77"/>
      <c r="AX96" s="84">
        <v>1994</v>
      </c>
      <c r="AY96" s="84">
        <v>4</v>
      </c>
    </row>
    <row r="97" spans="1:51" s="38" customFormat="1" ht="16.5" customHeight="1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  <c r="AO97" s="77"/>
      <c r="AP97" s="77"/>
      <c r="AQ97" s="77"/>
      <c r="AR97" s="77"/>
      <c r="AS97" s="77"/>
      <c r="AT97" s="77"/>
      <c r="AU97" s="77"/>
      <c r="AV97" s="77"/>
      <c r="AX97" s="84">
        <v>1994</v>
      </c>
      <c r="AY97" s="84">
        <v>4</v>
      </c>
    </row>
    <row r="98" spans="1:51" s="38" customFormat="1" ht="16.5" customHeight="1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X98" s="84">
        <v>1994</v>
      </c>
      <c r="AY98" s="84">
        <v>6</v>
      </c>
    </row>
    <row r="99" spans="1:51" s="38" customFormat="1" ht="16.5" customHeight="1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  <c r="AO99" s="77"/>
      <c r="AP99" s="77"/>
      <c r="AQ99" s="77"/>
      <c r="AR99" s="77"/>
      <c r="AS99" s="77"/>
      <c r="AT99" s="77"/>
      <c r="AU99" s="77"/>
      <c r="AV99" s="77"/>
      <c r="AX99" s="84">
        <v>1994</v>
      </c>
      <c r="AY99" s="84">
        <v>6</v>
      </c>
    </row>
    <row r="100" spans="1:51" s="38" customFormat="1" ht="16.5" customHeight="1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  <c r="AO100" s="77"/>
      <c r="AP100" s="77"/>
      <c r="AQ100" s="77"/>
      <c r="AR100" s="77"/>
      <c r="AS100" s="77"/>
      <c r="AT100" s="77"/>
      <c r="AU100" s="77"/>
      <c r="AV100" s="77"/>
      <c r="AX100" s="84">
        <v>1994</v>
      </c>
      <c r="AY100" s="84">
        <v>6</v>
      </c>
    </row>
    <row r="101" spans="1:51" s="38" customFormat="1" ht="16.5" customHeight="1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  <c r="AO101" s="77"/>
      <c r="AP101" s="77"/>
      <c r="AQ101" s="77"/>
      <c r="AR101" s="77"/>
      <c r="AS101" s="77"/>
      <c r="AT101" s="77"/>
      <c r="AU101" s="77"/>
      <c r="AV101" s="77"/>
      <c r="AX101" s="84">
        <v>1994</v>
      </c>
      <c r="AY101" s="84">
        <v>6</v>
      </c>
    </row>
    <row r="102" spans="1:51" s="38" customFormat="1" ht="16.5" customHeight="1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  <c r="AO102" s="77"/>
      <c r="AP102" s="77"/>
      <c r="AQ102" s="77"/>
      <c r="AR102" s="77"/>
      <c r="AS102" s="77"/>
      <c r="AT102" s="77"/>
      <c r="AU102" s="77"/>
      <c r="AV102" s="77"/>
      <c r="AX102" s="84">
        <v>1993</v>
      </c>
      <c r="AY102" s="84">
        <v>12</v>
      </c>
    </row>
    <row r="103" spans="1:51" s="38" customFormat="1" ht="16.5" customHeight="1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  <c r="AO103" s="77"/>
      <c r="AP103" s="77"/>
      <c r="AQ103" s="77"/>
      <c r="AR103" s="77"/>
      <c r="AS103" s="77"/>
      <c r="AT103" s="77"/>
      <c r="AU103" s="77"/>
      <c r="AV103" s="77"/>
      <c r="AX103" s="84">
        <v>1993</v>
      </c>
      <c r="AY103" s="84">
        <v>7</v>
      </c>
    </row>
    <row r="104" spans="1:51" s="38" customFormat="1" ht="16.5" customHeight="1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  <c r="AI104" s="77"/>
      <c r="AJ104" s="77"/>
      <c r="AK104" s="77"/>
      <c r="AL104" s="77"/>
      <c r="AM104" s="77"/>
      <c r="AN104" s="77"/>
      <c r="AO104" s="77"/>
      <c r="AP104" s="77"/>
      <c r="AQ104" s="77"/>
      <c r="AR104" s="77"/>
      <c r="AS104" s="77"/>
      <c r="AT104" s="77"/>
      <c r="AU104" s="77"/>
      <c r="AV104" s="77"/>
      <c r="AX104" s="84">
        <v>1994</v>
      </c>
      <c r="AY104" s="84">
        <v>4</v>
      </c>
    </row>
    <row r="105" spans="1:51" s="38" customFormat="1" ht="16.5" customHeight="1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  <c r="AI105" s="77"/>
      <c r="AJ105" s="77"/>
      <c r="AK105" s="77"/>
      <c r="AL105" s="77"/>
      <c r="AM105" s="77"/>
      <c r="AN105" s="77"/>
      <c r="AO105" s="77"/>
      <c r="AP105" s="77"/>
      <c r="AQ105" s="77"/>
      <c r="AR105" s="77"/>
      <c r="AS105" s="77"/>
      <c r="AT105" s="77"/>
      <c r="AU105" s="77"/>
      <c r="AV105" s="77"/>
      <c r="AX105" s="84">
        <v>1993</v>
      </c>
      <c r="AY105" s="84">
        <v>12</v>
      </c>
    </row>
    <row r="106" spans="1:51" s="38" customFormat="1" ht="16.5" customHeight="1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  <c r="AI106" s="77"/>
      <c r="AJ106" s="77"/>
      <c r="AK106" s="77"/>
      <c r="AL106" s="77"/>
      <c r="AM106" s="77"/>
      <c r="AN106" s="77"/>
      <c r="AO106" s="77"/>
      <c r="AP106" s="77"/>
      <c r="AQ106" s="77"/>
      <c r="AR106" s="77"/>
      <c r="AS106" s="77"/>
      <c r="AT106" s="77"/>
      <c r="AU106" s="77"/>
      <c r="AV106" s="77"/>
      <c r="AX106" s="84">
        <v>1993</v>
      </c>
      <c r="AY106" s="84">
        <v>12</v>
      </c>
    </row>
    <row r="107" spans="1:51" s="38" customFormat="1" ht="16.5" customHeight="1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  <c r="AI107" s="77"/>
      <c r="AJ107" s="77"/>
      <c r="AK107" s="77"/>
      <c r="AL107" s="77"/>
      <c r="AM107" s="77"/>
      <c r="AN107" s="77"/>
      <c r="AO107" s="77"/>
      <c r="AP107" s="77"/>
      <c r="AQ107" s="77"/>
      <c r="AR107" s="77"/>
      <c r="AS107" s="77"/>
      <c r="AT107" s="77"/>
      <c r="AU107" s="77"/>
      <c r="AV107" s="77"/>
      <c r="AX107" s="84">
        <v>1994</v>
      </c>
      <c r="AY107" s="84">
        <v>5</v>
      </c>
    </row>
    <row r="108" spans="1:51" s="38" customFormat="1" ht="16.5" customHeight="1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  <c r="AI108" s="77"/>
      <c r="AJ108" s="77"/>
      <c r="AK108" s="77"/>
      <c r="AL108" s="77"/>
      <c r="AM108" s="77"/>
      <c r="AN108" s="77"/>
      <c r="AO108" s="77"/>
      <c r="AP108" s="77"/>
      <c r="AQ108" s="77"/>
      <c r="AR108" s="77"/>
      <c r="AS108" s="77"/>
      <c r="AT108" s="77"/>
      <c r="AU108" s="77"/>
      <c r="AV108" s="77"/>
      <c r="AX108" s="84">
        <v>2019</v>
      </c>
      <c r="AY108" s="84">
        <v>4</v>
      </c>
    </row>
    <row r="109" spans="1:51" s="38" customFormat="1" ht="16.5" customHeight="1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  <c r="AI109" s="77"/>
      <c r="AJ109" s="77"/>
      <c r="AK109" s="77"/>
      <c r="AL109" s="77"/>
      <c r="AM109" s="77"/>
      <c r="AN109" s="77"/>
      <c r="AO109" s="77"/>
      <c r="AP109" s="77"/>
      <c r="AQ109" s="77"/>
      <c r="AR109" s="77"/>
      <c r="AS109" s="77"/>
      <c r="AT109" s="77"/>
      <c r="AU109" s="77"/>
      <c r="AV109" s="77"/>
      <c r="AX109" s="84">
        <v>1993</v>
      </c>
      <c r="AY109" s="84">
        <v>8</v>
      </c>
    </row>
    <row r="110" spans="1:51" s="38" customFormat="1" ht="16.5" customHeight="1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  <c r="AI110" s="77"/>
      <c r="AJ110" s="77"/>
      <c r="AK110" s="77"/>
      <c r="AL110" s="77"/>
      <c r="AM110" s="77"/>
      <c r="AN110" s="77"/>
      <c r="AO110" s="77"/>
      <c r="AP110" s="77"/>
      <c r="AQ110" s="77"/>
      <c r="AR110" s="77"/>
      <c r="AS110" s="77"/>
      <c r="AT110" s="77"/>
      <c r="AU110" s="77"/>
      <c r="AV110" s="77"/>
      <c r="AX110" s="84">
        <v>1993</v>
      </c>
      <c r="AY110" s="84">
        <v>8</v>
      </c>
    </row>
    <row r="111" spans="1:51" s="38" customFormat="1" ht="16.5" customHeight="1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  <c r="AI111" s="77"/>
      <c r="AJ111" s="77"/>
      <c r="AK111" s="77"/>
      <c r="AL111" s="77"/>
      <c r="AM111" s="77"/>
      <c r="AN111" s="77"/>
      <c r="AO111" s="77"/>
      <c r="AP111" s="77"/>
      <c r="AQ111" s="77"/>
      <c r="AR111" s="77"/>
      <c r="AS111" s="77"/>
      <c r="AT111" s="77"/>
      <c r="AU111" s="77"/>
      <c r="AV111" s="77"/>
      <c r="AX111" s="84">
        <v>2019</v>
      </c>
      <c r="AY111" s="84">
        <v>3</v>
      </c>
    </row>
    <row r="112" spans="1:51" s="38" customFormat="1" ht="16.5" customHeight="1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  <c r="AI112" s="77"/>
      <c r="AJ112" s="77"/>
      <c r="AK112" s="77"/>
      <c r="AL112" s="77"/>
      <c r="AM112" s="77"/>
      <c r="AN112" s="77"/>
      <c r="AO112" s="77"/>
      <c r="AP112" s="77"/>
      <c r="AQ112" s="77"/>
      <c r="AR112" s="77"/>
      <c r="AS112" s="77"/>
      <c r="AT112" s="77"/>
      <c r="AU112" s="77"/>
      <c r="AV112" s="77"/>
      <c r="AX112" s="84">
        <v>2019</v>
      </c>
      <c r="AY112" s="84">
        <v>3</v>
      </c>
    </row>
    <row r="113" spans="1:58" s="38" customFormat="1" ht="16.5" customHeight="1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  <c r="AI113" s="77"/>
      <c r="AJ113" s="77"/>
      <c r="AK113" s="77"/>
      <c r="AL113" s="77"/>
      <c r="AM113" s="77"/>
      <c r="AN113" s="77"/>
      <c r="AO113" s="77"/>
      <c r="AP113" s="77"/>
      <c r="AQ113" s="77"/>
      <c r="AR113" s="77"/>
      <c r="AS113" s="77"/>
      <c r="AT113" s="77"/>
      <c r="AU113" s="77"/>
      <c r="AV113" s="77"/>
      <c r="AX113" s="84">
        <v>1994</v>
      </c>
      <c r="AY113" s="84">
        <v>9</v>
      </c>
    </row>
    <row r="114" spans="1:58" s="38" customFormat="1" ht="16.5" customHeight="1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  <c r="AI114" s="77"/>
      <c r="AJ114" s="77"/>
      <c r="AK114" s="77"/>
      <c r="AL114" s="77"/>
      <c r="AM114" s="77"/>
      <c r="AN114" s="77"/>
      <c r="AO114" s="77"/>
      <c r="AP114" s="77"/>
      <c r="AQ114" s="77"/>
      <c r="AR114" s="77"/>
      <c r="AS114" s="77"/>
      <c r="AT114" s="77"/>
      <c r="AU114" s="77"/>
      <c r="AV114" s="77"/>
      <c r="AX114" s="84">
        <v>1994</v>
      </c>
      <c r="AY114" s="84">
        <v>9</v>
      </c>
    </row>
    <row r="115" spans="1:58" s="38" customFormat="1" ht="16.5" customHeight="1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  <c r="AI115" s="77"/>
      <c r="AJ115" s="77"/>
      <c r="AK115" s="77"/>
      <c r="AL115" s="77"/>
      <c r="AM115" s="77"/>
      <c r="AN115" s="77"/>
      <c r="AO115" s="77"/>
      <c r="AP115" s="77"/>
      <c r="AQ115" s="77"/>
      <c r="AR115" s="77"/>
      <c r="AS115" s="77"/>
      <c r="AT115" s="77"/>
      <c r="AU115" s="77"/>
      <c r="AV115" s="77"/>
      <c r="AX115" s="84">
        <v>2019</v>
      </c>
      <c r="AY115" s="84">
        <v>9</v>
      </c>
    </row>
    <row r="116" spans="1:58" s="38" customFormat="1" ht="16.5" customHeight="1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  <c r="AI116" s="77"/>
      <c r="AJ116" s="77"/>
      <c r="AK116" s="77"/>
      <c r="AL116" s="77"/>
      <c r="AM116" s="77"/>
      <c r="AN116" s="77"/>
      <c r="AO116" s="77"/>
      <c r="AP116" s="77"/>
      <c r="AQ116" s="77"/>
      <c r="AR116" s="77"/>
      <c r="AS116" s="77"/>
      <c r="AT116" s="77"/>
      <c r="AU116" s="77"/>
      <c r="AV116" s="77"/>
      <c r="AX116" s="84">
        <v>1992</v>
      </c>
      <c r="AY116" s="84">
        <v>1</v>
      </c>
      <c r="AZ116" s="84"/>
      <c r="BA116" s="75" t="s">
        <v>59</v>
      </c>
      <c r="BB116" s="85">
        <v>0</v>
      </c>
      <c r="BC116" s="85">
        <v>0</v>
      </c>
      <c r="BD116" s="85">
        <v>0</v>
      </c>
      <c r="BE116" s="85">
        <v>0</v>
      </c>
      <c r="BF116" s="85">
        <v>0</v>
      </c>
    </row>
    <row r="117" spans="1:58" s="38" customFormat="1" ht="16.5" customHeight="1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  <c r="AI117" s="77"/>
      <c r="AJ117" s="77"/>
      <c r="AK117" s="77"/>
      <c r="AL117" s="77"/>
      <c r="AM117" s="77"/>
      <c r="AN117" s="77"/>
      <c r="AO117" s="77"/>
      <c r="AP117" s="77"/>
      <c r="AQ117" s="77"/>
      <c r="AR117" s="77"/>
      <c r="AS117" s="77"/>
      <c r="AT117" s="77"/>
      <c r="AU117" s="77"/>
      <c r="AV117" s="77"/>
      <c r="AX117" s="84">
        <v>1992</v>
      </c>
      <c r="AY117" s="84">
        <v>1</v>
      </c>
      <c r="AZ117" s="84"/>
      <c r="BA117" s="75" t="s">
        <v>60</v>
      </c>
      <c r="BB117" s="85">
        <v>0</v>
      </c>
      <c r="BC117" s="85">
        <v>0</v>
      </c>
      <c r="BD117" s="85">
        <v>0</v>
      </c>
      <c r="BE117" s="85">
        <v>0</v>
      </c>
      <c r="BF117" s="85">
        <v>0</v>
      </c>
    </row>
    <row r="118" spans="1:58" s="38" customFormat="1" ht="16.5" customHeight="1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  <c r="AI118" s="77"/>
      <c r="AJ118" s="77"/>
      <c r="AK118" s="77"/>
      <c r="AL118" s="77"/>
      <c r="AM118" s="77"/>
      <c r="AN118" s="77"/>
      <c r="AO118" s="77"/>
      <c r="AP118" s="77"/>
      <c r="AQ118" s="77"/>
      <c r="AR118" s="77"/>
      <c r="AS118" s="77"/>
      <c r="AT118" s="77"/>
      <c r="AU118" s="77"/>
      <c r="AV118" s="77"/>
      <c r="AX118" s="84">
        <v>1993</v>
      </c>
      <c r="AY118" s="84">
        <v>1</v>
      </c>
      <c r="AZ118" s="84"/>
      <c r="BA118" s="75" t="s">
        <v>66</v>
      </c>
      <c r="BB118" s="85">
        <v>0</v>
      </c>
      <c r="BC118" s="85">
        <v>0</v>
      </c>
      <c r="BD118" s="85">
        <v>0</v>
      </c>
      <c r="BE118" s="85">
        <v>0</v>
      </c>
      <c r="BF118" s="85">
        <v>0</v>
      </c>
    </row>
    <row r="119" spans="1:58" s="38" customFormat="1" ht="16.5" customHeight="1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  <c r="AI119" s="77"/>
      <c r="AJ119" s="77"/>
      <c r="AK119" s="77"/>
      <c r="AL119" s="77"/>
      <c r="AM119" s="77"/>
      <c r="AN119" s="77"/>
      <c r="AO119" s="77"/>
      <c r="AP119" s="77"/>
      <c r="AQ119" s="77"/>
      <c r="AR119" s="77"/>
      <c r="AS119" s="77"/>
      <c r="AT119" s="77"/>
      <c r="AU119" s="77"/>
      <c r="AV119" s="77"/>
      <c r="AX119" s="84">
        <v>1993</v>
      </c>
      <c r="AY119" s="84">
        <v>1</v>
      </c>
      <c r="AZ119" s="84"/>
      <c r="BA119" s="2"/>
    </row>
    <row r="120" spans="1:58" s="38" customFormat="1" ht="16.5" customHeight="1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  <c r="AI120" s="77"/>
      <c r="AJ120" s="77"/>
      <c r="AK120" s="77"/>
      <c r="AL120" s="77"/>
      <c r="AM120" s="77"/>
      <c r="AN120" s="77"/>
      <c r="AO120" s="77"/>
      <c r="AP120" s="77"/>
      <c r="AQ120" s="77"/>
      <c r="AR120" s="77"/>
      <c r="AS120" s="77"/>
      <c r="AT120" s="77"/>
      <c r="AU120" s="77"/>
      <c r="AV120" s="77"/>
      <c r="AX120" s="84">
        <v>1993</v>
      </c>
      <c r="AY120" s="84">
        <v>1</v>
      </c>
      <c r="AZ120" s="84"/>
      <c r="BA120" s="75"/>
      <c r="BB120" s="75" t="s">
        <v>62</v>
      </c>
      <c r="BC120" s="75" t="s">
        <v>63</v>
      </c>
      <c r="BD120" s="75" t="s">
        <v>64</v>
      </c>
      <c r="BE120" s="75" t="s">
        <v>65</v>
      </c>
      <c r="BF120" s="75" t="s">
        <v>66</v>
      </c>
    </row>
    <row r="121" spans="1:58" s="38" customFormat="1" ht="16.5" customHeight="1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  <c r="AI121" s="77"/>
      <c r="AJ121" s="77"/>
      <c r="AK121" s="77"/>
      <c r="AL121" s="77"/>
      <c r="AM121" s="77"/>
      <c r="AN121" s="77"/>
      <c r="AO121" s="77"/>
      <c r="AP121" s="77"/>
      <c r="AQ121" s="77"/>
      <c r="AR121" s="77"/>
      <c r="AS121" s="77"/>
      <c r="AT121" s="77"/>
      <c r="AU121" s="77"/>
      <c r="AV121" s="77"/>
      <c r="AX121" s="84">
        <v>1995</v>
      </c>
      <c r="AY121" s="84">
        <v>8</v>
      </c>
      <c r="BA121" s="75" t="s">
        <v>59</v>
      </c>
      <c r="BB121" s="87" t="e">
        <v>#DIV/0!</v>
      </c>
      <c r="BC121" s="87" t="e">
        <v>#DIV/0!</v>
      </c>
      <c r="BD121" s="87" t="e">
        <v>#DIV/0!</v>
      </c>
      <c r="BE121" s="87" t="e">
        <v>#DIV/0!</v>
      </c>
      <c r="BF121" s="87" t="e">
        <v>#DIV/0!</v>
      </c>
    </row>
    <row r="122" spans="1:58" s="38" customFormat="1" ht="16.5" customHeight="1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  <c r="AI122" s="77"/>
      <c r="AJ122" s="77"/>
      <c r="AK122" s="77"/>
      <c r="AL122" s="77"/>
      <c r="AM122" s="77"/>
      <c r="AN122" s="77"/>
      <c r="AO122" s="77"/>
      <c r="AP122" s="77"/>
      <c r="AQ122" s="77"/>
      <c r="AR122" s="77"/>
      <c r="AS122" s="77"/>
      <c r="AT122" s="77"/>
      <c r="AU122" s="77"/>
      <c r="AV122" s="77"/>
      <c r="AX122" s="84">
        <v>1995</v>
      </c>
      <c r="AY122" s="84">
        <v>8</v>
      </c>
      <c r="BA122" s="75" t="s">
        <v>60</v>
      </c>
      <c r="BB122" s="87" t="e">
        <v>#DIV/0!</v>
      </c>
      <c r="BC122" s="87" t="e">
        <v>#DIV/0!</v>
      </c>
      <c r="BD122" s="87" t="e">
        <v>#DIV/0!</v>
      </c>
      <c r="BE122" s="87" t="e">
        <v>#DIV/0!</v>
      </c>
      <c r="BF122" s="87" t="e">
        <v>#DIV/0!</v>
      </c>
    </row>
    <row r="123" spans="1:58" s="38" customFormat="1" ht="16.5" customHeight="1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  <c r="AI123" s="77"/>
      <c r="AJ123" s="77"/>
      <c r="AK123" s="77"/>
      <c r="AL123" s="77"/>
      <c r="AM123" s="77"/>
      <c r="AN123" s="77"/>
      <c r="AO123" s="77"/>
      <c r="AP123" s="77"/>
      <c r="AQ123" s="77"/>
      <c r="AR123" s="77"/>
      <c r="AS123" s="77"/>
      <c r="AT123" s="77"/>
      <c r="AU123" s="77"/>
      <c r="AV123" s="77"/>
      <c r="AX123" s="84">
        <v>1992</v>
      </c>
      <c r="AY123" s="84">
        <v>5</v>
      </c>
      <c r="BA123" s="75" t="s">
        <v>66</v>
      </c>
      <c r="BB123" s="87" t="e">
        <v>#DIV/0!</v>
      </c>
      <c r="BC123" s="87" t="e">
        <v>#DIV/0!</v>
      </c>
      <c r="BD123" s="87" t="e">
        <v>#DIV/0!</v>
      </c>
      <c r="BE123" s="87" t="e">
        <v>#DIV/0!</v>
      </c>
      <c r="BF123" s="87" t="e">
        <v>#DIV/0!</v>
      </c>
    </row>
    <row r="124" spans="1:58" s="38" customFormat="1" ht="16.5" customHeight="1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  <c r="AI124" s="77"/>
      <c r="AJ124" s="77"/>
      <c r="AK124" s="77"/>
      <c r="AL124" s="77"/>
      <c r="AM124" s="77"/>
      <c r="AN124" s="77"/>
      <c r="AO124" s="77"/>
      <c r="AP124" s="77"/>
      <c r="AQ124" s="77"/>
      <c r="AR124" s="77"/>
      <c r="AS124" s="77"/>
      <c r="AT124" s="77"/>
      <c r="AU124" s="77"/>
      <c r="AV124" s="77"/>
      <c r="AX124" s="84">
        <v>1992</v>
      </c>
      <c r="AY124" s="84">
        <v>5</v>
      </c>
    </row>
    <row r="125" spans="1:58" s="38" customFormat="1" ht="16.5" customHeight="1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  <c r="AI125" s="77"/>
      <c r="AJ125" s="77"/>
      <c r="AK125" s="77"/>
      <c r="AL125" s="77"/>
      <c r="AM125" s="77"/>
      <c r="AN125" s="77"/>
      <c r="AO125" s="77"/>
      <c r="AP125" s="77"/>
      <c r="AQ125" s="77"/>
      <c r="AR125" s="77"/>
      <c r="AS125" s="77"/>
      <c r="AT125" s="77"/>
      <c r="AU125" s="77"/>
      <c r="AV125" s="77"/>
      <c r="AX125" s="84">
        <v>1992</v>
      </c>
      <c r="AY125" s="84">
        <v>5</v>
      </c>
    </row>
    <row r="126" spans="1:58" s="38" customFormat="1" ht="16.5" customHeight="1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  <c r="AI126" s="77"/>
      <c r="AJ126" s="77"/>
      <c r="AK126" s="77"/>
      <c r="AL126" s="77"/>
      <c r="AM126" s="77"/>
      <c r="AN126" s="77"/>
      <c r="AO126" s="77"/>
      <c r="AP126" s="77"/>
      <c r="AQ126" s="77"/>
      <c r="AR126" s="77"/>
      <c r="AS126" s="77"/>
      <c r="AT126" s="77"/>
      <c r="AU126" s="77"/>
      <c r="AV126" s="77"/>
      <c r="AX126" s="84">
        <v>1991</v>
      </c>
      <c r="AY126" s="84">
        <v>6</v>
      </c>
    </row>
    <row r="127" spans="1:58" s="38" customFormat="1" ht="16.5" customHeight="1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  <c r="AI127" s="77"/>
      <c r="AJ127" s="77"/>
      <c r="AK127" s="77"/>
      <c r="AL127" s="77"/>
      <c r="AM127" s="77"/>
      <c r="AN127" s="77"/>
      <c r="AO127" s="77"/>
      <c r="AP127" s="77"/>
      <c r="AQ127" s="77"/>
      <c r="AR127" s="77"/>
      <c r="AS127" s="77"/>
      <c r="AT127" s="77"/>
      <c r="AU127" s="77"/>
      <c r="AV127" s="77"/>
      <c r="AX127" s="84">
        <v>1991</v>
      </c>
      <c r="AY127" s="84">
        <v>6</v>
      </c>
    </row>
    <row r="128" spans="1:58" s="38" customFormat="1" ht="16.5" customHeight="1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77"/>
      <c r="AJ128" s="77"/>
      <c r="AK128" s="77"/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X128" s="84">
        <v>1991</v>
      </c>
      <c r="AY128" s="84">
        <v>6</v>
      </c>
    </row>
    <row r="129" spans="1:58" s="38" customFormat="1" ht="16.5" customHeight="1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  <c r="AI129" s="77"/>
      <c r="AJ129" s="77"/>
      <c r="AK129" s="77"/>
      <c r="AL129" s="77"/>
      <c r="AM129" s="77"/>
      <c r="AN129" s="77"/>
      <c r="AO129" s="77"/>
      <c r="AP129" s="77"/>
      <c r="AQ129" s="77"/>
      <c r="AR129" s="77"/>
      <c r="AS129" s="77"/>
      <c r="AT129" s="77"/>
      <c r="AU129" s="77"/>
      <c r="AV129" s="77"/>
      <c r="AX129" s="84">
        <v>1991</v>
      </c>
      <c r="AY129" s="84">
        <v>6</v>
      </c>
    </row>
    <row r="130" spans="1:58" s="38" customFormat="1" ht="16.5" customHeight="1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  <c r="AI130" s="77"/>
      <c r="AJ130" s="77"/>
      <c r="AK130" s="77"/>
      <c r="AL130" s="77"/>
      <c r="AM130" s="77"/>
      <c r="AN130" s="77"/>
      <c r="AO130" s="77"/>
      <c r="AP130" s="77"/>
      <c r="AQ130" s="77"/>
      <c r="AR130" s="77"/>
      <c r="AS130" s="77"/>
      <c r="AT130" s="77"/>
      <c r="AU130" s="77"/>
      <c r="AV130" s="77"/>
      <c r="AX130" s="84">
        <v>1991</v>
      </c>
      <c r="AY130" s="84">
        <v>6</v>
      </c>
    </row>
    <row r="131" spans="1:58" s="38" customFormat="1" ht="16.5" customHeight="1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  <c r="AI131" s="77"/>
      <c r="AJ131" s="77"/>
      <c r="AK131" s="77"/>
      <c r="AL131" s="77"/>
      <c r="AM131" s="77"/>
      <c r="AN131" s="77"/>
      <c r="AO131" s="77"/>
      <c r="AP131" s="77"/>
      <c r="AQ131" s="77"/>
      <c r="AR131" s="77"/>
      <c r="AS131" s="77"/>
      <c r="AT131" s="77"/>
      <c r="AU131" s="77"/>
      <c r="AV131" s="77"/>
      <c r="AX131" s="84">
        <v>1991</v>
      </c>
      <c r="AY131" s="84">
        <v>6</v>
      </c>
    </row>
    <row r="132" spans="1:58" s="38" customFormat="1" ht="16.5" customHeight="1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  <c r="AI132" s="77"/>
      <c r="AJ132" s="77"/>
      <c r="AK132" s="77"/>
      <c r="AL132" s="77"/>
      <c r="AM132" s="77"/>
      <c r="AN132" s="77"/>
      <c r="AO132" s="77"/>
      <c r="AP132" s="77"/>
      <c r="AQ132" s="77"/>
      <c r="AR132" s="77"/>
      <c r="AS132" s="77"/>
      <c r="AT132" s="77"/>
      <c r="AU132" s="77"/>
      <c r="AV132" s="77"/>
      <c r="AX132" s="84">
        <v>1995</v>
      </c>
      <c r="AY132" s="84">
        <v>4</v>
      </c>
      <c r="AZ132" s="84"/>
      <c r="BA132" s="75" t="s">
        <v>59</v>
      </c>
      <c r="BB132" s="85">
        <v>0</v>
      </c>
      <c r="BC132" s="85">
        <v>0</v>
      </c>
      <c r="BD132" s="85">
        <v>0</v>
      </c>
      <c r="BE132" s="85">
        <v>0</v>
      </c>
      <c r="BF132" s="85">
        <v>0</v>
      </c>
    </row>
    <row r="133" spans="1:58" s="38" customFormat="1" ht="16.5" customHeight="1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  <c r="AI133" s="77"/>
      <c r="AJ133" s="77"/>
      <c r="AK133" s="77"/>
      <c r="AL133" s="77"/>
      <c r="AM133" s="77"/>
      <c r="AN133" s="77"/>
      <c r="AO133" s="77"/>
      <c r="AP133" s="77"/>
      <c r="AQ133" s="77"/>
      <c r="AR133" s="77"/>
      <c r="AS133" s="77"/>
      <c r="AT133" s="77"/>
      <c r="AU133" s="77"/>
      <c r="AV133" s="77"/>
      <c r="AX133" s="84">
        <v>1995</v>
      </c>
      <c r="AY133" s="84">
        <v>4</v>
      </c>
      <c r="AZ133" s="84"/>
      <c r="BA133" s="75" t="s">
        <v>60</v>
      </c>
      <c r="BB133" s="85">
        <v>0</v>
      </c>
      <c r="BC133" s="85">
        <v>0</v>
      </c>
      <c r="BD133" s="85">
        <v>0</v>
      </c>
      <c r="BE133" s="85">
        <v>0</v>
      </c>
      <c r="BF133" s="85">
        <v>0</v>
      </c>
    </row>
    <row r="134" spans="1:58" s="38" customFormat="1" ht="16.5" customHeight="1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  <c r="AI134" s="77"/>
      <c r="AJ134" s="77"/>
      <c r="AK134" s="77"/>
      <c r="AL134" s="77"/>
      <c r="AM134" s="77"/>
      <c r="AN134" s="77"/>
      <c r="AO134" s="77"/>
      <c r="AP134" s="77"/>
      <c r="AQ134" s="77"/>
      <c r="AR134" s="77"/>
      <c r="AS134" s="77"/>
      <c r="AT134" s="77"/>
      <c r="AU134" s="77"/>
      <c r="AV134" s="77"/>
      <c r="AX134" s="84">
        <v>1995</v>
      </c>
      <c r="AY134" s="84">
        <v>4</v>
      </c>
      <c r="AZ134" s="84"/>
      <c r="BA134" s="76" t="s">
        <v>61</v>
      </c>
      <c r="BB134" s="86">
        <v>0</v>
      </c>
      <c r="BC134" s="86">
        <v>0</v>
      </c>
      <c r="BD134" s="86">
        <v>0</v>
      </c>
      <c r="BE134" s="86">
        <v>0</v>
      </c>
      <c r="BF134" s="86">
        <v>0</v>
      </c>
    </row>
    <row r="135" spans="1:58" s="38" customFormat="1" ht="16.5" customHeight="1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  <c r="AI135" s="77"/>
      <c r="AJ135" s="77"/>
      <c r="AK135" s="77"/>
      <c r="AL135" s="77"/>
      <c r="AM135" s="77"/>
      <c r="AN135" s="77"/>
      <c r="AO135" s="77"/>
      <c r="AP135" s="77"/>
      <c r="AQ135" s="77"/>
      <c r="AR135" s="77"/>
      <c r="AS135" s="77"/>
      <c r="AT135" s="77"/>
      <c r="AU135" s="77"/>
      <c r="AV135" s="77"/>
      <c r="AX135" s="84">
        <v>1993</v>
      </c>
      <c r="AY135" s="84">
        <v>5</v>
      </c>
      <c r="AZ135" s="84"/>
      <c r="BA135" s="2"/>
    </row>
    <row r="136" spans="1:58" s="38" customFormat="1" ht="16.5" customHeight="1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  <c r="AI136" s="77"/>
      <c r="AJ136" s="77"/>
      <c r="AK136" s="77"/>
      <c r="AL136" s="77"/>
      <c r="AM136" s="77"/>
      <c r="AN136" s="77"/>
      <c r="AO136" s="77"/>
      <c r="AP136" s="77"/>
      <c r="AQ136" s="77"/>
      <c r="AR136" s="77"/>
      <c r="AS136" s="77"/>
      <c r="AT136" s="77"/>
      <c r="AU136" s="77"/>
      <c r="AV136" s="77"/>
      <c r="AX136" s="84">
        <v>1993</v>
      </c>
      <c r="AY136" s="84">
        <v>11</v>
      </c>
      <c r="AZ136" s="84"/>
      <c r="BA136" s="75" t="s">
        <v>67</v>
      </c>
      <c r="BB136" s="87" t="e">
        <v>#DIV/0!</v>
      </c>
      <c r="BC136" s="87" t="e">
        <v>#DIV/0!</v>
      </c>
      <c r="BD136" s="87" t="e">
        <v>#DIV/0!</v>
      </c>
      <c r="BE136" s="87" t="e">
        <v>#DIV/0!</v>
      </c>
      <c r="BF136" s="87" t="e">
        <v>#DIV/0!</v>
      </c>
    </row>
    <row r="137" spans="1:58" s="38" customFormat="1" ht="16.5" customHeight="1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  <c r="AI137" s="77"/>
      <c r="AJ137" s="77"/>
      <c r="AK137" s="77"/>
      <c r="AL137" s="77"/>
      <c r="AM137" s="77"/>
      <c r="AN137" s="77"/>
      <c r="AO137" s="77"/>
      <c r="AP137" s="77"/>
      <c r="AQ137" s="77"/>
      <c r="AR137" s="77"/>
      <c r="AS137" s="77"/>
      <c r="AT137" s="77"/>
      <c r="AU137" s="77"/>
      <c r="AV137" s="77"/>
      <c r="AX137" s="84">
        <v>1994</v>
      </c>
      <c r="AY137" s="84">
        <v>9</v>
      </c>
      <c r="BA137" s="75" t="s">
        <v>60</v>
      </c>
      <c r="BB137" s="87" t="e">
        <v>#DIV/0!</v>
      </c>
      <c r="BC137" s="87" t="e">
        <v>#DIV/0!</v>
      </c>
      <c r="BD137" s="87" t="e">
        <v>#DIV/0!</v>
      </c>
      <c r="BE137" s="87" t="e">
        <v>#DIV/0!</v>
      </c>
      <c r="BF137" s="87" t="e">
        <v>#DIV/0!</v>
      </c>
    </row>
    <row r="138" spans="1:58" s="38" customFormat="1" ht="16.5" customHeight="1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  <c r="AI138" s="77"/>
      <c r="AJ138" s="77"/>
      <c r="AK138" s="77"/>
      <c r="AL138" s="77"/>
      <c r="AM138" s="77"/>
      <c r="AN138" s="77"/>
      <c r="AO138" s="77"/>
      <c r="AP138" s="77"/>
      <c r="AQ138" s="77"/>
      <c r="AR138" s="77"/>
      <c r="AS138" s="77"/>
      <c r="AT138" s="77"/>
      <c r="AU138" s="77"/>
      <c r="AV138" s="77"/>
      <c r="AX138" s="84">
        <v>1994</v>
      </c>
      <c r="AY138" s="84">
        <v>9</v>
      </c>
      <c r="BA138" s="75" t="s">
        <v>66</v>
      </c>
      <c r="BB138" s="87" t="e">
        <v>#DIV/0!</v>
      </c>
      <c r="BC138" s="87" t="e">
        <v>#DIV/0!</v>
      </c>
      <c r="BD138" s="87" t="e">
        <v>#DIV/0!</v>
      </c>
      <c r="BE138" s="87" t="e">
        <v>#DIV/0!</v>
      </c>
      <c r="BF138" s="87" t="e">
        <v>#DIV/0!</v>
      </c>
    </row>
    <row r="139" spans="1:58" s="38" customFormat="1" ht="16.5" customHeight="1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  <c r="AI139" s="77"/>
      <c r="AJ139" s="77"/>
      <c r="AK139" s="77"/>
      <c r="AL139" s="77"/>
      <c r="AM139" s="77"/>
      <c r="AN139" s="77"/>
      <c r="AO139" s="77"/>
      <c r="AP139" s="77"/>
      <c r="AQ139" s="77"/>
      <c r="AR139" s="77"/>
      <c r="AS139" s="77"/>
      <c r="AT139" s="77"/>
      <c r="AU139" s="77"/>
      <c r="AV139" s="77"/>
      <c r="AX139" s="84">
        <v>1994</v>
      </c>
      <c r="AY139" s="84">
        <v>9</v>
      </c>
    </row>
    <row r="140" spans="1:58" s="38" customFormat="1" ht="16.5" customHeight="1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  <c r="AI140" s="77"/>
      <c r="AJ140" s="77"/>
      <c r="AK140" s="77"/>
      <c r="AL140" s="77"/>
      <c r="AM140" s="77"/>
      <c r="AN140" s="77"/>
      <c r="AO140" s="77"/>
      <c r="AP140" s="77"/>
      <c r="AQ140" s="77"/>
      <c r="AR140" s="77"/>
      <c r="AS140" s="77"/>
      <c r="AT140" s="77"/>
      <c r="AU140" s="77"/>
      <c r="AV140" s="77"/>
      <c r="AX140" s="84">
        <v>1992</v>
      </c>
      <c r="AY140" s="84">
        <v>5</v>
      </c>
    </row>
    <row r="141" spans="1:58" s="38" customFormat="1" ht="16.5" customHeight="1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  <c r="AO141" s="77"/>
      <c r="AP141" s="77"/>
      <c r="AQ141" s="77"/>
      <c r="AR141" s="77"/>
      <c r="AS141" s="77"/>
      <c r="AT141" s="77"/>
      <c r="AU141" s="77"/>
      <c r="AV141" s="77"/>
      <c r="AX141" s="84">
        <v>1992</v>
      </c>
      <c r="AY141" s="84">
        <v>6</v>
      </c>
    </row>
    <row r="142" spans="1:58" s="38" customFormat="1" ht="16.5" customHeight="1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  <c r="AO142" s="77"/>
      <c r="AP142" s="77"/>
      <c r="AQ142" s="77"/>
      <c r="AR142" s="77"/>
      <c r="AS142" s="77"/>
      <c r="AT142" s="77"/>
      <c r="AU142" s="77"/>
      <c r="AV142" s="77"/>
      <c r="AX142" s="84">
        <v>1992</v>
      </c>
      <c r="AY142" s="84">
        <v>6</v>
      </c>
    </row>
    <row r="143" spans="1:58" s="38" customFormat="1" ht="16.5" customHeight="1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  <c r="AO143" s="77"/>
      <c r="AP143" s="77"/>
      <c r="AQ143" s="77"/>
      <c r="AR143" s="77"/>
      <c r="AS143" s="77"/>
      <c r="AT143" s="77"/>
      <c r="AU143" s="77"/>
      <c r="AV143" s="77"/>
      <c r="AX143" s="84">
        <v>1993</v>
      </c>
      <c r="AY143" s="84">
        <v>9</v>
      </c>
    </row>
    <row r="144" spans="1:58" s="38" customFormat="1" ht="16.5" customHeight="1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  <c r="AO144" s="77"/>
      <c r="AP144" s="77"/>
      <c r="AQ144" s="77"/>
      <c r="AR144" s="77"/>
      <c r="AS144" s="77"/>
      <c r="AT144" s="77"/>
      <c r="AU144" s="77"/>
      <c r="AV144" s="77"/>
      <c r="AX144" s="84">
        <v>1993</v>
      </c>
      <c r="AY144" s="84">
        <v>9</v>
      </c>
    </row>
    <row r="145" spans="1:51" s="38" customFormat="1" ht="16.5" customHeight="1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  <c r="AO145" s="77"/>
      <c r="AP145" s="77"/>
      <c r="AQ145" s="77"/>
      <c r="AR145" s="77"/>
      <c r="AS145" s="77"/>
      <c r="AT145" s="77"/>
      <c r="AU145" s="77"/>
      <c r="AV145" s="77"/>
      <c r="AX145" s="84">
        <v>1992</v>
      </c>
      <c r="AY145" s="84">
        <v>3</v>
      </c>
    </row>
    <row r="146" spans="1:51" s="38" customFormat="1" ht="16.5" customHeight="1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  <c r="AO146" s="77"/>
      <c r="AP146" s="77"/>
      <c r="AQ146" s="77"/>
      <c r="AR146" s="77"/>
      <c r="AS146" s="77"/>
      <c r="AT146" s="77"/>
      <c r="AU146" s="77"/>
      <c r="AV146" s="77"/>
      <c r="AX146" s="84">
        <v>1992</v>
      </c>
      <c r="AY146" s="84">
        <v>3</v>
      </c>
    </row>
    <row r="147" spans="1:51" s="38" customFormat="1" ht="16.5" customHeight="1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  <c r="AO147" s="77"/>
      <c r="AP147" s="77"/>
      <c r="AQ147" s="77"/>
      <c r="AR147" s="77"/>
      <c r="AS147" s="77"/>
      <c r="AT147" s="77"/>
      <c r="AU147" s="77"/>
      <c r="AV147" s="77"/>
      <c r="AX147" s="84">
        <v>1993</v>
      </c>
      <c r="AY147" s="84">
        <v>5</v>
      </c>
    </row>
    <row r="148" spans="1:51" s="38" customFormat="1" ht="16.5" customHeight="1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  <c r="AO148" s="77"/>
      <c r="AP148" s="77"/>
      <c r="AQ148" s="77"/>
      <c r="AR148" s="77"/>
      <c r="AS148" s="77"/>
      <c r="AT148" s="77"/>
      <c r="AU148" s="77"/>
      <c r="AV148" s="77"/>
      <c r="AX148" s="84">
        <v>1993</v>
      </c>
      <c r="AY148" s="84">
        <v>5</v>
      </c>
    </row>
    <row r="149" spans="1:51" s="38" customFormat="1" ht="16.5" customHeight="1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  <c r="AO149" s="77"/>
      <c r="AP149" s="77"/>
      <c r="AQ149" s="77"/>
      <c r="AR149" s="77"/>
      <c r="AS149" s="77"/>
      <c r="AT149" s="77"/>
      <c r="AU149" s="77"/>
      <c r="AV149" s="77"/>
      <c r="AX149" s="84">
        <v>1993</v>
      </c>
      <c r="AY149" s="84">
        <v>5</v>
      </c>
    </row>
    <row r="150" spans="1:51" s="38" customFormat="1" ht="16.5" customHeight="1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  <c r="AO150" s="77"/>
      <c r="AP150" s="77"/>
      <c r="AQ150" s="77"/>
      <c r="AR150" s="77"/>
      <c r="AS150" s="77"/>
      <c r="AT150" s="77"/>
      <c r="AU150" s="77"/>
      <c r="AV150" s="77"/>
      <c r="AX150" s="84">
        <v>1993</v>
      </c>
      <c r="AY150" s="84">
        <v>5</v>
      </c>
    </row>
    <row r="151" spans="1:51" s="38" customFormat="1" ht="16.5" customHeight="1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  <c r="AO151" s="77"/>
      <c r="AP151" s="77"/>
      <c r="AQ151" s="77"/>
      <c r="AR151" s="77"/>
      <c r="AS151" s="77"/>
      <c r="AT151" s="77"/>
      <c r="AU151" s="77"/>
      <c r="AV151" s="77"/>
      <c r="AX151" s="84">
        <v>1992</v>
      </c>
      <c r="AY151" s="84">
        <v>12</v>
      </c>
    </row>
    <row r="152" spans="1:51" s="38" customFormat="1" ht="16.5" customHeight="1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  <c r="AO152" s="77"/>
      <c r="AP152" s="77"/>
      <c r="AQ152" s="77"/>
      <c r="AR152" s="77"/>
      <c r="AS152" s="77"/>
      <c r="AT152" s="77"/>
      <c r="AU152" s="77"/>
      <c r="AV152" s="77"/>
      <c r="AX152" s="84">
        <v>1993</v>
      </c>
      <c r="AY152" s="84">
        <v>5</v>
      </c>
    </row>
    <row r="153" spans="1:51" s="38" customFormat="1" ht="16.5" customHeight="1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  <c r="AO153" s="77"/>
      <c r="AP153" s="77"/>
      <c r="AQ153" s="77"/>
      <c r="AR153" s="77"/>
      <c r="AS153" s="77"/>
      <c r="AT153" s="77"/>
      <c r="AU153" s="77"/>
      <c r="AV153" s="77"/>
      <c r="AX153" s="84">
        <v>1993</v>
      </c>
      <c r="AY153" s="84">
        <v>5</v>
      </c>
    </row>
    <row r="154" spans="1:51" s="38" customFormat="1" ht="16.5" customHeight="1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  <c r="AI154" s="77"/>
      <c r="AJ154" s="77"/>
      <c r="AK154" s="77"/>
      <c r="AL154" s="77"/>
      <c r="AM154" s="77"/>
      <c r="AN154" s="77"/>
      <c r="AO154" s="77"/>
      <c r="AP154" s="77"/>
      <c r="AQ154" s="77"/>
      <c r="AR154" s="77"/>
      <c r="AS154" s="77"/>
      <c r="AT154" s="77"/>
      <c r="AU154" s="77"/>
      <c r="AV154" s="77"/>
      <c r="AX154" s="84">
        <v>1997</v>
      </c>
      <c r="AY154" s="84">
        <v>8</v>
      </c>
    </row>
    <row r="155" spans="1:51" s="38" customFormat="1" ht="16.5" customHeight="1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  <c r="AI155" s="77"/>
      <c r="AJ155" s="77"/>
      <c r="AK155" s="77"/>
      <c r="AL155" s="77"/>
      <c r="AM155" s="77"/>
      <c r="AN155" s="77"/>
      <c r="AO155" s="77"/>
      <c r="AP155" s="77"/>
      <c r="AQ155" s="77"/>
      <c r="AR155" s="77"/>
      <c r="AS155" s="77"/>
      <c r="AT155" s="77"/>
      <c r="AU155" s="77"/>
      <c r="AV155" s="77"/>
      <c r="AX155" s="84">
        <v>1997</v>
      </c>
      <c r="AY155" s="84">
        <v>8</v>
      </c>
    </row>
    <row r="156" spans="1:51" s="38" customFormat="1" ht="16.5" customHeight="1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  <c r="AI156" s="77"/>
      <c r="AJ156" s="77"/>
      <c r="AK156" s="77"/>
      <c r="AL156" s="77"/>
      <c r="AM156" s="77"/>
      <c r="AN156" s="77"/>
      <c r="AO156" s="77"/>
      <c r="AP156" s="77"/>
      <c r="AQ156" s="77"/>
      <c r="AR156" s="77"/>
      <c r="AS156" s="77"/>
      <c r="AT156" s="77"/>
      <c r="AU156" s="77"/>
      <c r="AV156" s="77"/>
      <c r="AX156" s="84">
        <v>1994</v>
      </c>
      <c r="AY156" s="84">
        <v>5</v>
      </c>
    </row>
    <row r="157" spans="1:51" s="38" customFormat="1" ht="16.5" customHeight="1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  <c r="AI157" s="77"/>
      <c r="AJ157" s="77"/>
      <c r="AK157" s="77"/>
      <c r="AL157" s="77"/>
      <c r="AM157" s="77"/>
      <c r="AN157" s="77"/>
      <c r="AO157" s="77"/>
      <c r="AP157" s="77"/>
      <c r="AQ157" s="77"/>
      <c r="AR157" s="77"/>
      <c r="AS157" s="77"/>
      <c r="AT157" s="77"/>
      <c r="AU157" s="77"/>
      <c r="AV157" s="77"/>
      <c r="AX157" s="84">
        <v>1994</v>
      </c>
      <c r="AY157" s="84">
        <v>2</v>
      </c>
    </row>
    <row r="158" spans="1:51" s="38" customFormat="1" ht="16.5" customHeight="1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77"/>
      <c r="AJ158" s="77"/>
      <c r="AK158" s="77"/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X158" s="84">
        <v>1994</v>
      </c>
      <c r="AY158" s="84">
        <v>2</v>
      </c>
    </row>
    <row r="159" spans="1:51" s="38" customFormat="1" ht="16.5" customHeight="1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  <c r="AI159" s="77"/>
      <c r="AJ159" s="77"/>
      <c r="AK159" s="77"/>
      <c r="AL159" s="77"/>
      <c r="AM159" s="77"/>
      <c r="AN159" s="77"/>
      <c r="AO159" s="77"/>
      <c r="AP159" s="77"/>
      <c r="AQ159" s="77"/>
      <c r="AR159" s="77"/>
      <c r="AS159" s="77"/>
      <c r="AT159" s="77"/>
      <c r="AU159" s="77"/>
      <c r="AV159" s="77"/>
      <c r="AX159" s="84">
        <v>1994</v>
      </c>
      <c r="AY159" s="84">
        <v>2</v>
      </c>
    </row>
    <row r="160" spans="1:51" s="38" customFormat="1" ht="16.5" customHeight="1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  <c r="AI160" s="77"/>
      <c r="AJ160" s="77"/>
      <c r="AK160" s="77"/>
      <c r="AL160" s="77"/>
      <c r="AM160" s="77"/>
      <c r="AN160" s="77"/>
      <c r="AO160" s="77"/>
      <c r="AP160" s="77"/>
      <c r="AQ160" s="77"/>
      <c r="AR160" s="77"/>
      <c r="AS160" s="77"/>
      <c r="AT160" s="77"/>
      <c r="AU160" s="77"/>
      <c r="AV160" s="77"/>
      <c r="AX160" s="84">
        <v>1994</v>
      </c>
      <c r="AY160" s="84">
        <v>1</v>
      </c>
    </row>
    <row r="161" spans="1:58" s="38" customFormat="1" ht="16.5" customHeight="1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  <c r="AI161" s="77"/>
      <c r="AJ161" s="77"/>
      <c r="AK161" s="77"/>
      <c r="AL161" s="77"/>
      <c r="AM161" s="77"/>
      <c r="AN161" s="77"/>
      <c r="AO161" s="77"/>
      <c r="AP161" s="77"/>
      <c r="AQ161" s="77"/>
      <c r="AR161" s="77"/>
      <c r="AS161" s="77"/>
      <c r="AT161" s="77"/>
      <c r="AU161" s="77"/>
      <c r="AV161" s="77"/>
      <c r="AX161" s="84">
        <v>1994</v>
      </c>
      <c r="AY161" s="84">
        <v>1</v>
      </c>
    </row>
    <row r="162" spans="1:58" s="38" customFormat="1" ht="16.5" customHeight="1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  <c r="AI162" s="77"/>
      <c r="AJ162" s="77"/>
      <c r="AK162" s="77"/>
      <c r="AL162" s="77"/>
      <c r="AM162" s="77"/>
      <c r="AN162" s="77"/>
      <c r="AO162" s="77"/>
      <c r="AP162" s="77"/>
      <c r="AQ162" s="77"/>
      <c r="AR162" s="77"/>
      <c r="AS162" s="77"/>
      <c r="AT162" s="77"/>
      <c r="AU162" s="77"/>
      <c r="AV162" s="77"/>
      <c r="AX162" s="84">
        <v>1994</v>
      </c>
      <c r="AY162" s="84">
        <v>12</v>
      </c>
    </row>
    <row r="163" spans="1:58" s="38" customFormat="1" ht="16.5" customHeight="1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  <c r="AI163" s="77"/>
      <c r="AJ163" s="77"/>
      <c r="AK163" s="77"/>
      <c r="AL163" s="77"/>
      <c r="AM163" s="77"/>
      <c r="AN163" s="77"/>
      <c r="AO163" s="77"/>
      <c r="AP163" s="77"/>
      <c r="AQ163" s="77"/>
      <c r="AR163" s="77"/>
      <c r="AS163" s="77"/>
      <c r="AT163" s="77"/>
      <c r="AU163" s="77"/>
      <c r="AV163" s="77"/>
      <c r="AX163" s="84">
        <v>1992</v>
      </c>
      <c r="AY163" s="84">
        <v>6</v>
      </c>
    </row>
    <row r="164" spans="1:58" s="38" customFormat="1" ht="16.5" customHeight="1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  <c r="AI164" s="77"/>
      <c r="AJ164" s="77"/>
      <c r="AK164" s="77"/>
      <c r="AL164" s="77"/>
      <c r="AM164" s="77"/>
      <c r="AN164" s="77"/>
      <c r="AO164" s="77"/>
      <c r="AP164" s="77"/>
      <c r="AQ164" s="77"/>
      <c r="AR164" s="77"/>
      <c r="AS164" s="77"/>
      <c r="AT164" s="77"/>
      <c r="AU164" s="77"/>
      <c r="AV164" s="77"/>
      <c r="AX164" s="84">
        <v>1992</v>
      </c>
      <c r="AY164" s="84">
        <v>6</v>
      </c>
    </row>
    <row r="165" spans="1:58" s="38" customFormat="1" ht="16.5" customHeight="1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  <c r="AI165" s="77"/>
      <c r="AJ165" s="77"/>
      <c r="AK165" s="77"/>
      <c r="AL165" s="77"/>
      <c r="AM165" s="77"/>
      <c r="AN165" s="77"/>
      <c r="AO165" s="77"/>
      <c r="AP165" s="77"/>
      <c r="AQ165" s="77"/>
      <c r="AR165" s="77"/>
      <c r="AS165" s="77"/>
      <c r="AT165" s="77"/>
      <c r="AU165" s="77"/>
      <c r="AV165" s="77"/>
      <c r="AX165" s="84">
        <v>1992</v>
      </c>
      <c r="AY165" s="84">
        <v>5</v>
      </c>
    </row>
    <row r="166" spans="1:58" s="38" customFormat="1" ht="16.5" customHeight="1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  <c r="AI166" s="77"/>
      <c r="AJ166" s="77"/>
      <c r="AK166" s="77"/>
      <c r="AL166" s="77"/>
      <c r="AM166" s="77"/>
      <c r="AN166" s="77"/>
      <c r="AO166" s="77"/>
      <c r="AP166" s="77"/>
      <c r="AQ166" s="77"/>
      <c r="AR166" s="77"/>
      <c r="AS166" s="77"/>
      <c r="AT166" s="77"/>
      <c r="AU166" s="77"/>
      <c r="AV166" s="77"/>
      <c r="AX166" s="84">
        <v>1992</v>
      </c>
      <c r="AY166" s="84">
        <v>5</v>
      </c>
    </row>
    <row r="167" spans="1:58" s="38" customFormat="1" ht="16.5" customHeight="1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  <c r="AI167" s="77"/>
      <c r="AJ167" s="77"/>
      <c r="AK167" s="77"/>
      <c r="AL167" s="77"/>
      <c r="AM167" s="77"/>
      <c r="AN167" s="77"/>
      <c r="AO167" s="77"/>
      <c r="AP167" s="77"/>
      <c r="AQ167" s="77"/>
      <c r="AR167" s="77"/>
      <c r="AS167" s="77"/>
      <c r="AT167" s="77"/>
      <c r="AU167" s="77"/>
      <c r="AV167" s="77"/>
      <c r="AX167" s="84">
        <v>1994</v>
      </c>
      <c r="AY167" s="84">
        <v>3</v>
      </c>
    </row>
    <row r="168" spans="1:58" s="38" customFormat="1" ht="16.5" customHeight="1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  <c r="AI168" s="77"/>
      <c r="AJ168" s="77"/>
      <c r="AK168" s="77"/>
      <c r="AL168" s="77"/>
      <c r="AM168" s="77"/>
      <c r="AN168" s="77"/>
      <c r="AO168" s="77"/>
      <c r="AP168" s="77"/>
      <c r="AQ168" s="77"/>
      <c r="AR168" s="77"/>
      <c r="AS168" s="77"/>
      <c r="AT168" s="77"/>
      <c r="AU168" s="77"/>
      <c r="AV168" s="77"/>
      <c r="AX168" s="84">
        <v>1992</v>
      </c>
      <c r="AY168" s="84">
        <v>6</v>
      </c>
    </row>
    <row r="169" spans="1:58" s="38" customFormat="1" ht="16.5" customHeight="1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  <c r="AI169" s="77"/>
      <c r="AJ169" s="77"/>
      <c r="AK169" s="77"/>
      <c r="AL169" s="77"/>
      <c r="AM169" s="77"/>
      <c r="AN169" s="77"/>
      <c r="AO169" s="77"/>
      <c r="AP169" s="77"/>
      <c r="AQ169" s="77"/>
      <c r="AR169" s="77"/>
      <c r="AS169" s="77"/>
      <c r="AT169" s="77"/>
      <c r="AU169" s="77"/>
      <c r="AV169" s="77"/>
      <c r="AX169" s="84">
        <v>1992</v>
      </c>
      <c r="AY169" s="84">
        <v>6</v>
      </c>
    </row>
    <row r="170" spans="1:58" s="38" customFormat="1" ht="16.5" customHeight="1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  <c r="AI170" s="77"/>
      <c r="AJ170" s="77"/>
      <c r="AK170" s="77"/>
      <c r="AL170" s="77"/>
      <c r="AM170" s="77"/>
      <c r="AN170" s="77"/>
      <c r="AO170" s="77"/>
      <c r="AP170" s="77"/>
      <c r="AQ170" s="77"/>
      <c r="AR170" s="77"/>
      <c r="AS170" s="77"/>
      <c r="AT170" s="77"/>
      <c r="AU170" s="77"/>
      <c r="AV170" s="77"/>
      <c r="AX170" s="84">
        <v>1992</v>
      </c>
      <c r="AY170" s="84">
        <v>7</v>
      </c>
    </row>
    <row r="171" spans="1:58" s="38" customFormat="1" ht="16.5" customHeight="1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  <c r="AI171" s="77"/>
      <c r="AJ171" s="77"/>
      <c r="AK171" s="77"/>
      <c r="AL171" s="77"/>
      <c r="AM171" s="77"/>
      <c r="AN171" s="77"/>
      <c r="AO171" s="77"/>
      <c r="AP171" s="77"/>
      <c r="AQ171" s="77"/>
      <c r="AR171" s="77"/>
      <c r="AS171" s="77"/>
      <c r="AT171" s="77"/>
      <c r="AU171" s="77"/>
      <c r="AV171" s="77"/>
      <c r="AX171" s="84">
        <v>1993</v>
      </c>
      <c r="AY171" s="84">
        <v>11</v>
      </c>
      <c r="AZ171" s="84"/>
      <c r="BA171" s="75" t="s">
        <v>59</v>
      </c>
      <c r="BB171" s="85">
        <v>0</v>
      </c>
      <c r="BC171" s="85">
        <v>0</v>
      </c>
      <c r="BD171" s="85">
        <v>0</v>
      </c>
      <c r="BE171" s="85">
        <v>0</v>
      </c>
      <c r="BF171" s="85">
        <v>0</v>
      </c>
    </row>
    <row r="172" spans="1:58" s="38" customFormat="1" ht="16.5" customHeight="1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  <c r="AI172" s="77"/>
      <c r="AJ172" s="77"/>
      <c r="AK172" s="77"/>
      <c r="AL172" s="77"/>
      <c r="AM172" s="77"/>
      <c r="AN172" s="77"/>
      <c r="AO172" s="77"/>
      <c r="AP172" s="77"/>
      <c r="AQ172" s="77"/>
      <c r="AR172" s="77"/>
      <c r="AS172" s="77"/>
      <c r="AT172" s="77"/>
      <c r="AU172" s="77"/>
      <c r="AV172" s="77"/>
      <c r="AX172" s="84">
        <v>1993</v>
      </c>
      <c r="AY172" s="84">
        <v>11</v>
      </c>
      <c r="AZ172" s="84"/>
      <c r="BA172" s="75" t="s">
        <v>60</v>
      </c>
      <c r="BB172" s="85">
        <v>0</v>
      </c>
      <c r="BC172" s="85">
        <v>0</v>
      </c>
      <c r="BD172" s="85">
        <v>0</v>
      </c>
      <c r="BE172" s="85">
        <v>0</v>
      </c>
      <c r="BF172" s="85">
        <v>0</v>
      </c>
    </row>
    <row r="173" spans="1:58" s="38" customFormat="1" ht="16.5" customHeight="1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  <c r="AI173" s="77"/>
      <c r="AJ173" s="77"/>
      <c r="AK173" s="77"/>
      <c r="AL173" s="77"/>
      <c r="AM173" s="77"/>
      <c r="AN173" s="77"/>
      <c r="AO173" s="77"/>
      <c r="AP173" s="77"/>
      <c r="AQ173" s="77"/>
      <c r="AR173" s="77"/>
      <c r="AS173" s="77"/>
      <c r="AT173" s="77"/>
      <c r="AU173" s="77"/>
      <c r="AV173" s="77"/>
      <c r="AX173" s="84">
        <v>1993</v>
      </c>
      <c r="AY173" s="84">
        <v>11</v>
      </c>
      <c r="AZ173" s="84"/>
      <c r="BA173" s="76" t="s">
        <v>61</v>
      </c>
      <c r="BB173" s="86">
        <v>0</v>
      </c>
      <c r="BC173" s="86">
        <v>0</v>
      </c>
      <c r="BD173" s="86">
        <v>0</v>
      </c>
      <c r="BE173" s="86">
        <v>0</v>
      </c>
      <c r="BF173" s="86">
        <v>0</v>
      </c>
    </row>
    <row r="174" spans="1:58" s="38" customFormat="1" ht="16.5" customHeight="1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  <c r="AI174" s="77"/>
      <c r="AJ174" s="77"/>
      <c r="AK174" s="77"/>
      <c r="AL174" s="77"/>
      <c r="AM174" s="77"/>
      <c r="AN174" s="77"/>
      <c r="AO174" s="77"/>
      <c r="AP174" s="77"/>
      <c r="AQ174" s="77"/>
      <c r="AR174" s="77"/>
      <c r="AS174" s="77"/>
      <c r="AT174" s="77"/>
      <c r="AU174" s="77"/>
      <c r="AV174" s="77"/>
      <c r="AX174" s="84">
        <v>1993</v>
      </c>
      <c r="AY174" s="84">
        <v>11</v>
      </c>
      <c r="AZ174" s="84"/>
      <c r="BA174" s="75" t="s">
        <v>66</v>
      </c>
      <c r="BB174" s="85">
        <v>0</v>
      </c>
      <c r="BC174" s="85">
        <v>0</v>
      </c>
      <c r="BD174" s="85">
        <v>0</v>
      </c>
      <c r="BE174" s="85">
        <v>0</v>
      </c>
      <c r="BF174" s="85">
        <v>0</v>
      </c>
    </row>
    <row r="175" spans="1:58" s="38" customFormat="1" ht="16.5" customHeight="1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  <c r="AI175" s="77"/>
      <c r="AJ175" s="77"/>
      <c r="AK175" s="77"/>
      <c r="AL175" s="77"/>
      <c r="AM175" s="77"/>
      <c r="AN175" s="77"/>
      <c r="AO175" s="77"/>
      <c r="AP175" s="77"/>
      <c r="AQ175" s="77"/>
      <c r="AR175" s="77"/>
      <c r="AS175" s="77"/>
      <c r="AT175" s="77"/>
      <c r="AU175" s="77"/>
      <c r="AV175" s="77"/>
      <c r="AX175" s="84">
        <v>1995</v>
      </c>
      <c r="AY175" s="84">
        <v>12</v>
      </c>
      <c r="AZ175" s="84"/>
      <c r="BA175" s="75"/>
      <c r="BB175" s="75" t="s">
        <v>62</v>
      </c>
      <c r="BC175" s="75" t="s">
        <v>63</v>
      </c>
      <c r="BD175" s="75" t="s">
        <v>64</v>
      </c>
      <c r="BE175" s="75" t="s">
        <v>65</v>
      </c>
      <c r="BF175" s="75" t="s">
        <v>66</v>
      </c>
    </row>
    <row r="176" spans="1:58" s="38" customFormat="1" ht="16.5" customHeight="1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  <c r="AI176" s="77"/>
      <c r="AJ176" s="77"/>
      <c r="AK176" s="77"/>
      <c r="AL176" s="77"/>
      <c r="AM176" s="77"/>
      <c r="AN176" s="77"/>
      <c r="AO176" s="77"/>
      <c r="AP176" s="77"/>
      <c r="AQ176" s="77"/>
      <c r="AR176" s="77"/>
      <c r="AS176" s="77"/>
      <c r="AT176" s="77"/>
      <c r="AU176" s="77"/>
      <c r="AV176" s="77"/>
      <c r="AX176" s="84">
        <v>1995</v>
      </c>
      <c r="AY176" s="84">
        <v>12</v>
      </c>
      <c r="BA176" s="75" t="s">
        <v>59</v>
      </c>
      <c r="BB176" s="87" t="e">
        <v>#DIV/0!</v>
      </c>
      <c r="BC176" s="87" t="e">
        <v>#DIV/0!</v>
      </c>
      <c r="BD176" s="87" t="e">
        <v>#DIV/0!</v>
      </c>
      <c r="BE176" s="87" t="e">
        <v>#DIV/0!</v>
      </c>
      <c r="BF176" s="87" t="e">
        <v>#DIV/0!</v>
      </c>
    </row>
    <row r="177" spans="1:58" s="38" customFormat="1" ht="16.5" customHeight="1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  <c r="AI177" s="77"/>
      <c r="AJ177" s="77"/>
      <c r="AK177" s="77"/>
      <c r="AL177" s="77"/>
      <c r="AM177" s="77"/>
      <c r="AN177" s="77"/>
      <c r="AO177" s="77"/>
      <c r="AP177" s="77"/>
      <c r="AQ177" s="77"/>
      <c r="AR177" s="77"/>
      <c r="AS177" s="77"/>
      <c r="AT177" s="77"/>
      <c r="AU177" s="77"/>
      <c r="AV177" s="77"/>
      <c r="AX177" s="84">
        <v>1997</v>
      </c>
      <c r="AY177" s="84">
        <v>5</v>
      </c>
      <c r="BA177" s="76" t="s">
        <v>61</v>
      </c>
      <c r="BB177" s="88" t="e">
        <v>#DIV/0!</v>
      </c>
      <c r="BC177" s="88" t="e">
        <v>#DIV/0!</v>
      </c>
      <c r="BD177" s="88" t="e">
        <v>#DIV/0!</v>
      </c>
      <c r="BE177" s="88" t="e">
        <v>#DIV/0!</v>
      </c>
      <c r="BF177" s="88" t="e">
        <v>#DIV/0!</v>
      </c>
    </row>
    <row r="178" spans="1:58" s="38" customFormat="1" ht="16.5" customHeight="1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  <c r="AI178" s="77"/>
      <c r="AJ178" s="77"/>
      <c r="AK178" s="77"/>
      <c r="AL178" s="77"/>
      <c r="AM178" s="77"/>
      <c r="AN178" s="77"/>
      <c r="AO178" s="77"/>
      <c r="AP178" s="77"/>
      <c r="AQ178" s="77"/>
      <c r="AR178" s="77"/>
      <c r="AS178" s="77"/>
      <c r="AT178" s="77"/>
      <c r="AU178" s="77"/>
      <c r="AV178" s="77"/>
      <c r="AX178" s="84">
        <v>1997</v>
      </c>
      <c r="AY178" s="84">
        <v>5</v>
      </c>
      <c r="BA178" s="75" t="s">
        <v>66</v>
      </c>
      <c r="BB178" s="87" t="e">
        <v>#DIV/0!</v>
      </c>
      <c r="BC178" s="87" t="e">
        <v>#DIV/0!</v>
      </c>
      <c r="BD178" s="87" t="e">
        <v>#DIV/0!</v>
      </c>
      <c r="BE178" s="87" t="e">
        <v>#DIV/0!</v>
      </c>
      <c r="BF178" s="87" t="e">
        <v>#DIV/0!</v>
      </c>
    </row>
    <row r="179" spans="1:58" s="38" customFormat="1" ht="16.5" customHeight="1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77"/>
      <c r="AX179" s="84">
        <v>1994</v>
      </c>
      <c r="AY179" s="84">
        <v>12</v>
      </c>
    </row>
    <row r="180" spans="1:58" s="38" customFormat="1" ht="16.5" customHeight="1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  <c r="AI180" s="77"/>
      <c r="AJ180" s="77"/>
      <c r="AK180" s="77"/>
      <c r="AL180" s="77"/>
      <c r="AM180" s="77"/>
      <c r="AN180" s="77"/>
      <c r="AO180" s="77"/>
      <c r="AP180" s="77"/>
      <c r="AQ180" s="77"/>
      <c r="AR180" s="77"/>
      <c r="AS180" s="77"/>
      <c r="AT180" s="77"/>
      <c r="AU180" s="77"/>
      <c r="AV180" s="77"/>
      <c r="AX180" s="84">
        <v>1994</v>
      </c>
      <c r="AY180" s="84">
        <v>12</v>
      </c>
    </row>
    <row r="181" spans="1:58" s="38" customFormat="1" ht="16.5" customHeight="1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X181" s="84">
        <v>1994</v>
      </c>
      <c r="AY181" s="84">
        <v>12</v>
      </c>
    </row>
    <row r="182" spans="1:58" s="38" customFormat="1" ht="16.5" customHeight="1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  <c r="AI182" s="77"/>
      <c r="AJ182" s="77"/>
      <c r="AK182" s="77"/>
      <c r="AL182" s="77"/>
      <c r="AM182" s="77"/>
      <c r="AN182" s="77"/>
      <c r="AO182" s="77"/>
      <c r="AP182" s="77"/>
      <c r="AQ182" s="77"/>
      <c r="AR182" s="77"/>
      <c r="AS182" s="77"/>
      <c r="AT182" s="77"/>
      <c r="AU182" s="77"/>
      <c r="AV182" s="77"/>
      <c r="AX182" s="84">
        <v>1994</v>
      </c>
      <c r="AY182" s="84">
        <v>12</v>
      </c>
    </row>
    <row r="183" spans="1:58" s="38" customFormat="1" ht="16.5" customHeight="1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  <c r="AI183" s="77"/>
      <c r="AJ183" s="77"/>
      <c r="AK183" s="77"/>
      <c r="AL183" s="77"/>
      <c r="AM183" s="77"/>
      <c r="AN183" s="77"/>
      <c r="AO183" s="77"/>
      <c r="AP183" s="77"/>
      <c r="AQ183" s="77"/>
      <c r="AR183" s="77"/>
      <c r="AS183" s="77"/>
      <c r="AT183" s="77"/>
      <c r="AU183" s="77"/>
      <c r="AV183" s="77"/>
      <c r="AX183" s="84">
        <v>1997</v>
      </c>
      <c r="AY183" s="84">
        <v>7</v>
      </c>
    </row>
    <row r="184" spans="1:58" s="38" customFormat="1" ht="16.5" customHeight="1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  <c r="AI184" s="77"/>
      <c r="AJ184" s="77"/>
      <c r="AK184" s="77"/>
      <c r="AL184" s="77"/>
      <c r="AM184" s="77"/>
      <c r="AN184" s="77"/>
      <c r="AO184" s="77"/>
      <c r="AP184" s="77"/>
      <c r="AQ184" s="77"/>
      <c r="AR184" s="77"/>
      <c r="AS184" s="77"/>
      <c r="AT184" s="77"/>
      <c r="AU184" s="77"/>
      <c r="AV184" s="77"/>
      <c r="AX184" s="84">
        <v>1997</v>
      </c>
      <c r="AY184" s="84">
        <v>7</v>
      </c>
    </row>
    <row r="185" spans="1:58" s="38" customFormat="1" ht="16.5" customHeight="1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  <c r="AI185" s="77"/>
      <c r="AJ185" s="77"/>
      <c r="AK185" s="77"/>
      <c r="AL185" s="77"/>
      <c r="AM185" s="77"/>
      <c r="AN185" s="77"/>
      <c r="AO185" s="77"/>
      <c r="AP185" s="77"/>
      <c r="AQ185" s="77"/>
      <c r="AR185" s="77"/>
      <c r="AS185" s="77"/>
      <c r="AT185" s="77"/>
      <c r="AU185" s="77"/>
      <c r="AV185" s="77"/>
      <c r="AX185" s="84">
        <v>1996</v>
      </c>
      <c r="AY185" s="84">
        <v>3</v>
      </c>
    </row>
    <row r="186" spans="1:58" s="38" customFormat="1" ht="16.5" customHeight="1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  <c r="AI186" s="77"/>
      <c r="AJ186" s="77"/>
      <c r="AK186" s="77"/>
      <c r="AL186" s="77"/>
      <c r="AM186" s="77"/>
      <c r="AN186" s="77"/>
      <c r="AO186" s="77"/>
      <c r="AP186" s="77"/>
      <c r="AQ186" s="77"/>
      <c r="AR186" s="77"/>
      <c r="AS186" s="77"/>
      <c r="AT186" s="77"/>
      <c r="AU186" s="77"/>
      <c r="AV186" s="77"/>
      <c r="AX186" s="84">
        <v>1996</v>
      </c>
      <c r="AY186" s="84">
        <v>3</v>
      </c>
    </row>
    <row r="187" spans="1:58" s="38" customFormat="1" ht="16.5" customHeight="1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  <c r="AI187" s="77"/>
      <c r="AJ187" s="77"/>
      <c r="AK187" s="77"/>
      <c r="AL187" s="77"/>
      <c r="AM187" s="77"/>
      <c r="AN187" s="77"/>
      <c r="AO187" s="77"/>
      <c r="AP187" s="77"/>
      <c r="AQ187" s="77"/>
      <c r="AR187" s="77"/>
      <c r="AS187" s="77"/>
      <c r="AT187" s="77"/>
      <c r="AU187" s="77"/>
      <c r="AV187" s="77"/>
      <c r="AX187" s="84">
        <v>1995</v>
      </c>
      <c r="AY187" s="84">
        <v>1</v>
      </c>
    </row>
    <row r="188" spans="1:58" s="38" customFormat="1" ht="16.5" customHeight="1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77"/>
      <c r="AJ188" s="77"/>
      <c r="AK188" s="77"/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X188" s="84">
        <v>1995</v>
      </c>
      <c r="AY188" s="84">
        <v>1</v>
      </c>
    </row>
    <row r="189" spans="1:58" s="38" customFormat="1" ht="16.5" customHeight="1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  <c r="AI189" s="77"/>
      <c r="AJ189" s="77"/>
      <c r="AK189" s="77"/>
      <c r="AL189" s="77"/>
      <c r="AM189" s="77"/>
      <c r="AN189" s="77"/>
      <c r="AO189" s="77"/>
      <c r="AP189" s="77"/>
      <c r="AQ189" s="77"/>
      <c r="AR189" s="77"/>
      <c r="AS189" s="77"/>
      <c r="AT189" s="77"/>
      <c r="AU189" s="77"/>
      <c r="AV189" s="77"/>
      <c r="AX189" s="84">
        <v>1995</v>
      </c>
      <c r="AY189" s="84">
        <v>1</v>
      </c>
    </row>
    <row r="190" spans="1:58" s="38" customFormat="1" ht="16.5" customHeight="1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  <c r="AI190" s="77"/>
      <c r="AJ190" s="77"/>
      <c r="AK190" s="77"/>
      <c r="AL190" s="77"/>
      <c r="AM190" s="77"/>
      <c r="AN190" s="77"/>
      <c r="AO190" s="77"/>
      <c r="AP190" s="77"/>
      <c r="AQ190" s="77"/>
      <c r="AR190" s="77"/>
      <c r="AS190" s="77"/>
      <c r="AT190" s="77"/>
      <c r="AU190" s="77"/>
      <c r="AV190" s="77"/>
      <c r="AX190" s="84">
        <v>1998</v>
      </c>
      <c r="AY190" s="84">
        <v>8</v>
      </c>
    </row>
    <row r="191" spans="1:58" s="38" customFormat="1" ht="16.5" customHeight="1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  <c r="AO191" s="77"/>
      <c r="AP191" s="77"/>
      <c r="AQ191" s="77"/>
      <c r="AR191" s="77"/>
      <c r="AS191" s="77"/>
      <c r="AT191" s="77"/>
      <c r="AU191" s="77"/>
      <c r="AV191" s="77"/>
      <c r="AX191" s="84">
        <v>1998</v>
      </c>
      <c r="AY191" s="84">
        <v>8</v>
      </c>
    </row>
    <row r="192" spans="1:58" s="38" customFormat="1" ht="16.5" customHeight="1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  <c r="AO192" s="77"/>
      <c r="AP192" s="77"/>
      <c r="AQ192" s="77"/>
      <c r="AR192" s="77"/>
      <c r="AS192" s="77"/>
      <c r="AT192" s="77"/>
      <c r="AU192" s="77"/>
      <c r="AV192" s="77"/>
      <c r="AX192" s="84">
        <v>1998</v>
      </c>
      <c r="AY192" s="84">
        <v>8</v>
      </c>
    </row>
    <row r="193" spans="1:51" s="38" customFormat="1" ht="16.5" customHeight="1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  <c r="AO193" s="77"/>
      <c r="AP193" s="77"/>
      <c r="AQ193" s="77"/>
      <c r="AR193" s="77"/>
      <c r="AS193" s="77"/>
      <c r="AT193" s="77"/>
      <c r="AU193" s="77"/>
      <c r="AV193" s="77"/>
      <c r="AX193" s="84">
        <v>1996</v>
      </c>
      <c r="AY193" s="84">
        <v>1</v>
      </c>
    </row>
    <row r="194" spans="1:51" s="38" customFormat="1" ht="16.5" customHeight="1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  <c r="AO194" s="77"/>
      <c r="AP194" s="77"/>
      <c r="AQ194" s="77"/>
      <c r="AR194" s="77"/>
      <c r="AS194" s="77"/>
      <c r="AT194" s="77"/>
      <c r="AU194" s="77"/>
      <c r="AV194" s="77"/>
      <c r="AX194" s="84">
        <v>1996</v>
      </c>
      <c r="AY194" s="84">
        <v>1</v>
      </c>
    </row>
    <row r="195" spans="1:51" s="38" customFormat="1" ht="16.5" customHeight="1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  <c r="AO195" s="77"/>
      <c r="AP195" s="77"/>
      <c r="AQ195" s="77"/>
      <c r="AR195" s="77"/>
      <c r="AS195" s="77"/>
      <c r="AT195" s="77"/>
      <c r="AU195" s="77"/>
      <c r="AV195" s="77"/>
      <c r="AX195" s="84">
        <v>1996</v>
      </c>
      <c r="AY195" s="84">
        <v>1</v>
      </c>
    </row>
    <row r="196" spans="1:51" s="38" customFormat="1" ht="16.5" customHeight="1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  <c r="AO196" s="77"/>
      <c r="AP196" s="77"/>
      <c r="AQ196" s="77"/>
      <c r="AR196" s="77"/>
      <c r="AS196" s="77"/>
      <c r="AT196" s="77"/>
      <c r="AU196" s="77"/>
      <c r="AV196" s="77"/>
      <c r="AX196" s="84">
        <v>1997</v>
      </c>
      <c r="AY196" s="84">
        <v>12</v>
      </c>
    </row>
    <row r="197" spans="1:51" s="38" customFormat="1" ht="16.5" customHeight="1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  <c r="AO197" s="77"/>
      <c r="AP197" s="77"/>
      <c r="AQ197" s="77"/>
      <c r="AR197" s="77"/>
      <c r="AS197" s="77"/>
      <c r="AT197" s="77"/>
      <c r="AU197" s="77"/>
      <c r="AV197" s="77"/>
      <c r="AX197" s="84">
        <v>1997</v>
      </c>
      <c r="AY197" s="84">
        <v>12</v>
      </c>
    </row>
    <row r="198" spans="1:51" s="38" customFormat="1" ht="16.5" customHeight="1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  <c r="AO198" s="77"/>
      <c r="AP198" s="77"/>
      <c r="AQ198" s="77"/>
      <c r="AR198" s="77"/>
      <c r="AS198" s="77"/>
      <c r="AT198" s="77"/>
      <c r="AU198" s="77"/>
      <c r="AV198" s="77"/>
      <c r="AX198" s="84">
        <v>1998</v>
      </c>
      <c r="AY198" s="84">
        <v>3</v>
      </c>
    </row>
    <row r="199" spans="1:51" s="38" customFormat="1" ht="16.5" customHeight="1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  <c r="AO199" s="77"/>
      <c r="AP199" s="77"/>
      <c r="AQ199" s="77"/>
      <c r="AR199" s="77"/>
      <c r="AS199" s="77"/>
      <c r="AT199" s="77"/>
      <c r="AU199" s="77"/>
      <c r="AV199" s="77"/>
      <c r="AX199" s="84">
        <v>1998</v>
      </c>
      <c r="AY199" s="84">
        <v>3</v>
      </c>
    </row>
    <row r="200" spans="1:51" s="38" customFormat="1" ht="16.5" customHeight="1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  <c r="AO200" s="77"/>
      <c r="AP200" s="77"/>
      <c r="AQ200" s="77"/>
      <c r="AR200" s="77"/>
      <c r="AS200" s="77"/>
      <c r="AT200" s="77"/>
      <c r="AU200" s="77"/>
      <c r="AV200" s="77"/>
      <c r="AX200" s="84">
        <v>1998</v>
      </c>
      <c r="AY200" s="84">
        <v>3</v>
      </c>
    </row>
    <row r="201" spans="1:51" s="38" customFormat="1" ht="16.5" customHeight="1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  <c r="AO201" s="77"/>
      <c r="AP201" s="77"/>
      <c r="AQ201" s="77"/>
      <c r="AR201" s="77"/>
      <c r="AS201" s="77"/>
      <c r="AT201" s="77"/>
      <c r="AU201" s="77"/>
      <c r="AV201" s="77"/>
      <c r="AX201" s="84">
        <v>1998</v>
      </c>
      <c r="AY201" s="84">
        <v>3</v>
      </c>
    </row>
    <row r="202" spans="1:51" s="38" customFormat="1" ht="16.5" customHeight="1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  <c r="AO202" s="77"/>
      <c r="AP202" s="77"/>
      <c r="AQ202" s="77"/>
      <c r="AR202" s="77"/>
      <c r="AS202" s="77"/>
      <c r="AT202" s="77"/>
      <c r="AU202" s="77"/>
      <c r="AV202" s="77"/>
      <c r="AX202" s="84">
        <v>1997</v>
      </c>
      <c r="AY202" s="84">
        <v>8</v>
      </c>
    </row>
    <row r="203" spans="1:51" s="38" customFormat="1" ht="16.5" customHeight="1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  <c r="AO203" s="77"/>
      <c r="AP203" s="77"/>
      <c r="AQ203" s="77"/>
      <c r="AR203" s="77"/>
      <c r="AS203" s="77"/>
      <c r="AT203" s="77"/>
      <c r="AU203" s="77"/>
      <c r="AV203" s="77"/>
      <c r="AX203" s="84">
        <v>1997</v>
      </c>
      <c r="AY203" s="84">
        <v>8</v>
      </c>
    </row>
    <row r="204" spans="1:51" s="38" customFormat="1" ht="16.5" customHeight="1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  <c r="AI204" s="77"/>
      <c r="AJ204" s="77"/>
      <c r="AK204" s="77"/>
      <c r="AL204" s="77"/>
      <c r="AM204" s="77"/>
      <c r="AN204" s="77"/>
      <c r="AO204" s="77"/>
      <c r="AP204" s="77"/>
      <c r="AQ204" s="77"/>
      <c r="AR204" s="77"/>
      <c r="AS204" s="77"/>
      <c r="AT204" s="77"/>
      <c r="AU204" s="77"/>
      <c r="AV204" s="77"/>
      <c r="AX204" s="84">
        <v>1997</v>
      </c>
      <c r="AY204" s="84">
        <v>8</v>
      </c>
    </row>
    <row r="205" spans="1:51" s="38" customFormat="1" ht="16.5" customHeight="1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  <c r="AI205" s="77"/>
      <c r="AJ205" s="77"/>
      <c r="AK205" s="77"/>
      <c r="AL205" s="77"/>
      <c r="AM205" s="77"/>
      <c r="AN205" s="77"/>
      <c r="AO205" s="77"/>
      <c r="AP205" s="77"/>
      <c r="AQ205" s="77"/>
      <c r="AR205" s="77"/>
      <c r="AS205" s="77"/>
      <c r="AT205" s="77"/>
      <c r="AU205" s="77"/>
      <c r="AV205" s="77"/>
      <c r="AX205" s="84">
        <v>1996</v>
      </c>
      <c r="AY205" s="84">
        <v>9</v>
      </c>
    </row>
    <row r="206" spans="1:51" s="38" customFormat="1" ht="16.5" customHeight="1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  <c r="AI206" s="77"/>
      <c r="AJ206" s="77"/>
      <c r="AK206" s="77"/>
      <c r="AL206" s="77"/>
      <c r="AM206" s="77"/>
      <c r="AN206" s="77"/>
      <c r="AO206" s="77"/>
      <c r="AP206" s="77"/>
      <c r="AQ206" s="77"/>
      <c r="AR206" s="77"/>
      <c r="AS206" s="77"/>
      <c r="AT206" s="77"/>
      <c r="AU206" s="77"/>
      <c r="AV206" s="77"/>
      <c r="AX206" s="84">
        <v>1996</v>
      </c>
      <c r="AY206" s="84">
        <v>9</v>
      </c>
    </row>
    <row r="207" spans="1:51" s="38" customFormat="1" ht="16.5" customHeight="1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  <c r="AI207" s="77"/>
      <c r="AJ207" s="77"/>
      <c r="AK207" s="77"/>
      <c r="AL207" s="77"/>
      <c r="AM207" s="77"/>
      <c r="AN207" s="77"/>
      <c r="AO207" s="77"/>
      <c r="AP207" s="77"/>
      <c r="AQ207" s="77"/>
      <c r="AR207" s="77"/>
      <c r="AS207" s="77"/>
      <c r="AT207" s="77"/>
      <c r="AU207" s="77"/>
      <c r="AV207" s="77"/>
      <c r="AX207" s="84">
        <v>1994</v>
      </c>
      <c r="AY207" s="84">
        <v>11</v>
      </c>
    </row>
    <row r="208" spans="1:51" s="38" customFormat="1" ht="16.5" customHeight="1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  <c r="AI208" s="77"/>
      <c r="AJ208" s="77"/>
      <c r="AK208" s="77"/>
      <c r="AL208" s="77"/>
      <c r="AM208" s="77"/>
      <c r="AN208" s="77"/>
      <c r="AO208" s="77"/>
      <c r="AP208" s="77"/>
      <c r="AQ208" s="77"/>
      <c r="AR208" s="77"/>
      <c r="AS208" s="77"/>
      <c r="AT208" s="77"/>
      <c r="AU208" s="77"/>
      <c r="AV208" s="77"/>
      <c r="AX208" s="84">
        <v>1994</v>
      </c>
      <c r="AY208" s="84">
        <v>11</v>
      </c>
    </row>
    <row r="209" spans="1:58" s="38" customFormat="1" ht="16.5" customHeight="1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  <c r="AI209" s="77"/>
      <c r="AJ209" s="77"/>
      <c r="AK209" s="77"/>
      <c r="AL209" s="77"/>
      <c r="AM209" s="77"/>
      <c r="AN209" s="77"/>
      <c r="AO209" s="77"/>
      <c r="AP209" s="77"/>
      <c r="AQ209" s="77"/>
      <c r="AR209" s="77"/>
      <c r="AS209" s="77"/>
      <c r="AT209" s="77"/>
      <c r="AU209" s="77"/>
      <c r="AV209" s="77"/>
      <c r="AX209" s="84">
        <v>1984</v>
      </c>
      <c r="AY209" s="84">
        <v>1</v>
      </c>
    </row>
    <row r="210" spans="1:58" s="38" customFormat="1" ht="16.5" customHeight="1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  <c r="AI210" s="77"/>
      <c r="AJ210" s="77"/>
      <c r="AK210" s="77"/>
      <c r="AL210" s="77"/>
      <c r="AM210" s="77"/>
      <c r="AN210" s="77"/>
      <c r="AO210" s="77"/>
      <c r="AP210" s="77"/>
      <c r="AQ210" s="77"/>
      <c r="AR210" s="77"/>
      <c r="AS210" s="77"/>
      <c r="AT210" s="77"/>
      <c r="AU210" s="77"/>
      <c r="AV210" s="77"/>
      <c r="AX210" s="84">
        <v>1984</v>
      </c>
      <c r="AY210" s="84">
        <v>1</v>
      </c>
    </row>
    <row r="211" spans="1:58" s="38" customFormat="1" ht="16.5" customHeight="1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  <c r="AI211" s="77"/>
      <c r="AJ211" s="77"/>
      <c r="AK211" s="77"/>
      <c r="AL211" s="77"/>
      <c r="AM211" s="77"/>
      <c r="AN211" s="77"/>
      <c r="AO211" s="77"/>
      <c r="AP211" s="77"/>
      <c r="AQ211" s="77"/>
      <c r="AR211" s="77"/>
      <c r="AS211" s="77"/>
      <c r="AT211" s="77"/>
      <c r="AU211" s="77"/>
      <c r="AV211" s="77"/>
      <c r="AX211" s="84">
        <v>1994</v>
      </c>
      <c r="AY211" s="84">
        <v>1</v>
      </c>
    </row>
    <row r="212" spans="1:58" s="38" customFormat="1" ht="16.5" customHeight="1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  <c r="AI212" s="77"/>
      <c r="AJ212" s="77"/>
      <c r="AK212" s="77"/>
      <c r="AL212" s="77"/>
      <c r="AM212" s="77"/>
      <c r="AN212" s="77"/>
      <c r="AO212" s="77"/>
      <c r="AP212" s="77"/>
      <c r="AQ212" s="77"/>
      <c r="AR212" s="77"/>
      <c r="AS212" s="77"/>
      <c r="AT212" s="77"/>
      <c r="AU212" s="77"/>
      <c r="AV212" s="77"/>
      <c r="AX212" s="84">
        <v>1994</v>
      </c>
      <c r="AY212" s="84">
        <v>1</v>
      </c>
    </row>
    <row r="213" spans="1:58" s="38" customFormat="1" ht="16.5" customHeight="1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  <c r="AI213" s="77"/>
      <c r="AJ213" s="77"/>
      <c r="AK213" s="77"/>
      <c r="AL213" s="77"/>
      <c r="AM213" s="77"/>
      <c r="AN213" s="77"/>
      <c r="AO213" s="77"/>
      <c r="AP213" s="77"/>
      <c r="AQ213" s="77"/>
      <c r="AR213" s="77"/>
      <c r="AS213" s="77"/>
      <c r="AT213" s="77"/>
      <c r="AU213" s="77"/>
      <c r="AV213" s="77"/>
      <c r="AX213" s="84">
        <v>1997</v>
      </c>
      <c r="AY213" s="84">
        <v>5</v>
      </c>
    </row>
    <row r="214" spans="1:58" s="38" customFormat="1" ht="16.5" customHeight="1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  <c r="AI214" s="77"/>
      <c r="AJ214" s="77"/>
      <c r="AK214" s="77"/>
      <c r="AL214" s="77"/>
      <c r="AM214" s="77"/>
      <c r="AN214" s="77"/>
      <c r="AO214" s="77"/>
      <c r="AP214" s="77"/>
      <c r="AQ214" s="77"/>
      <c r="AR214" s="77"/>
      <c r="AS214" s="77"/>
      <c r="AT214" s="77"/>
      <c r="AU214" s="77"/>
      <c r="AV214" s="77"/>
      <c r="AX214" s="84">
        <v>1997</v>
      </c>
      <c r="AY214" s="84">
        <v>5</v>
      </c>
    </row>
    <row r="215" spans="1:58" s="38" customFormat="1" ht="16.5" customHeight="1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  <c r="AI215" s="77"/>
      <c r="AJ215" s="77"/>
      <c r="AK215" s="77"/>
      <c r="AL215" s="77"/>
      <c r="AM215" s="77"/>
      <c r="AN215" s="77"/>
      <c r="AO215" s="77"/>
      <c r="AP215" s="77"/>
      <c r="AQ215" s="77"/>
      <c r="AR215" s="77"/>
      <c r="AS215" s="77"/>
      <c r="AT215" s="77"/>
      <c r="AU215" s="77"/>
      <c r="AV215" s="77"/>
      <c r="AX215" s="84">
        <v>1997</v>
      </c>
      <c r="AY215" s="84">
        <v>5</v>
      </c>
    </row>
    <row r="216" spans="1:58" s="38" customFormat="1" ht="16.5" customHeight="1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  <c r="AI216" s="77"/>
      <c r="AJ216" s="77"/>
      <c r="AK216" s="77"/>
      <c r="AL216" s="77"/>
      <c r="AM216" s="77"/>
      <c r="AN216" s="77"/>
      <c r="AO216" s="77"/>
      <c r="AP216" s="77"/>
      <c r="AQ216" s="77"/>
      <c r="AR216" s="77"/>
      <c r="AS216" s="77"/>
      <c r="AT216" s="77"/>
      <c r="AU216" s="77"/>
      <c r="AV216" s="77"/>
      <c r="AX216" s="84">
        <v>1997</v>
      </c>
      <c r="AY216" s="84">
        <v>11</v>
      </c>
    </row>
    <row r="217" spans="1:58" s="38" customFormat="1" ht="16.5" customHeight="1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  <c r="AI217" s="77"/>
      <c r="AJ217" s="77"/>
      <c r="AK217" s="77"/>
      <c r="AL217" s="77"/>
      <c r="AM217" s="77"/>
      <c r="AN217" s="77"/>
      <c r="AO217" s="77"/>
      <c r="AP217" s="77"/>
      <c r="AQ217" s="77"/>
      <c r="AR217" s="77"/>
      <c r="AS217" s="77"/>
      <c r="AT217" s="77"/>
      <c r="AU217" s="77"/>
      <c r="AV217" s="77"/>
      <c r="AX217" s="84">
        <v>1997</v>
      </c>
      <c r="AY217" s="84">
        <v>11</v>
      </c>
    </row>
    <row r="218" spans="1:58" s="38" customFormat="1" ht="16.5" customHeight="1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  <c r="AI218" s="77"/>
      <c r="AJ218" s="77"/>
      <c r="AK218" s="77"/>
      <c r="AL218" s="77"/>
      <c r="AM218" s="77"/>
      <c r="AN218" s="77"/>
      <c r="AO218" s="77"/>
      <c r="AP218" s="77"/>
      <c r="AQ218" s="77"/>
      <c r="AR218" s="77"/>
      <c r="AS218" s="77"/>
      <c r="AT218" s="77"/>
      <c r="AU218" s="77"/>
      <c r="AV218" s="77"/>
      <c r="AX218" s="84">
        <v>1997</v>
      </c>
      <c r="AY218" s="84">
        <v>11</v>
      </c>
    </row>
    <row r="219" spans="1:58" s="38" customFormat="1" ht="16.5" customHeight="1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  <c r="AI219" s="77"/>
      <c r="AJ219" s="77"/>
      <c r="AK219" s="77"/>
      <c r="AL219" s="77"/>
      <c r="AM219" s="77"/>
      <c r="AN219" s="77"/>
      <c r="AO219" s="77"/>
      <c r="AP219" s="77"/>
      <c r="AQ219" s="77"/>
      <c r="AR219" s="77"/>
      <c r="AS219" s="77"/>
      <c r="AT219" s="77"/>
      <c r="AU219" s="77"/>
      <c r="AV219" s="77"/>
      <c r="AX219" s="84">
        <v>2002</v>
      </c>
      <c r="AY219" s="84">
        <v>6</v>
      </c>
    </row>
    <row r="220" spans="1:58" s="38" customFormat="1" ht="16.5" customHeight="1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  <c r="AI220" s="77"/>
      <c r="AJ220" s="77"/>
      <c r="AK220" s="77"/>
      <c r="AL220" s="77"/>
      <c r="AM220" s="77"/>
      <c r="AN220" s="77"/>
      <c r="AO220" s="77"/>
      <c r="AP220" s="77"/>
      <c r="AQ220" s="77"/>
      <c r="AR220" s="77"/>
      <c r="AS220" s="77"/>
      <c r="AT220" s="77"/>
      <c r="AU220" s="77"/>
      <c r="AV220" s="77"/>
      <c r="AX220" s="84">
        <v>2002</v>
      </c>
      <c r="AY220" s="84">
        <v>6</v>
      </c>
    </row>
    <row r="221" spans="1:58" s="38" customFormat="1" ht="16.5" customHeight="1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  <c r="AI221" s="77"/>
      <c r="AJ221" s="77"/>
      <c r="AK221" s="77"/>
      <c r="AL221" s="77"/>
      <c r="AM221" s="77"/>
      <c r="AN221" s="77"/>
      <c r="AO221" s="77"/>
      <c r="AP221" s="77"/>
      <c r="AQ221" s="77"/>
      <c r="AR221" s="77"/>
      <c r="AS221" s="77"/>
      <c r="AT221" s="77"/>
      <c r="AU221" s="77"/>
      <c r="AV221" s="77"/>
      <c r="AX221" s="84">
        <v>1990</v>
      </c>
      <c r="AY221" s="84">
        <v>6</v>
      </c>
    </row>
    <row r="222" spans="1:58" s="38" customFormat="1" ht="16.5" customHeight="1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  <c r="AI222" s="77"/>
      <c r="AJ222" s="77"/>
      <c r="AK222" s="77"/>
      <c r="AL222" s="77"/>
      <c r="AM222" s="77"/>
      <c r="AN222" s="77"/>
      <c r="AO222" s="77"/>
      <c r="AP222" s="77"/>
      <c r="AQ222" s="77"/>
      <c r="AR222" s="77"/>
      <c r="AS222" s="77"/>
      <c r="AT222" s="77"/>
      <c r="AU222" s="77"/>
      <c r="AV222" s="77"/>
      <c r="AX222" s="84">
        <v>1990</v>
      </c>
      <c r="AY222" s="84">
        <v>6</v>
      </c>
    </row>
    <row r="223" spans="1:58" s="38" customFormat="1" ht="16.5" customHeight="1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  <c r="AI223" s="77"/>
      <c r="AJ223" s="77"/>
      <c r="AK223" s="77"/>
      <c r="AL223" s="77"/>
      <c r="AM223" s="77"/>
      <c r="AN223" s="77"/>
      <c r="AO223" s="77"/>
      <c r="AP223" s="77"/>
      <c r="AQ223" s="77"/>
      <c r="AR223" s="77"/>
      <c r="AS223" s="77"/>
      <c r="AT223" s="77"/>
      <c r="AU223" s="77"/>
      <c r="AV223" s="77"/>
      <c r="AX223" s="84">
        <v>1994</v>
      </c>
      <c r="AY223" s="84">
        <v>1</v>
      </c>
      <c r="AZ223" s="84"/>
      <c r="BA223" s="75" t="s">
        <v>59</v>
      </c>
      <c r="BB223" s="85">
        <v>0</v>
      </c>
      <c r="BC223" s="85">
        <v>0</v>
      </c>
      <c r="BD223" s="85">
        <v>0</v>
      </c>
      <c r="BE223" s="85">
        <v>0</v>
      </c>
      <c r="BF223" s="85">
        <v>0</v>
      </c>
    </row>
    <row r="224" spans="1:58" s="38" customFormat="1" ht="16.5" customHeight="1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  <c r="AI224" s="77"/>
      <c r="AJ224" s="77"/>
      <c r="AK224" s="77"/>
      <c r="AL224" s="77"/>
      <c r="AM224" s="77"/>
      <c r="AN224" s="77"/>
      <c r="AO224" s="77"/>
      <c r="AP224" s="77"/>
      <c r="AQ224" s="77"/>
      <c r="AR224" s="77"/>
      <c r="AS224" s="77"/>
      <c r="AT224" s="77"/>
      <c r="AU224" s="77"/>
      <c r="AV224" s="77"/>
      <c r="AX224" s="84">
        <v>1994</v>
      </c>
      <c r="AY224" s="84">
        <v>1</v>
      </c>
      <c r="AZ224" s="84"/>
      <c r="BA224" s="75" t="s">
        <v>60</v>
      </c>
      <c r="BB224" s="85">
        <v>0</v>
      </c>
      <c r="BC224" s="85">
        <v>0</v>
      </c>
      <c r="BD224" s="85">
        <v>0</v>
      </c>
      <c r="BE224" s="85">
        <v>0</v>
      </c>
      <c r="BF224" s="85">
        <v>0</v>
      </c>
    </row>
    <row r="225" spans="1:58" s="38" customFormat="1" ht="16.5" customHeight="1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  <c r="AI225" s="77"/>
      <c r="AJ225" s="77"/>
      <c r="AK225" s="77"/>
      <c r="AL225" s="77"/>
      <c r="AM225" s="77"/>
      <c r="AN225" s="77"/>
      <c r="AO225" s="77"/>
      <c r="AP225" s="77"/>
      <c r="AQ225" s="77"/>
      <c r="AR225" s="77"/>
      <c r="AS225" s="77"/>
      <c r="AT225" s="77"/>
      <c r="AU225" s="77"/>
      <c r="AV225" s="77"/>
      <c r="AX225" s="84">
        <v>1995</v>
      </c>
      <c r="AY225" s="84">
        <v>3</v>
      </c>
      <c r="AZ225" s="84"/>
      <c r="BA225" s="75" t="s">
        <v>66</v>
      </c>
      <c r="BB225" s="85">
        <v>0</v>
      </c>
      <c r="BC225" s="85">
        <v>0</v>
      </c>
      <c r="BD225" s="85">
        <v>0</v>
      </c>
      <c r="BE225" s="85">
        <v>0</v>
      </c>
      <c r="BF225" s="85">
        <v>0</v>
      </c>
    </row>
    <row r="226" spans="1:58" s="38" customFormat="1" ht="16.5" customHeight="1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  <c r="AI226" s="77"/>
      <c r="AJ226" s="77"/>
      <c r="AK226" s="77"/>
      <c r="AL226" s="77"/>
      <c r="AM226" s="77"/>
      <c r="AN226" s="77"/>
      <c r="AO226" s="77"/>
      <c r="AP226" s="77"/>
      <c r="AQ226" s="77"/>
      <c r="AR226" s="77"/>
      <c r="AS226" s="77"/>
      <c r="AT226" s="77"/>
      <c r="AU226" s="77"/>
      <c r="AV226" s="77"/>
      <c r="AX226" s="84">
        <v>1995</v>
      </c>
      <c r="AY226" s="84">
        <v>3</v>
      </c>
      <c r="AZ226" s="84"/>
      <c r="BA226" s="2"/>
    </row>
    <row r="227" spans="1:58" s="38" customFormat="1" ht="16.5" customHeight="1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  <c r="AI227" s="77"/>
      <c r="AJ227" s="77"/>
      <c r="AK227" s="77"/>
      <c r="AL227" s="77"/>
      <c r="AM227" s="77"/>
      <c r="AN227" s="77"/>
      <c r="AO227" s="77"/>
      <c r="AP227" s="77"/>
      <c r="AQ227" s="77"/>
      <c r="AR227" s="77"/>
      <c r="AS227" s="77"/>
      <c r="AT227" s="77"/>
      <c r="AU227" s="77"/>
      <c r="AV227" s="77"/>
      <c r="AX227" s="84">
        <v>1995</v>
      </c>
      <c r="AY227" s="84">
        <v>3</v>
      </c>
      <c r="AZ227" s="84"/>
      <c r="BA227" s="75"/>
      <c r="BB227" s="75" t="s">
        <v>62</v>
      </c>
      <c r="BC227" s="75" t="s">
        <v>63</v>
      </c>
      <c r="BD227" s="75" t="s">
        <v>64</v>
      </c>
      <c r="BE227" s="75" t="s">
        <v>65</v>
      </c>
      <c r="BF227" s="75" t="s">
        <v>66</v>
      </c>
    </row>
    <row r="228" spans="1:58" s="38" customFormat="1" ht="16.5" customHeight="1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  <c r="AI228" s="77"/>
      <c r="AJ228" s="77"/>
      <c r="AK228" s="77"/>
      <c r="AL228" s="77"/>
      <c r="AM228" s="77"/>
      <c r="AN228" s="77"/>
      <c r="AO228" s="77"/>
      <c r="AP228" s="77"/>
      <c r="AQ228" s="77"/>
      <c r="AR228" s="77"/>
      <c r="AS228" s="77"/>
      <c r="AT228" s="77"/>
      <c r="AU228" s="77"/>
      <c r="AV228" s="77"/>
      <c r="AX228" s="84">
        <v>1994</v>
      </c>
      <c r="AY228" s="84">
        <v>9</v>
      </c>
      <c r="BA228" s="75" t="s">
        <v>60</v>
      </c>
      <c r="BB228" s="87" t="e">
        <v>#DIV/0!</v>
      </c>
      <c r="BC228" s="87" t="e">
        <v>#DIV/0!</v>
      </c>
      <c r="BD228" s="87" t="e">
        <v>#DIV/0!</v>
      </c>
      <c r="BE228" s="87" t="e">
        <v>#DIV/0!</v>
      </c>
      <c r="BF228" s="87" t="e">
        <v>#DIV/0!</v>
      </c>
    </row>
    <row r="229" spans="1:58" s="38" customFormat="1" ht="16.5" customHeight="1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  <c r="AI229" s="77"/>
      <c r="AJ229" s="77"/>
      <c r="AK229" s="77"/>
      <c r="AL229" s="77"/>
      <c r="AM229" s="77"/>
      <c r="AN229" s="77"/>
      <c r="AO229" s="77"/>
      <c r="AP229" s="77"/>
      <c r="AQ229" s="77"/>
      <c r="AR229" s="77"/>
      <c r="AS229" s="77"/>
      <c r="AT229" s="77"/>
      <c r="AU229" s="77"/>
      <c r="AV229" s="77"/>
      <c r="AX229" s="84">
        <v>1993</v>
      </c>
      <c r="AY229" s="84">
        <v>11</v>
      </c>
      <c r="BA229" s="75" t="s">
        <v>66</v>
      </c>
      <c r="BB229" s="87" t="e">
        <v>#DIV/0!</v>
      </c>
      <c r="BC229" s="87" t="e">
        <v>#DIV/0!</v>
      </c>
      <c r="BD229" s="87" t="e">
        <v>#DIV/0!</v>
      </c>
      <c r="BE229" s="87" t="e">
        <v>#DIV/0!</v>
      </c>
      <c r="BF229" s="87" t="e">
        <v>#DIV/0!</v>
      </c>
    </row>
    <row r="230" spans="1:58" s="38" customFormat="1" ht="16.5" customHeight="1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  <c r="AH230" s="77"/>
      <c r="AI230" s="77"/>
      <c r="AJ230" s="77"/>
      <c r="AK230" s="77"/>
      <c r="AL230" s="77"/>
      <c r="AM230" s="77"/>
      <c r="AN230" s="77"/>
      <c r="AO230" s="77"/>
      <c r="AP230" s="77"/>
      <c r="AQ230" s="77"/>
      <c r="AR230" s="77"/>
      <c r="AS230" s="77"/>
      <c r="AT230" s="77"/>
      <c r="AU230" s="77"/>
      <c r="AV230" s="77"/>
      <c r="AX230" s="84">
        <v>2000</v>
      </c>
      <c r="AY230" s="84">
        <v>6</v>
      </c>
    </row>
    <row r="231" spans="1:58" s="38" customFormat="1" ht="16.5" customHeight="1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  <c r="AH231" s="77"/>
      <c r="AI231" s="77"/>
      <c r="AJ231" s="77"/>
      <c r="AK231" s="77"/>
      <c r="AL231" s="77"/>
      <c r="AM231" s="77"/>
      <c r="AN231" s="77"/>
      <c r="AO231" s="77"/>
      <c r="AP231" s="77"/>
      <c r="AQ231" s="77"/>
      <c r="AR231" s="77"/>
      <c r="AS231" s="77"/>
      <c r="AT231" s="77"/>
      <c r="AU231" s="77"/>
      <c r="AV231" s="77"/>
      <c r="AX231" s="84">
        <v>2000</v>
      </c>
      <c r="AY231" s="84">
        <v>6</v>
      </c>
    </row>
    <row r="232" spans="1:58" s="38" customFormat="1" ht="16.5" customHeight="1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  <c r="AI232" s="77"/>
      <c r="AJ232" s="77"/>
      <c r="AK232" s="77"/>
      <c r="AL232" s="77"/>
      <c r="AM232" s="77"/>
      <c r="AN232" s="77"/>
      <c r="AO232" s="77"/>
      <c r="AP232" s="77"/>
      <c r="AQ232" s="77"/>
      <c r="AR232" s="77"/>
      <c r="AS232" s="77"/>
      <c r="AT232" s="77"/>
      <c r="AU232" s="77"/>
      <c r="AV232" s="77"/>
      <c r="AX232" s="84">
        <v>1994</v>
      </c>
      <c r="AY232" s="84">
        <v>3</v>
      </c>
    </row>
    <row r="233" spans="1:58" s="38" customFormat="1" ht="16.5" customHeight="1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  <c r="AI233" s="77"/>
      <c r="AJ233" s="77"/>
      <c r="AK233" s="77"/>
      <c r="AL233" s="77"/>
      <c r="AM233" s="77"/>
      <c r="AN233" s="77"/>
      <c r="AO233" s="77"/>
      <c r="AP233" s="77"/>
      <c r="AQ233" s="77"/>
      <c r="AR233" s="77"/>
      <c r="AS233" s="77"/>
      <c r="AT233" s="77"/>
      <c r="AU233" s="77"/>
      <c r="AV233" s="77"/>
      <c r="AX233" s="84">
        <v>1993</v>
      </c>
      <c r="AY233" s="84">
        <v>6</v>
      </c>
    </row>
    <row r="234" spans="1:58" s="38" customFormat="1" ht="16.5" customHeight="1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  <c r="AI234" s="77"/>
      <c r="AJ234" s="77"/>
      <c r="AK234" s="77"/>
      <c r="AL234" s="77"/>
      <c r="AM234" s="77"/>
      <c r="AN234" s="77"/>
      <c r="AO234" s="77"/>
      <c r="AP234" s="77"/>
      <c r="AQ234" s="77"/>
      <c r="AR234" s="77"/>
      <c r="AS234" s="77"/>
      <c r="AT234" s="77"/>
      <c r="AU234" s="77"/>
      <c r="AV234" s="77"/>
      <c r="AX234" s="84"/>
      <c r="AY234" s="84"/>
      <c r="AZ234" s="66"/>
    </row>
    <row r="235" spans="1:58" s="38" customFormat="1" ht="16.5" customHeight="1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  <c r="AI235" s="77"/>
      <c r="AJ235" s="77"/>
      <c r="AK235" s="77"/>
      <c r="AL235" s="77"/>
      <c r="AM235" s="77"/>
      <c r="AN235" s="77"/>
      <c r="AO235" s="77"/>
      <c r="AP235" s="77"/>
      <c r="AQ235" s="77"/>
      <c r="AR235" s="77"/>
      <c r="AS235" s="77"/>
      <c r="AT235" s="77"/>
      <c r="AU235" s="77"/>
      <c r="AV235" s="77"/>
      <c r="AX235" s="84"/>
      <c r="AY235" s="84"/>
      <c r="AZ235" s="66"/>
    </row>
    <row r="236" spans="1:58" s="38" customFormat="1" ht="16.5" customHeight="1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  <c r="AI236" s="77"/>
      <c r="AJ236" s="77"/>
      <c r="AK236" s="77"/>
      <c r="AL236" s="77"/>
      <c r="AM236" s="77"/>
      <c r="AN236" s="77"/>
      <c r="AO236" s="77"/>
      <c r="AP236" s="77"/>
      <c r="AQ236" s="77"/>
      <c r="AR236" s="77"/>
      <c r="AS236" s="77"/>
      <c r="AT236" s="77"/>
      <c r="AU236" s="77"/>
      <c r="AV236" s="77"/>
      <c r="AX236" s="84"/>
      <c r="AY236" s="84"/>
      <c r="AZ236" s="66"/>
    </row>
    <row r="237" spans="1:58" s="38" customFormat="1" ht="16.5" customHeight="1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  <c r="AI237" s="77"/>
      <c r="AJ237" s="77"/>
      <c r="AK237" s="77"/>
      <c r="AL237" s="77"/>
      <c r="AM237" s="77"/>
      <c r="AN237" s="77"/>
      <c r="AO237" s="77"/>
      <c r="AP237" s="77"/>
      <c r="AQ237" s="77"/>
      <c r="AR237" s="77"/>
      <c r="AS237" s="77"/>
      <c r="AT237" s="77"/>
      <c r="AU237" s="77"/>
      <c r="AV237" s="77"/>
      <c r="AX237" s="84"/>
      <c r="AY237" s="84"/>
      <c r="AZ237" s="66"/>
    </row>
    <row r="238" spans="1:58" s="38" customFormat="1" ht="16.5" customHeight="1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  <c r="AI238" s="77"/>
      <c r="AJ238" s="77"/>
      <c r="AK238" s="77"/>
      <c r="AL238" s="77"/>
      <c r="AM238" s="77"/>
      <c r="AN238" s="77"/>
      <c r="AO238" s="77"/>
      <c r="AP238" s="77"/>
      <c r="AQ238" s="77"/>
      <c r="AR238" s="77"/>
      <c r="AS238" s="77"/>
      <c r="AT238" s="77"/>
      <c r="AU238" s="77"/>
      <c r="AV238" s="77"/>
      <c r="AX238" s="84"/>
      <c r="AY238" s="84"/>
      <c r="AZ238" s="66"/>
    </row>
    <row r="239" spans="1:58" s="38" customFormat="1" ht="16.5" customHeight="1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  <c r="AI239" s="77"/>
      <c r="AJ239" s="77"/>
      <c r="AK239" s="77"/>
      <c r="AL239" s="77"/>
      <c r="AM239" s="77"/>
      <c r="AN239" s="77"/>
      <c r="AO239" s="77"/>
      <c r="AP239" s="77"/>
      <c r="AQ239" s="77"/>
      <c r="AR239" s="77"/>
      <c r="AS239" s="77"/>
      <c r="AT239" s="77"/>
      <c r="AU239" s="77"/>
      <c r="AV239" s="77"/>
      <c r="AX239" s="84"/>
      <c r="AY239" s="84"/>
      <c r="AZ239" s="66"/>
    </row>
    <row r="240" spans="1:58" s="38" customFormat="1" ht="16.5" customHeight="1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  <c r="AI240" s="77"/>
      <c r="AJ240" s="77"/>
      <c r="AK240" s="77"/>
      <c r="AL240" s="77"/>
      <c r="AM240" s="77"/>
      <c r="AN240" s="77"/>
      <c r="AO240" s="77"/>
      <c r="AP240" s="77"/>
      <c r="AQ240" s="77"/>
      <c r="AR240" s="77"/>
      <c r="AS240" s="77"/>
      <c r="AT240" s="77"/>
      <c r="AU240" s="77"/>
      <c r="AV240" s="77"/>
      <c r="AX240" s="84"/>
      <c r="AY240" s="84"/>
      <c r="AZ240" s="66"/>
    </row>
    <row r="241" spans="1:52" s="38" customFormat="1" ht="16.5" customHeight="1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  <c r="AI241" s="77"/>
      <c r="AJ241" s="77"/>
      <c r="AK241" s="77"/>
      <c r="AL241" s="77"/>
      <c r="AM241" s="77"/>
      <c r="AN241" s="77"/>
      <c r="AO241" s="77"/>
      <c r="AP241" s="77"/>
      <c r="AQ241" s="77"/>
      <c r="AR241" s="77"/>
      <c r="AS241" s="77"/>
      <c r="AT241" s="77"/>
      <c r="AU241" s="77"/>
      <c r="AV241" s="77"/>
      <c r="AX241" s="84"/>
      <c r="AY241" s="84"/>
      <c r="AZ241" s="66"/>
    </row>
    <row r="242" spans="1:52" s="38" customFormat="1" ht="16.5" customHeight="1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  <c r="AI242" s="77"/>
      <c r="AJ242" s="77"/>
      <c r="AK242" s="77"/>
      <c r="AL242" s="77"/>
      <c r="AM242" s="77"/>
      <c r="AN242" s="77"/>
      <c r="AO242" s="77"/>
      <c r="AP242" s="77"/>
      <c r="AQ242" s="77"/>
      <c r="AR242" s="77"/>
      <c r="AS242" s="77"/>
      <c r="AT242" s="77"/>
      <c r="AU242" s="77"/>
      <c r="AV242" s="77"/>
      <c r="AX242" s="84"/>
      <c r="AY242" s="84"/>
      <c r="AZ242" s="66"/>
    </row>
    <row r="243" spans="1:52" s="38" customFormat="1" ht="16.5" customHeight="1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  <c r="AI243" s="77"/>
      <c r="AJ243" s="77"/>
      <c r="AK243" s="77"/>
      <c r="AL243" s="77"/>
      <c r="AM243" s="77"/>
      <c r="AN243" s="77"/>
      <c r="AO243" s="77"/>
      <c r="AP243" s="77"/>
      <c r="AQ243" s="77"/>
      <c r="AR243" s="77"/>
      <c r="AS243" s="77"/>
      <c r="AT243" s="77"/>
      <c r="AU243" s="77"/>
      <c r="AV243" s="77"/>
      <c r="AX243" s="84"/>
      <c r="AY243" s="84"/>
      <c r="AZ243" s="66"/>
    </row>
    <row r="244" spans="1:52" s="38" customFormat="1" ht="16.5" customHeight="1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  <c r="AI244" s="77"/>
      <c r="AJ244" s="77"/>
      <c r="AK244" s="77"/>
      <c r="AL244" s="77"/>
      <c r="AM244" s="77"/>
      <c r="AN244" s="77"/>
      <c r="AO244" s="77"/>
      <c r="AP244" s="77"/>
      <c r="AQ244" s="77"/>
      <c r="AR244" s="77"/>
      <c r="AS244" s="77"/>
      <c r="AT244" s="77"/>
      <c r="AU244" s="77"/>
      <c r="AV244" s="77"/>
      <c r="AX244" s="84"/>
      <c r="AY244" s="84"/>
      <c r="AZ244" s="66"/>
    </row>
    <row r="245" spans="1:52" s="38" customFormat="1" ht="16.5" customHeight="1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  <c r="AI245" s="77"/>
      <c r="AJ245" s="77"/>
      <c r="AK245" s="77"/>
      <c r="AL245" s="77"/>
      <c r="AM245" s="77"/>
      <c r="AN245" s="77"/>
      <c r="AO245" s="77"/>
      <c r="AP245" s="77"/>
      <c r="AQ245" s="77"/>
      <c r="AR245" s="77"/>
      <c r="AS245" s="77"/>
      <c r="AT245" s="77"/>
      <c r="AU245" s="77"/>
      <c r="AV245" s="77"/>
      <c r="AX245" s="84"/>
      <c r="AY245" s="84"/>
      <c r="AZ245" s="66"/>
    </row>
    <row r="246" spans="1:52" s="38" customFormat="1" ht="16.5" customHeight="1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  <c r="AI246" s="77"/>
      <c r="AJ246" s="77"/>
      <c r="AK246" s="77"/>
      <c r="AL246" s="77"/>
      <c r="AM246" s="77"/>
      <c r="AN246" s="77"/>
      <c r="AO246" s="77"/>
      <c r="AP246" s="77"/>
      <c r="AQ246" s="77"/>
      <c r="AR246" s="77"/>
      <c r="AS246" s="77"/>
      <c r="AT246" s="77"/>
      <c r="AU246" s="77"/>
      <c r="AV246" s="77"/>
      <c r="AX246" s="84"/>
      <c r="AY246" s="84"/>
      <c r="AZ246" s="66"/>
    </row>
    <row r="247" spans="1:52" s="38" customFormat="1" ht="16.5" customHeight="1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  <c r="AI247" s="77"/>
      <c r="AJ247" s="77"/>
      <c r="AK247" s="77"/>
      <c r="AL247" s="77"/>
      <c r="AM247" s="77"/>
      <c r="AN247" s="77"/>
      <c r="AO247" s="77"/>
      <c r="AP247" s="77"/>
      <c r="AQ247" s="77"/>
      <c r="AR247" s="77"/>
      <c r="AS247" s="77"/>
      <c r="AT247" s="77"/>
      <c r="AU247" s="77"/>
      <c r="AV247" s="77"/>
      <c r="AX247" s="84"/>
      <c r="AY247" s="84"/>
      <c r="AZ247" s="66"/>
    </row>
    <row r="248" spans="1:52" s="38" customFormat="1" ht="16.5" customHeight="1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  <c r="AI248" s="77"/>
      <c r="AJ248" s="77"/>
      <c r="AK248" s="77"/>
      <c r="AL248" s="77"/>
      <c r="AM248" s="77"/>
      <c r="AN248" s="77"/>
      <c r="AO248" s="77"/>
      <c r="AP248" s="77"/>
      <c r="AQ248" s="77"/>
      <c r="AR248" s="77"/>
      <c r="AS248" s="77"/>
      <c r="AT248" s="77"/>
      <c r="AU248" s="77"/>
      <c r="AV248" s="77"/>
      <c r="AX248" s="84"/>
      <c r="AY248" s="84"/>
      <c r="AZ248" s="66"/>
    </row>
    <row r="249" spans="1:52" s="38" customFormat="1" ht="16.5" customHeight="1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  <c r="AI249" s="77"/>
      <c r="AJ249" s="77"/>
      <c r="AK249" s="77"/>
      <c r="AL249" s="77"/>
      <c r="AM249" s="77"/>
      <c r="AN249" s="77"/>
      <c r="AO249" s="77"/>
      <c r="AP249" s="77"/>
      <c r="AQ249" s="77"/>
      <c r="AR249" s="77"/>
      <c r="AS249" s="77"/>
      <c r="AT249" s="77"/>
      <c r="AU249" s="77"/>
      <c r="AV249" s="77"/>
      <c r="AX249" s="84"/>
      <c r="AY249" s="84"/>
      <c r="AZ249" s="66"/>
    </row>
    <row r="250" spans="1:52" s="38" customFormat="1" ht="16.5" customHeight="1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  <c r="AI250" s="77"/>
      <c r="AJ250" s="77"/>
      <c r="AK250" s="77"/>
      <c r="AL250" s="77"/>
      <c r="AM250" s="77"/>
      <c r="AN250" s="77"/>
      <c r="AO250" s="77"/>
      <c r="AP250" s="77"/>
      <c r="AQ250" s="77"/>
      <c r="AR250" s="77"/>
      <c r="AS250" s="77"/>
      <c r="AT250" s="77"/>
      <c r="AU250" s="77"/>
      <c r="AV250" s="77"/>
      <c r="AX250" s="84"/>
      <c r="AY250" s="84"/>
      <c r="AZ250" s="66"/>
    </row>
    <row r="251" spans="1:52" s="38" customFormat="1" ht="16.5" customHeight="1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  <c r="AI251" s="77"/>
      <c r="AJ251" s="77"/>
      <c r="AK251" s="77"/>
      <c r="AL251" s="77"/>
      <c r="AM251" s="77"/>
      <c r="AN251" s="77"/>
      <c r="AO251" s="77"/>
      <c r="AP251" s="77"/>
      <c r="AQ251" s="77"/>
      <c r="AR251" s="77"/>
      <c r="AS251" s="77"/>
      <c r="AT251" s="77"/>
      <c r="AU251" s="77"/>
      <c r="AV251" s="77"/>
      <c r="AX251" s="84"/>
      <c r="AY251" s="84"/>
      <c r="AZ251" s="66"/>
    </row>
    <row r="252" spans="1:52" s="38" customFormat="1" ht="16.5" customHeight="1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  <c r="AI252" s="77"/>
      <c r="AJ252" s="77"/>
      <c r="AK252" s="77"/>
      <c r="AL252" s="77"/>
      <c r="AM252" s="77"/>
      <c r="AN252" s="77"/>
      <c r="AO252" s="77"/>
      <c r="AP252" s="77"/>
      <c r="AQ252" s="77"/>
      <c r="AR252" s="77"/>
      <c r="AS252" s="77"/>
      <c r="AT252" s="77"/>
      <c r="AU252" s="77"/>
      <c r="AV252" s="77"/>
      <c r="AX252" s="84"/>
      <c r="AY252" s="84"/>
      <c r="AZ252" s="66"/>
    </row>
    <row r="253" spans="1:52" s="38" customFormat="1" ht="16.5" customHeight="1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  <c r="AI253" s="77"/>
      <c r="AJ253" s="77"/>
      <c r="AK253" s="77"/>
      <c r="AL253" s="77"/>
      <c r="AM253" s="77"/>
      <c r="AN253" s="77"/>
      <c r="AO253" s="77"/>
      <c r="AP253" s="77"/>
      <c r="AQ253" s="77"/>
      <c r="AR253" s="77"/>
      <c r="AS253" s="77"/>
      <c r="AT253" s="77"/>
      <c r="AU253" s="77"/>
      <c r="AV253" s="77"/>
      <c r="AX253" s="84"/>
      <c r="AY253" s="84"/>
      <c r="AZ253" s="66"/>
    </row>
    <row r="254" spans="1:52" s="38" customFormat="1" ht="16.5" customHeight="1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  <c r="AI254" s="77"/>
      <c r="AJ254" s="77"/>
      <c r="AK254" s="77"/>
      <c r="AL254" s="77"/>
      <c r="AM254" s="77"/>
      <c r="AN254" s="77"/>
      <c r="AO254" s="77"/>
      <c r="AP254" s="77"/>
      <c r="AQ254" s="77"/>
      <c r="AR254" s="77"/>
      <c r="AS254" s="77"/>
      <c r="AT254" s="77"/>
      <c r="AU254" s="77"/>
      <c r="AV254" s="77"/>
      <c r="AX254" s="84"/>
      <c r="AY254" s="84"/>
      <c r="AZ254" s="66"/>
    </row>
    <row r="255" spans="1:52" s="38" customFormat="1" ht="16.5" customHeight="1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  <c r="AI255" s="77"/>
      <c r="AJ255" s="77"/>
      <c r="AK255" s="77"/>
      <c r="AL255" s="77"/>
      <c r="AM255" s="77"/>
      <c r="AN255" s="77"/>
      <c r="AO255" s="77"/>
      <c r="AP255" s="77"/>
      <c r="AQ255" s="77"/>
      <c r="AR255" s="77"/>
      <c r="AS255" s="77"/>
      <c r="AT255" s="77"/>
      <c r="AU255" s="77"/>
      <c r="AV255" s="77"/>
      <c r="AX255" s="84"/>
      <c r="AY255" s="84"/>
      <c r="AZ255" s="66"/>
    </row>
    <row r="256" spans="1:52" s="38" customFormat="1" ht="16.5" customHeight="1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  <c r="AI256" s="77"/>
      <c r="AJ256" s="77"/>
      <c r="AK256" s="77"/>
      <c r="AL256" s="77"/>
      <c r="AM256" s="77"/>
      <c r="AN256" s="77"/>
      <c r="AO256" s="77"/>
      <c r="AP256" s="77"/>
      <c r="AQ256" s="77"/>
      <c r="AR256" s="77"/>
      <c r="AS256" s="77"/>
      <c r="AT256" s="77"/>
      <c r="AU256" s="77"/>
      <c r="AV256" s="77"/>
      <c r="AX256" s="84"/>
      <c r="AY256" s="84"/>
      <c r="AZ256" s="66"/>
    </row>
    <row r="257" spans="1:52" s="38" customFormat="1" ht="16.5" customHeight="1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  <c r="AI257" s="77"/>
      <c r="AJ257" s="77"/>
      <c r="AK257" s="77"/>
      <c r="AL257" s="77"/>
      <c r="AM257" s="77"/>
      <c r="AN257" s="77"/>
      <c r="AO257" s="77"/>
      <c r="AP257" s="77"/>
      <c r="AQ257" s="77"/>
      <c r="AR257" s="77"/>
      <c r="AS257" s="77"/>
      <c r="AT257" s="77"/>
      <c r="AU257" s="77"/>
      <c r="AV257" s="77"/>
      <c r="AX257" s="84"/>
      <c r="AY257" s="84"/>
      <c r="AZ257" s="66"/>
    </row>
    <row r="258" spans="1:52" s="38" customFormat="1" ht="16.5" customHeight="1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  <c r="AI258" s="77"/>
      <c r="AJ258" s="77"/>
      <c r="AK258" s="77"/>
      <c r="AL258" s="77"/>
      <c r="AM258" s="77"/>
      <c r="AN258" s="77"/>
      <c r="AO258" s="77"/>
      <c r="AP258" s="77"/>
      <c r="AQ258" s="77"/>
      <c r="AR258" s="77"/>
      <c r="AS258" s="77"/>
      <c r="AT258" s="77"/>
      <c r="AU258" s="77"/>
      <c r="AV258" s="77"/>
      <c r="AX258" s="84"/>
      <c r="AY258" s="84"/>
      <c r="AZ258" s="66"/>
    </row>
    <row r="259" spans="1:52" s="38" customFormat="1" ht="16.5" customHeight="1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  <c r="AI259" s="77"/>
      <c r="AJ259" s="77"/>
      <c r="AK259" s="77"/>
      <c r="AL259" s="77"/>
      <c r="AM259" s="77"/>
      <c r="AN259" s="77"/>
      <c r="AO259" s="77"/>
      <c r="AP259" s="77"/>
      <c r="AQ259" s="77"/>
      <c r="AR259" s="77"/>
      <c r="AS259" s="77"/>
      <c r="AT259" s="77"/>
      <c r="AU259" s="77"/>
      <c r="AV259" s="77"/>
      <c r="AX259" s="84"/>
      <c r="AY259" s="84"/>
      <c r="AZ259" s="66"/>
    </row>
    <row r="260" spans="1:52" s="38" customFormat="1" ht="16.5" customHeight="1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  <c r="AI260" s="77"/>
      <c r="AJ260" s="77"/>
      <c r="AK260" s="77"/>
      <c r="AL260" s="77"/>
      <c r="AM260" s="77"/>
      <c r="AN260" s="77"/>
      <c r="AO260" s="77"/>
      <c r="AP260" s="77"/>
      <c r="AQ260" s="77"/>
      <c r="AR260" s="77"/>
      <c r="AS260" s="77"/>
      <c r="AT260" s="77"/>
      <c r="AU260" s="77"/>
      <c r="AV260" s="77"/>
      <c r="AX260" s="84"/>
      <c r="AY260" s="84"/>
      <c r="AZ260" s="66"/>
    </row>
    <row r="261" spans="1:52" s="38" customFormat="1" ht="16.5" customHeight="1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  <c r="AI261" s="77"/>
      <c r="AJ261" s="77"/>
      <c r="AK261" s="77"/>
      <c r="AL261" s="77"/>
      <c r="AM261" s="77"/>
      <c r="AN261" s="77"/>
      <c r="AO261" s="77"/>
      <c r="AP261" s="77"/>
      <c r="AQ261" s="77"/>
      <c r="AR261" s="77"/>
      <c r="AS261" s="77"/>
      <c r="AT261" s="77"/>
      <c r="AU261" s="77"/>
      <c r="AV261" s="77"/>
      <c r="AX261" s="84"/>
      <c r="AY261" s="84"/>
      <c r="AZ261" s="66"/>
    </row>
    <row r="262" spans="1:52" s="38" customFormat="1" ht="16.5" customHeight="1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  <c r="AI262" s="77"/>
      <c r="AJ262" s="77"/>
      <c r="AK262" s="77"/>
      <c r="AL262" s="77"/>
      <c r="AM262" s="77"/>
      <c r="AN262" s="77"/>
      <c r="AO262" s="77"/>
      <c r="AP262" s="77"/>
      <c r="AQ262" s="77"/>
      <c r="AR262" s="77"/>
      <c r="AS262" s="77"/>
      <c r="AT262" s="77"/>
      <c r="AU262" s="77"/>
      <c r="AV262" s="77"/>
      <c r="AX262" s="84"/>
      <c r="AY262" s="84"/>
      <c r="AZ262" s="66"/>
    </row>
    <row r="263" spans="1:52" s="38" customFormat="1" ht="16.5" customHeight="1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  <c r="AI263" s="77"/>
      <c r="AJ263" s="77"/>
      <c r="AK263" s="77"/>
      <c r="AL263" s="77"/>
      <c r="AM263" s="77"/>
      <c r="AN263" s="77"/>
      <c r="AO263" s="77"/>
      <c r="AP263" s="77"/>
      <c r="AQ263" s="77"/>
      <c r="AR263" s="77"/>
      <c r="AS263" s="77"/>
      <c r="AT263" s="77"/>
      <c r="AU263" s="77"/>
      <c r="AV263" s="77"/>
      <c r="AX263" s="84"/>
      <c r="AY263" s="84"/>
      <c r="AZ263" s="66"/>
    </row>
    <row r="264" spans="1:52" s="38" customFormat="1" ht="16.5" customHeight="1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  <c r="AI264" s="77"/>
      <c r="AJ264" s="77"/>
      <c r="AK264" s="77"/>
      <c r="AL264" s="77"/>
      <c r="AM264" s="77"/>
      <c r="AN264" s="77"/>
      <c r="AO264" s="77"/>
      <c r="AP264" s="77"/>
      <c r="AQ264" s="77"/>
      <c r="AR264" s="77"/>
      <c r="AS264" s="77"/>
      <c r="AT264" s="77"/>
      <c r="AU264" s="77"/>
      <c r="AV264" s="77"/>
      <c r="AX264" s="84"/>
      <c r="AY264" s="84"/>
      <c r="AZ264" s="66"/>
    </row>
    <row r="265" spans="1:52" s="38" customFormat="1" ht="16.5" customHeight="1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  <c r="AI265" s="77"/>
      <c r="AJ265" s="77"/>
      <c r="AK265" s="77"/>
      <c r="AL265" s="77"/>
      <c r="AM265" s="77"/>
      <c r="AN265" s="77"/>
      <c r="AO265" s="77"/>
      <c r="AP265" s="77"/>
      <c r="AQ265" s="77"/>
      <c r="AR265" s="77"/>
      <c r="AS265" s="77"/>
      <c r="AT265" s="77"/>
      <c r="AU265" s="77"/>
      <c r="AV265" s="77"/>
      <c r="AX265" s="84"/>
      <c r="AY265" s="84"/>
      <c r="AZ265" s="66"/>
    </row>
    <row r="266" spans="1:52" s="38" customFormat="1" ht="16.5" customHeight="1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  <c r="AI266" s="77"/>
      <c r="AJ266" s="77"/>
      <c r="AK266" s="77"/>
      <c r="AL266" s="77"/>
      <c r="AM266" s="77"/>
      <c r="AN266" s="77"/>
      <c r="AO266" s="77"/>
      <c r="AP266" s="77"/>
      <c r="AQ266" s="77"/>
      <c r="AR266" s="77"/>
      <c r="AS266" s="77"/>
      <c r="AT266" s="77"/>
      <c r="AU266" s="77"/>
      <c r="AV266" s="77"/>
      <c r="AX266" s="84"/>
      <c r="AY266" s="84"/>
      <c r="AZ266" s="66"/>
    </row>
    <row r="267" spans="1:52" s="38" customFormat="1" ht="16.5" customHeight="1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  <c r="AI267" s="77"/>
      <c r="AJ267" s="77"/>
      <c r="AK267" s="77"/>
      <c r="AL267" s="77"/>
      <c r="AM267" s="77"/>
      <c r="AN267" s="77"/>
      <c r="AO267" s="77"/>
      <c r="AP267" s="77"/>
      <c r="AQ267" s="77"/>
      <c r="AR267" s="77"/>
      <c r="AS267" s="77"/>
      <c r="AT267" s="77"/>
      <c r="AU267" s="77"/>
      <c r="AV267" s="77"/>
      <c r="AX267" s="84"/>
      <c r="AY267" s="84"/>
      <c r="AZ267" s="66"/>
    </row>
    <row r="268" spans="1:52" s="38" customFormat="1" ht="16.5" customHeight="1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  <c r="AI268" s="77"/>
      <c r="AJ268" s="77"/>
      <c r="AK268" s="77"/>
      <c r="AL268" s="77"/>
      <c r="AM268" s="77"/>
      <c r="AN268" s="77"/>
      <c r="AO268" s="77"/>
      <c r="AP268" s="77"/>
      <c r="AQ268" s="77"/>
      <c r="AR268" s="77"/>
      <c r="AS268" s="77"/>
      <c r="AT268" s="77"/>
      <c r="AU268" s="77"/>
      <c r="AV268" s="77"/>
      <c r="AX268" s="84"/>
      <c r="AY268" s="84"/>
      <c r="AZ268" s="66"/>
    </row>
    <row r="269" spans="1:52" s="38" customFormat="1" ht="16.5" customHeight="1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  <c r="AH269" s="77"/>
      <c r="AI269" s="77"/>
      <c r="AJ269" s="77"/>
      <c r="AK269" s="77"/>
      <c r="AL269" s="77"/>
      <c r="AM269" s="77"/>
      <c r="AN269" s="77"/>
      <c r="AO269" s="77"/>
      <c r="AP269" s="77"/>
      <c r="AQ269" s="77"/>
      <c r="AR269" s="77"/>
      <c r="AS269" s="77"/>
      <c r="AT269" s="77"/>
      <c r="AU269" s="77"/>
      <c r="AV269" s="77"/>
      <c r="AX269" s="84"/>
      <c r="AY269" s="84"/>
      <c r="AZ269" s="66"/>
    </row>
    <row r="270" spans="1:52" s="38" customFormat="1" ht="16.5" customHeight="1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  <c r="AI270" s="77"/>
      <c r="AJ270" s="77"/>
      <c r="AK270" s="77"/>
      <c r="AL270" s="77"/>
      <c r="AM270" s="77"/>
      <c r="AN270" s="77"/>
      <c r="AO270" s="77"/>
      <c r="AP270" s="77"/>
      <c r="AQ270" s="77"/>
      <c r="AR270" s="77"/>
      <c r="AS270" s="77"/>
      <c r="AT270" s="77"/>
      <c r="AU270" s="77"/>
      <c r="AV270" s="77"/>
      <c r="AX270" s="84"/>
      <c r="AY270" s="84"/>
      <c r="AZ270" s="66"/>
    </row>
    <row r="271" spans="1:52" s="38" customFormat="1" ht="16.5" customHeight="1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  <c r="AI271" s="77"/>
      <c r="AJ271" s="77"/>
      <c r="AK271" s="77"/>
      <c r="AL271" s="77"/>
      <c r="AM271" s="77"/>
      <c r="AN271" s="77"/>
      <c r="AO271" s="77"/>
      <c r="AP271" s="77"/>
      <c r="AQ271" s="77"/>
      <c r="AR271" s="77"/>
      <c r="AS271" s="77"/>
      <c r="AT271" s="77"/>
      <c r="AU271" s="77"/>
      <c r="AV271" s="77"/>
      <c r="AX271" s="84"/>
      <c r="AY271" s="84"/>
      <c r="AZ271" s="66"/>
    </row>
    <row r="272" spans="1:52" s="38" customFormat="1" ht="16.5" customHeight="1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  <c r="AG272" s="77"/>
      <c r="AH272" s="77"/>
      <c r="AI272" s="77"/>
      <c r="AJ272" s="77"/>
      <c r="AK272" s="77"/>
      <c r="AL272" s="77"/>
      <c r="AM272" s="77"/>
      <c r="AN272" s="77"/>
      <c r="AO272" s="77"/>
      <c r="AP272" s="77"/>
      <c r="AQ272" s="77"/>
      <c r="AR272" s="77"/>
      <c r="AS272" s="77"/>
      <c r="AT272" s="77"/>
      <c r="AU272" s="77"/>
      <c r="AV272" s="77"/>
      <c r="AX272" s="84"/>
      <c r="AY272" s="84"/>
      <c r="AZ272" s="66"/>
    </row>
    <row r="273" spans="1:52" s="38" customFormat="1" ht="16.5" customHeight="1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  <c r="AI273" s="77"/>
      <c r="AJ273" s="77"/>
      <c r="AK273" s="77"/>
      <c r="AL273" s="77"/>
      <c r="AM273" s="77"/>
      <c r="AN273" s="77"/>
      <c r="AO273" s="77"/>
      <c r="AP273" s="77"/>
      <c r="AQ273" s="77"/>
      <c r="AR273" s="77"/>
      <c r="AS273" s="77"/>
      <c r="AT273" s="77"/>
      <c r="AU273" s="77"/>
      <c r="AV273" s="77"/>
      <c r="AX273" s="84"/>
      <c r="AY273" s="84"/>
      <c r="AZ273" s="66"/>
    </row>
    <row r="274" spans="1:52" s="38" customFormat="1" ht="16.5" customHeight="1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  <c r="AG274" s="77"/>
      <c r="AH274" s="77"/>
      <c r="AI274" s="77"/>
      <c r="AJ274" s="77"/>
      <c r="AK274" s="77"/>
      <c r="AL274" s="77"/>
      <c r="AM274" s="77"/>
      <c r="AN274" s="77"/>
      <c r="AO274" s="77"/>
      <c r="AP274" s="77"/>
      <c r="AQ274" s="77"/>
      <c r="AR274" s="77"/>
      <c r="AS274" s="77"/>
      <c r="AT274" s="77"/>
      <c r="AU274" s="77"/>
      <c r="AV274" s="77"/>
      <c r="AX274" s="84"/>
      <c r="AY274" s="84"/>
      <c r="AZ274" s="66"/>
    </row>
    <row r="275" spans="1:52" s="38" customFormat="1" ht="16.5" customHeight="1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  <c r="AG275" s="77"/>
      <c r="AH275" s="77"/>
      <c r="AI275" s="77"/>
      <c r="AJ275" s="77"/>
      <c r="AK275" s="77"/>
      <c r="AL275" s="77"/>
      <c r="AM275" s="77"/>
      <c r="AN275" s="77"/>
      <c r="AO275" s="77"/>
      <c r="AP275" s="77"/>
      <c r="AQ275" s="77"/>
      <c r="AR275" s="77"/>
      <c r="AS275" s="77"/>
      <c r="AT275" s="77"/>
      <c r="AU275" s="77"/>
      <c r="AV275" s="77"/>
      <c r="AX275" s="84"/>
      <c r="AY275" s="84"/>
      <c r="AZ275" s="66"/>
    </row>
    <row r="276" spans="1:52" s="38" customFormat="1" ht="16.5" customHeight="1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  <c r="AI276" s="77"/>
      <c r="AJ276" s="77"/>
      <c r="AK276" s="77"/>
      <c r="AL276" s="77"/>
      <c r="AM276" s="77"/>
      <c r="AN276" s="77"/>
      <c r="AO276" s="77"/>
      <c r="AP276" s="77"/>
      <c r="AQ276" s="77"/>
      <c r="AR276" s="77"/>
      <c r="AS276" s="77"/>
      <c r="AT276" s="77"/>
      <c r="AU276" s="77"/>
      <c r="AV276" s="77"/>
      <c r="AX276" s="84"/>
      <c r="AY276" s="84"/>
      <c r="AZ276" s="66"/>
    </row>
    <row r="277" spans="1:52" s="38" customFormat="1" ht="16.5" customHeight="1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  <c r="AG277" s="77"/>
      <c r="AH277" s="77"/>
      <c r="AI277" s="77"/>
      <c r="AJ277" s="77"/>
      <c r="AK277" s="77"/>
      <c r="AL277" s="77"/>
      <c r="AM277" s="77"/>
      <c r="AN277" s="77"/>
      <c r="AO277" s="77"/>
      <c r="AP277" s="77"/>
      <c r="AQ277" s="77"/>
      <c r="AR277" s="77"/>
      <c r="AS277" s="77"/>
      <c r="AT277" s="77"/>
      <c r="AU277" s="77"/>
      <c r="AV277" s="77"/>
      <c r="AX277" s="84"/>
      <c r="AY277" s="84"/>
      <c r="AZ277" s="66"/>
    </row>
    <row r="278" spans="1:52" s="38" customFormat="1" ht="16.5" customHeight="1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  <c r="AG278" s="77"/>
      <c r="AH278" s="77"/>
      <c r="AI278" s="77"/>
      <c r="AJ278" s="77"/>
      <c r="AK278" s="77"/>
      <c r="AL278" s="77"/>
      <c r="AM278" s="77"/>
      <c r="AN278" s="77"/>
      <c r="AO278" s="77"/>
      <c r="AP278" s="77"/>
      <c r="AQ278" s="77"/>
      <c r="AR278" s="77"/>
      <c r="AS278" s="77"/>
      <c r="AT278" s="77"/>
      <c r="AU278" s="77"/>
      <c r="AV278" s="77"/>
      <c r="AX278" s="84"/>
      <c r="AY278" s="84"/>
      <c r="AZ278" s="66"/>
    </row>
    <row r="279" spans="1:52" s="38" customFormat="1" ht="16.5" customHeight="1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  <c r="AI279" s="77"/>
      <c r="AJ279" s="77"/>
      <c r="AK279" s="77"/>
      <c r="AL279" s="77"/>
      <c r="AM279" s="77"/>
      <c r="AN279" s="77"/>
      <c r="AO279" s="77"/>
      <c r="AP279" s="77"/>
      <c r="AQ279" s="77"/>
      <c r="AR279" s="77"/>
      <c r="AS279" s="77"/>
      <c r="AT279" s="77"/>
      <c r="AU279" s="77"/>
      <c r="AV279" s="77"/>
      <c r="AX279" s="84"/>
      <c r="AY279" s="84"/>
      <c r="AZ279" s="66"/>
    </row>
    <row r="280" spans="1:52" s="38" customFormat="1" ht="16.5" customHeight="1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  <c r="AI280" s="77"/>
      <c r="AJ280" s="77"/>
      <c r="AK280" s="77"/>
      <c r="AL280" s="77"/>
      <c r="AM280" s="77"/>
      <c r="AN280" s="77"/>
      <c r="AO280" s="77"/>
      <c r="AP280" s="77"/>
      <c r="AQ280" s="77"/>
      <c r="AR280" s="77"/>
      <c r="AS280" s="77"/>
      <c r="AT280" s="77"/>
      <c r="AU280" s="77"/>
      <c r="AV280" s="77"/>
      <c r="AX280" s="84"/>
      <c r="AY280" s="84"/>
      <c r="AZ280" s="66"/>
    </row>
    <row r="281" spans="1:52" s="38" customFormat="1" ht="16.5" customHeight="1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  <c r="AG281" s="77"/>
      <c r="AH281" s="77"/>
      <c r="AI281" s="77"/>
      <c r="AJ281" s="77"/>
      <c r="AK281" s="77"/>
      <c r="AL281" s="77"/>
      <c r="AM281" s="77"/>
      <c r="AN281" s="77"/>
      <c r="AO281" s="77"/>
      <c r="AP281" s="77"/>
      <c r="AQ281" s="77"/>
      <c r="AR281" s="77"/>
      <c r="AS281" s="77"/>
      <c r="AT281" s="77"/>
      <c r="AU281" s="77"/>
      <c r="AV281" s="77"/>
      <c r="AX281" s="84"/>
      <c r="AY281" s="84"/>
      <c r="AZ281" s="66"/>
    </row>
    <row r="282" spans="1:52" s="38" customFormat="1" ht="16.5" customHeight="1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  <c r="AG282" s="77"/>
      <c r="AH282" s="77"/>
      <c r="AI282" s="77"/>
      <c r="AJ282" s="77"/>
      <c r="AK282" s="77"/>
      <c r="AL282" s="77"/>
      <c r="AM282" s="77"/>
      <c r="AN282" s="77"/>
      <c r="AO282" s="77"/>
      <c r="AP282" s="77"/>
      <c r="AQ282" s="77"/>
      <c r="AR282" s="77"/>
      <c r="AS282" s="77"/>
      <c r="AT282" s="77"/>
      <c r="AU282" s="77"/>
      <c r="AV282" s="77"/>
      <c r="AX282" s="84"/>
      <c r="AY282" s="84"/>
      <c r="AZ282" s="66"/>
    </row>
    <row r="283" spans="1:52" s="38" customFormat="1" ht="16.5" customHeight="1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  <c r="AG283" s="77"/>
      <c r="AH283" s="77"/>
      <c r="AI283" s="77"/>
      <c r="AJ283" s="77"/>
      <c r="AK283" s="77"/>
      <c r="AL283" s="77"/>
      <c r="AM283" s="77"/>
      <c r="AN283" s="77"/>
      <c r="AO283" s="77"/>
      <c r="AP283" s="77"/>
      <c r="AQ283" s="77"/>
      <c r="AR283" s="77"/>
      <c r="AS283" s="77"/>
      <c r="AT283" s="77"/>
      <c r="AU283" s="77"/>
      <c r="AV283" s="77"/>
      <c r="AX283" s="84"/>
      <c r="AY283" s="84"/>
      <c r="AZ283" s="66"/>
    </row>
    <row r="284" spans="1:52" s="38" customFormat="1" ht="16.5" customHeight="1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  <c r="AG284" s="77"/>
      <c r="AH284" s="77"/>
      <c r="AI284" s="77"/>
      <c r="AJ284" s="77"/>
      <c r="AK284" s="77"/>
      <c r="AL284" s="77"/>
      <c r="AM284" s="77"/>
      <c r="AN284" s="77"/>
      <c r="AO284" s="77"/>
      <c r="AP284" s="77"/>
      <c r="AQ284" s="77"/>
      <c r="AR284" s="77"/>
      <c r="AS284" s="77"/>
      <c r="AT284" s="77"/>
      <c r="AU284" s="77"/>
      <c r="AV284" s="77"/>
      <c r="AX284" s="84"/>
      <c r="AY284" s="84"/>
      <c r="AZ284" s="66"/>
    </row>
    <row r="285" spans="1:52" s="38" customFormat="1" ht="16.5" customHeight="1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  <c r="AG285" s="77"/>
      <c r="AH285" s="77"/>
      <c r="AI285" s="77"/>
      <c r="AJ285" s="77"/>
      <c r="AK285" s="77"/>
      <c r="AL285" s="77"/>
      <c r="AM285" s="77"/>
      <c r="AN285" s="77"/>
      <c r="AO285" s="77"/>
      <c r="AP285" s="77"/>
      <c r="AQ285" s="77"/>
      <c r="AR285" s="77"/>
      <c r="AS285" s="77"/>
      <c r="AT285" s="77"/>
      <c r="AU285" s="77"/>
      <c r="AV285" s="77"/>
      <c r="AX285" s="84"/>
      <c r="AY285" s="84"/>
      <c r="AZ285" s="66"/>
    </row>
    <row r="286" spans="1:52" s="38" customFormat="1" ht="16.5" customHeight="1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  <c r="AG286" s="77"/>
      <c r="AH286" s="77"/>
      <c r="AI286" s="77"/>
      <c r="AJ286" s="77"/>
      <c r="AK286" s="77"/>
      <c r="AL286" s="77"/>
      <c r="AM286" s="77"/>
      <c r="AN286" s="77"/>
      <c r="AO286" s="77"/>
      <c r="AP286" s="77"/>
      <c r="AQ286" s="77"/>
      <c r="AR286" s="77"/>
      <c r="AS286" s="77"/>
      <c r="AT286" s="77"/>
      <c r="AU286" s="77"/>
      <c r="AV286" s="77"/>
      <c r="AX286" s="84"/>
      <c r="AY286" s="84"/>
      <c r="AZ286" s="66"/>
    </row>
    <row r="287" spans="1:52" s="38" customFormat="1" ht="16.5" customHeight="1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  <c r="AG287" s="77"/>
      <c r="AH287" s="77"/>
      <c r="AI287" s="77"/>
      <c r="AJ287" s="77"/>
      <c r="AK287" s="77"/>
      <c r="AL287" s="77"/>
      <c r="AM287" s="77"/>
      <c r="AN287" s="77"/>
      <c r="AO287" s="77"/>
      <c r="AP287" s="77"/>
      <c r="AQ287" s="77"/>
      <c r="AR287" s="77"/>
      <c r="AS287" s="77"/>
      <c r="AT287" s="77"/>
      <c r="AU287" s="77"/>
      <c r="AV287" s="77"/>
      <c r="AX287" s="84"/>
      <c r="AY287" s="84"/>
      <c r="AZ287" s="66"/>
    </row>
    <row r="288" spans="1:52" s="38" customFormat="1" ht="16.5" customHeight="1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  <c r="AG288" s="77"/>
      <c r="AH288" s="77"/>
      <c r="AI288" s="77"/>
      <c r="AJ288" s="77"/>
      <c r="AK288" s="77"/>
      <c r="AL288" s="77"/>
      <c r="AM288" s="77"/>
      <c r="AN288" s="77"/>
      <c r="AO288" s="77"/>
      <c r="AP288" s="77"/>
      <c r="AQ288" s="77"/>
      <c r="AR288" s="77"/>
      <c r="AS288" s="77"/>
      <c r="AT288" s="77"/>
      <c r="AU288" s="77"/>
      <c r="AV288" s="77"/>
      <c r="AX288" s="84"/>
      <c r="AY288" s="84"/>
      <c r="AZ288" s="66"/>
    </row>
    <row r="289" spans="1:52" s="38" customFormat="1" ht="16.5" customHeight="1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  <c r="AG289" s="77"/>
      <c r="AH289" s="77"/>
      <c r="AI289" s="77"/>
      <c r="AJ289" s="77"/>
      <c r="AK289" s="77"/>
      <c r="AL289" s="77"/>
      <c r="AM289" s="77"/>
      <c r="AN289" s="77"/>
      <c r="AO289" s="77"/>
      <c r="AP289" s="77"/>
      <c r="AQ289" s="77"/>
      <c r="AR289" s="77"/>
      <c r="AS289" s="77"/>
      <c r="AT289" s="77"/>
      <c r="AU289" s="77"/>
      <c r="AV289" s="77"/>
      <c r="AX289" s="84"/>
      <c r="AY289" s="84"/>
      <c r="AZ289" s="66"/>
    </row>
    <row r="290" spans="1:52" s="38" customFormat="1" ht="16.5" customHeight="1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  <c r="AG290" s="77"/>
      <c r="AH290" s="77"/>
      <c r="AI290" s="77"/>
      <c r="AJ290" s="77"/>
      <c r="AK290" s="77"/>
      <c r="AL290" s="77"/>
      <c r="AM290" s="77"/>
      <c r="AN290" s="77"/>
      <c r="AO290" s="77"/>
      <c r="AP290" s="77"/>
      <c r="AQ290" s="77"/>
      <c r="AR290" s="77"/>
      <c r="AS290" s="77"/>
      <c r="AT290" s="77"/>
      <c r="AU290" s="77"/>
      <c r="AV290" s="77"/>
      <c r="AX290" s="84"/>
      <c r="AY290" s="84"/>
      <c r="AZ290" s="66"/>
    </row>
    <row r="291" spans="1:52" s="38" customFormat="1" ht="16.5" customHeight="1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  <c r="AG291" s="77"/>
      <c r="AH291" s="77"/>
      <c r="AI291" s="77"/>
      <c r="AJ291" s="77"/>
      <c r="AK291" s="77"/>
      <c r="AL291" s="77"/>
      <c r="AM291" s="77"/>
      <c r="AN291" s="77"/>
      <c r="AO291" s="77"/>
      <c r="AP291" s="77"/>
      <c r="AQ291" s="77"/>
      <c r="AR291" s="77"/>
      <c r="AS291" s="77"/>
      <c r="AT291" s="77"/>
      <c r="AU291" s="77"/>
      <c r="AV291" s="77"/>
      <c r="AX291" s="84"/>
      <c r="AY291" s="84"/>
      <c r="AZ291" s="66"/>
    </row>
    <row r="292" spans="1:52" s="38" customFormat="1" ht="16.5" customHeight="1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  <c r="AG292" s="77"/>
      <c r="AH292" s="77"/>
      <c r="AI292" s="77"/>
      <c r="AJ292" s="77"/>
      <c r="AK292" s="77"/>
      <c r="AL292" s="77"/>
      <c r="AM292" s="77"/>
      <c r="AN292" s="77"/>
      <c r="AO292" s="77"/>
      <c r="AP292" s="77"/>
      <c r="AQ292" s="77"/>
      <c r="AR292" s="77"/>
      <c r="AS292" s="77"/>
      <c r="AT292" s="77"/>
      <c r="AU292" s="77"/>
      <c r="AV292" s="77"/>
      <c r="AX292" s="84"/>
      <c r="AY292" s="84"/>
      <c r="AZ292" s="66"/>
    </row>
    <row r="293" spans="1:52" s="38" customFormat="1" ht="16.5" customHeight="1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  <c r="AG293" s="77"/>
      <c r="AH293" s="77"/>
      <c r="AI293" s="77"/>
      <c r="AJ293" s="77"/>
      <c r="AK293" s="77"/>
      <c r="AL293" s="77"/>
      <c r="AM293" s="77"/>
      <c r="AN293" s="77"/>
      <c r="AO293" s="77"/>
      <c r="AP293" s="77"/>
      <c r="AQ293" s="77"/>
      <c r="AR293" s="77"/>
      <c r="AS293" s="77"/>
      <c r="AT293" s="77"/>
      <c r="AU293" s="77"/>
      <c r="AV293" s="77"/>
      <c r="AX293" s="84"/>
      <c r="AY293" s="84"/>
      <c r="AZ293" s="66"/>
    </row>
    <row r="294" spans="1:52" s="38" customFormat="1" ht="16.5" customHeight="1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  <c r="AG294" s="77"/>
      <c r="AH294" s="77"/>
      <c r="AI294" s="77"/>
      <c r="AJ294" s="77"/>
      <c r="AK294" s="77"/>
      <c r="AL294" s="77"/>
      <c r="AM294" s="77"/>
      <c r="AN294" s="77"/>
      <c r="AO294" s="77"/>
      <c r="AP294" s="77"/>
      <c r="AQ294" s="77"/>
      <c r="AR294" s="77"/>
      <c r="AS294" s="77"/>
      <c r="AT294" s="77"/>
      <c r="AU294" s="77"/>
      <c r="AV294" s="77"/>
      <c r="AX294" s="84"/>
      <c r="AY294" s="84"/>
      <c r="AZ294" s="66"/>
    </row>
    <row r="295" spans="1:52" s="38" customFormat="1" ht="16.5" customHeight="1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  <c r="AG295" s="77"/>
      <c r="AH295" s="77"/>
      <c r="AI295" s="77"/>
      <c r="AJ295" s="77"/>
      <c r="AK295" s="77"/>
      <c r="AL295" s="77"/>
      <c r="AM295" s="77"/>
      <c r="AN295" s="77"/>
      <c r="AO295" s="77"/>
      <c r="AP295" s="77"/>
      <c r="AQ295" s="77"/>
      <c r="AR295" s="77"/>
      <c r="AS295" s="77"/>
      <c r="AT295" s="77"/>
      <c r="AU295" s="77"/>
      <c r="AV295" s="77"/>
      <c r="AX295" s="84"/>
      <c r="AY295" s="84"/>
      <c r="AZ295" s="66"/>
    </row>
    <row r="296" spans="1:52" s="38" customFormat="1" ht="16.5" customHeight="1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  <c r="AG296" s="77"/>
      <c r="AH296" s="77"/>
      <c r="AI296" s="77"/>
      <c r="AJ296" s="77"/>
      <c r="AK296" s="77"/>
      <c r="AL296" s="77"/>
      <c r="AM296" s="77"/>
      <c r="AN296" s="77"/>
      <c r="AO296" s="77"/>
      <c r="AP296" s="77"/>
      <c r="AQ296" s="77"/>
      <c r="AR296" s="77"/>
      <c r="AS296" s="77"/>
      <c r="AT296" s="77"/>
      <c r="AU296" s="77"/>
      <c r="AV296" s="77"/>
      <c r="AX296" s="84"/>
      <c r="AY296" s="84"/>
      <c r="AZ296" s="66"/>
    </row>
    <row r="297" spans="1:52" s="38" customFormat="1" ht="16.5" customHeight="1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  <c r="AG297" s="77"/>
      <c r="AH297" s="77"/>
      <c r="AI297" s="77"/>
      <c r="AJ297" s="77"/>
      <c r="AK297" s="77"/>
      <c r="AL297" s="77"/>
      <c r="AM297" s="77"/>
      <c r="AN297" s="77"/>
      <c r="AO297" s="77"/>
      <c r="AP297" s="77"/>
      <c r="AQ297" s="77"/>
      <c r="AR297" s="77"/>
      <c r="AS297" s="77"/>
      <c r="AT297" s="77"/>
      <c r="AU297" s="77"/>
      <c r="AV297" s="77"/>
      <c r="AX297" s="84"/>
      <c r="AY297" s="84"/>
      <c r="AZ297" s="66"/>
    </row>
    <row r="298" spans="1:52" s="38" customFormat="1" ht="16.5" customHeight="1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  <c r="AG298" s="77"/>
      <c r="AH298" s="77"/>
      <c r="AI298" s="77"/>
      <c r="AJ298" s="77"/>
      <c r="AK298" s="77"/>
      <c r="AL298" s="77"/>
      <c r="AM298" s="77"/>
      <c r="AN298" s="77"/>
      <c r="AO298" s="77"/>
      <c r="AP298" s="77"/>
      <c r="AQ298" s="77"/>
      <c r="AR298" s="77"/>
      <c r="AS298" s="77"/>
      <c r="AT298" s="77"/>
      <c r="AU298" s="77"/>
      <c r="AV298" s="77"/>
      <c r="AX298" s="84"/>
      <c r="AY298" s="84"/>
      <c r="AZ298" s="66"/>
    </row>
    <row r="299" spans="1:52" s="38" customFormat="1" ht="16.5" customHeight="1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  <c r="AG299" s="77"/>
      <c r="AH299" s="77"/>
      <c r="AI299" s="77"/>
      <c r="AJ299" s="77"/>
      <c r="AK299" s="77"/>
      <c r="AL299" s="77"/>
      <c r="AM299" s="77"/>
      <c r="AN299" s="77"/>
      <c r="AO299" s="77"/>
      <c r="AP299" s="77"/>
      <c r="AQ299" s="77"/>
      <c r="AR299" s="77"/>
      <c r="AS299" s="77"/>
      <c r="AT299" s="77"/>
      <c r="AU299" s="77"/>
      <c r="AV299" s="77"/>
      <c r="AX299" s="84"/>
      <c r="AY299" s="84"/>
      <c r="AZ299" s="66"/>
    </row>
    <row r="300" spans="1:52" s="38" customFormat="1" ht="16.5" customHeight="1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  <c r="AG300" s="77"/>
      <c r="AH300" s="77"/>
      <c r="AI300" s="77"/>
      <c r="AJ300" s="77"/>
      <c r="AK300" s="77"/>
      <c r="AL300" s="77"/>
      <c r="AM300" s="77"/>
      <c r="AN300" s="77"/>
      <c r="AO300" s="77"/>
      <c r="AP300" s="77"/>
      <c r="AQ300" s="77"/>
      <c r="AR300" s="77"/>
      <c r="AS300" s="77"/>
      <c r="AT300" s="77"/>
      <c r="AU300" s="77"/>
      <c r="AV300" s="77"/>
      <c r="AX300" s="84"/>
      <c r="AY300" s="84"/>
      <c r="AZ300" s="66"/>
    </row>
    <row r="301" spans="1:52" s="38" customFormat="1" ht="16.5" customHeight="1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  <c r="AG301" s="77"/>
      <c r="AH301" s="77"/>
      <c r="AI301" s="77"/>
      <c r="AJ301" s="77"/>
      <c r="AK301" s="77"/>
      <c r="AL301" s="77"/>
      <c r="AM301" s="77"/>
      <c r="AN301" s="77"/>
      <c r="AO301" s="77"/>
      <c r="AP301" s="77"/>
      <c r="AQ301" s="77"/>
      <c r="AR301" s="77"/>
      <c r="AS301" s="77"/>
      <c r="AT301" s="77"/>
      <c r="AU301" s="77"/>
      <c r="AV301" s="77"/>
      <c r="AX301" s="84"/>
      <c r="AY301" s="84"/>
      <c r="AZ301" s="66"/>
    </row>
    <row r="302" spans="1:52" s="38" customFormat="1" ht="16.5" customHeight="1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  <c r="AG302" s="77"/>
      <c r="AH302" s="77"/>
      <c r="AI302" s="77"/>
      <c r="AJ302" s="77"/>
      <c r="AK302" s="77"/>
      <c r="AL302" s="77"/>
      <c r="AM302" s="77"/>
      <c r="AN302" s="77"/>
      <c r="AO302" s="77"/>
      <c r="AP302" s="77"/>
      <c r="AQ302" s="77"/>
      <c r="AR302" s="77"/>
      <c r="AS302" s="77"/>
      <c r="AT302" s="77"/>
      <c r="AU302" s="77"/>
      <c r="AV302" s="77"/>
      <c r="AX302" s="84"/>
      <c r="AY302" s="84"/>
      <c r="AZ302" s="66"/>
    </row>
    <row r="303" spans="1:52" s="38" customFormat="1" ht="16.5" customHeight="1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  <c r="AG303" s="77"/>
      <c r="AH303" s="77"/>
      <c r="AI303" s="77"/>
      <c r="AJ303" s="77"/>
      <c r="AK303" s="77"/>
      <c r="AL303" s="77"/>
      <c r="AM303" s="77"/>
      <c r="AN303" s="77"/>
      <c r="AO303" s="77"/>
      <c r="AP303" s="77"/>
      <c r="AQ303" s="77"/>
      <c r="AR303" s="77"/>
      <c r="AS303" s="77"/>
      <c r="AT303" s="77"/>
      <c r="AU303" s="77"/>
      <c r="AV303" s="77"/>
      <c r="AX303" s="84"/>
      <c r="AY303" s="84"/>
      <c r="AZ303" s="66"/>
    </row>
    <row r="304" spans="1:52" s="38" customFormat="1" ht="16.5" customHeight="1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  <c r="AG304" s="77"/>
      <c r="AH304" s="77"/>
      <c r="AI304" s="77"/>
      <c r="AJ304" s="77"/>
      <c r="AK304" s="77"/>
      <c r="AL304" s="77"/>
      <c r="AM304" s="77"/>
      <c r="AN304" s="77"/>
      <c r="AO304" s="77"/>
      <c r="AP304" s="77"/>
      <c r="AQ304" s="77"/>
      <c r="AR304" s="77"/>
      <c r="AS304" s="77"/>
      <c r="AT304" s="77"/>
      <c r="AU304" s="77"/>
      <c r="AV304" s="77"/>
      <c r="AX304" s="84"/>
      <c r="AY304" s="84"/>
      <c r="AZ304" s="66"/>
    </row>
    <row r="305" spans="1:52" s="38" customFormat="1" ht="16.5" customHeight="1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  <c r="AG305" s="77"/>
      <c r="AH305" s="77"/>
      <c r="AI305" s="77"/>
      <c r="AJ305" s="77"/>
      <c r="AK305" s="77"/>
      <c r="AL305" s="77"/>
      <c r="AM305" s="77"/>
      <c r="AN305" s="77"/>
      <c r="AO305" s="77"/>
      <c r="AP305" s="77"/>
      <c r="AQ305" s="77"/>
      <c r="AR305" s="77"/>
      <c r="AS305" s="77"/>
      <c r="AT305" s="77"/>
      <c r="AU305" s="77"/>
      <c r="AV305" s="77"/>
      <c r="AX305" s="84"/>
      <c r="AY305" s="84"/>
      <c r="AZ305" s="66"/>
    </row>
    <row r="306" spans="1:52" s="38" customFormat="1" ht="16.5" customHeight="1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  <c r="AG306" s="77"/>
      <c r="AH306" s="77"/>
      <c r="AI306" s="77"/>
      <c r="AJ306" s="77"/>
      <c r="AK306" s="77"/>
      <c r="AL306" s="77"/>
      <c r="AM306" s="77"/>
      <c r="AN306" s="77"/>
      <c r="AO306" s="77"/>
      <c r="AP306" s="77"/>
      <c r="AQ306" s="77"/>
      <c r="AR306" s="77"/>
      <c r="AS306" s="77"/>
      <c r="AT306" s="77"/>
      <c r="AU306" s="77"/>
      <c r="AV306" s="77"/>
      <c r="AX306" s="84"/>
      <c r="AY306" s="84"/>
      <c r="AZ306" s="66"/>
    </row>
    <row r="307" spans="1:52" s="38" customFormat="1" ht="16.5" customHeight="1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  <c r="AG307" s="77"/>
      <c r="AH307" s="77"/>
      <c r="AI307" s="77"/>
      <c r="AJ307" s="77"/>
      <c r="AK307" s="77"/>
      <c r="AL307" s="77"/>
      <c r="AM307" s="77"/>
      <c r="AN307" s="77"/>
      <c r="AO307" s="77"/>
      <c r="AP307" s="77"/>
      <c r="AQ307" s="77"/>
      <c r="AR307" s="77"/>
      <c r="AS307" s="77"/>
      <c r="AT307" s="77"/>
      <c r="AU307" s="77"/>
      <c r="AV307" s="77"/>
      <c r="AX307" s="84"/>
      <c r="AY307" s="84"/>
      <c r="AZ307" s="66"/>
    </row>
    <row r="308" spans="1:52" s="38" customFormat="1" ht="16.5" customHeight="1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  <c r="AG308" s="77"/>
      <c r="AH308" s="77"/>
      <c r="AI308" s="77"/>
      <c r="AJ308" s="77"/>
      <c r="AK308" s="77"/>
      <c r="AL308" s="77"/>
      <c r="AM308" s="77"/>
      <c r="AN308" s="77"/>
      <c r="AO308" s="77"/>
      <c r="AP308" s="77"/>
      <c r="AQ308" s="77"/>
      <c r="AR308" s="77"/>
      <c r="AS308" s="77"/>
      <c r="AT308" s="77"/>
      <c r="AU308" s="77"/>
      <c r="AV308" s="77"/>
      <c r="AX308" s="84"/>
      <c r="AY308" s="84"/>
      <c r="AZ308" s="66"/>
    </row>
    <row r="309" spans="1:52" s="38" customFormat="1" ht="16.5" customHeight="1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  <c r="AG309" s="77"/>
      <c r="AH309" s="77"/>
      <c r="AI309" s="77"/>
      <c r="AJ309" s="77"/>
      <c r="AK309" s="77"/>
      <c r="AL309" s="77"/>
      <c r="AM309" s="77"/>
      <c r="AN309" s="77"/>
      <c r="AO309" s="77"/>
      <c r="AP309" s="77"/>
      <c r="AQ309" s="77"/>
      <c r="AR309" s="77"/>
      <c r="AS309" s="77"/>
      <c r="AT309" s="77"/>
      <c r="AU309" s="77"/>
      <c r="AV309" s="77"/>
      <c r="AX309" s="84"/>
      <c r="AY309" s="84"/>
      <c r="AZ309" s="66"/>
    </row>
    <row r="310" spans="1:52" s="38" customFormat="1" ht="16.5" customHeight="1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  <c r="AG310" s="77"/>
      <c r="AH310" s="77"/>
      <c r="AI310" s="77"/>
      <c r="AJ310" s="77"/>
      <c r="AK310" s="77"/>
      <c r="AL310" s="77"/>
      <c r="AM310" s="77"/>
      <c r="AN310" s="77"/>
      <c r="AO310" s="77"/>
      <c r="AP310" s="77"/>
      <c r="AQ310" s="77"/>
      <c r="AR310" s="77"/>
      <c r="AS310" s="77"/>
      <c r="AT310" s="77"/>
      <c r="AU310" s="77"/>
      <c r="AV310" s="77"/>
      <c r="AX310" s="84"/>
      <c r="AY310" s="84"/>
      <c r="AZ310" s="66"/>
    </row>
    <row r="311" spans="1:52" s="38" customFormat="1" ht="16.5" customHeight="1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  <c r="AG311" s="77"/>
      <c r="AH311" s="77"/>
      <c r="AI311" s="77"/>
      <c r="AJ311" s="77"/>
      <c r="AK311" s="77"/>
      <c r="AL311" s="77"/>
      <c r="AM311" s="77"/>
      <c r="AN311" s="77"/>
      <c r="AO311" s="77"/>
      <c r="AP311" s="77"/>
      <c r="AQ311" s="77"/>
      <c r="AR311" s="77"/>
      <c r="AS311" s="77"/>
      <c r="AT311" s="77"/>
      <c r="AU311" s="77"/>
      <c r="AV311" s="77"/>
      <c r="AX311" s="84"/>
      <c r="AY311" s="84"/>
      <c r="AZ311" s="66"/>
    </row>
    <row r="312" spans="1:52" s="38" customFormat="1" ht="16.5" customHeight="1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  <c r="AG312" s="77"/>
      <c r="AH312" s="77"/>
      <c r="AI312" s="77"/>
      <c r="AJ312" s="77"/>
      <c r="AK312" s="77"/>
      <c r="AL312" s="77"/>
      <c r="AM312" s="77"/>
      <c r="AN312" s="77"/>
      <c r="AO312" s="77"/>
      <c r="AP312" s="77"/>
      <c r="AQ312" s="77"/>
      <c r="AR312" s="77"/>
      <c r="AS312" s="77"/>
      <c r="AT312" s="77"/>
      <c r="AU312" s="77"/>
      <c r="AV312" s="77"/>
      <c r="AX312" s="84"/>
      <c r="AY312" s="84"/>
      <c r="AZ312" s="66"/>
    </row>
    <row r="313" spans="1:52" s="38" customFormat="1" ht="16.5" customHeight="1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  <c r="AG313" s="77"/>
      <c r="AH313" s="77"/>
      <c r="AI313" s="77"/>
      <c r="AJ313" s="77"/>
      <c r="AK313" s="77"/>
      <c r="AL313" s="77"/>
      <c r="AM313" s="77"/>
      <c r="AN313" s="77"/>
      <c r="AO313" s="77"/>
      <c r="AP313" s="77"/>
      <c r="AQ313" s="77"/>
      <c r="AR313" s="77"/>
      <c r="AS313" s="77"/>
      <c r="AT313" s="77"/>
      <c r="AU313" s="77"/>
      <c r="AV313" s="77"/>
      <c r="AX313" s="84"/>
      <c r="AY313" s="84"/>
      <c r="AZ313" s="66"/>
    </row>
    <row r="314" spans="1:52" s="38" customFormat="1" ht="16.5" customHeight="1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  <c r="AG314" s="77"/>
      <c r="AH314" s="77"/>
      <c r="AI314" s="77"/>
      <c r="AJ314" s="77"/>
      <c r="AK314" s="77"/>
      <c r="AL314" s="77"/>
      <c r="AM314" s="77"/>
      <c r="AN314" s="77"/>
      <c r="AO314" s="77"/>
      <c r="AP314" s="77"/>
      <c r="AQ314" s="77"/>
      <c r="AR314" s="77"/>
      <c r="AS314" s="77"/>
      <c r="AT314" s="77"/>
      <c r="AU314" s="77"/>
      <c r="AV314" s="77"/>
      <c r="AX314" s="84"/>
      <c r="AY314" s="84"/>
      <c r="AZ314" s="66"/>
    </row>
    <row r="315" spans="1:52" s="38" customFormat="1" ht="16.5" customHeight="1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  <c r="AG315" s="77"/>
      <c r="AH315" s="77"/>
      <c r="AI315" s="77"/>
      <c r="AJ315" s="77"/>
      <c r="AK315" s="77"/>
      <c r="AL315" s="77"/>
      <c r="AM315" s="77"/>
      <c r="AN315" s="77"/>
      <c r="AO315" s="77"/>
      <c r="AP315" s="77"/>
      <c r="AQ315" s="77"/>
      <c r="AR315" s="77"/>
      <c r="AS315" s="77"/>
      <c r="AT315" s="77"/>
      <c r="AU315" s="77"/>
      <c r="AV315" s="77"/>
      <c r="AX315" s="84"/>
      <c r="AY315" s="84"/>
      <c r="AZ315" s="66"/>
    </row>
    <row r="316" spans="1:52" s="38" customFormat="1" ht="16.5" customHeight="1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  <c r="AG316" s="77"/>
      <c r="AH316" s="77"/>
      <c r="AI316" s="77"/>
      <c r="AJ316" s="77"/>
      <c r="AK316" s="77"/>
      <c r="AL316" s="77"/>
      <c r="AM316" s="77"/>
      <c r="AN316" s="77"/>
      <c r="AO316" s="77"/>
      <c r="AP316" s="77"/>
      <c r="AQ316" s="77"/>
      <c r="AR316" s="77"/>
      <c r="AS316" s="77"/>
      <c r="AT316" s="77"/>
      <c r="AU316" s="77"/>
      <c r="AV316" s="77"/>
      <c r="AX316" s="84"/>
      <c r="AY316" s="84"/>
      <c r="AZ316" s="66"/>
    </row>
    <row r="317" spans="1:52" s="38" customFormat="1" ht="16.5" customHeight="1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  <c r="AG317" s="77"/>
      <c r="AH317" s="77"/>
      <c r="AI317" s="77"/>
      <c r="AJ317" s="77"/>
      <c r="AK317" s="77"/>
      <c r="AL317" s="77"/>
      <c r="AM317" s="77"/>
      <c r="AN317" s="77"/>
      <c r="AO317" s="77"/>
      <c r="AP317" s="77"/>
      <c r="AQ317" s="77"/>
      <c r="AR317" s="77"/>
      <c r="AS317" s="77"/>
      <c r="AT317" s="77"/>
      <c r="AU317" s="77"/>
      <c r="AV317" s="77"/>
      <c r="AX317" s="84"/>
      <c r="AY317" s="84"/>
      <c r="AZ317" s="66"/>
    </row>
    <row r="318" spans="1:52" s="38" customFormat="1" ht="16.5" customHeight="1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  <c r="AG318" s="77"/>
      <c r="AH318" s="77"/>
      <c r="AI318" s="77"/>
      <c r="AJ318" s="77"/>
      <c r="AK318" s="77"/>
      <c r="AL318" s="77"/>
      <c r="AM318" s="77"/>
      <c r="AN318" s="77"/>
      <c r="AO318" s="77"/>
      <c r="AP318" s="77"/>
      <c r="AQ318" s="77"/>
      <c r="AR318" s="77"/>
      <c r="AS318" s="77"/>
      <c r="AT318" s="77"/>
      <c r="AU318" s="77"/>
      <c r="AV318" s="77"/>
      <c r="AX318" s="84"/>
      <c r="AY318" s="84"/>
      <c r="AZ318" s="66"/>
    </row>
    <row r="319" spans="1:52" s="38" customFormat="1" ht="16.5" customHeight="1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  <c r="AG319" s="77"/>
      <c r="AH319" s="77"/>
      <c r="AI319" s="77"/>
      <c r="AJ319" s="77"/>
      <c r="AK319" s="77"/>
      <c r="AL319" s="77"/>
      <c r="AM319" s="77"/>
      <c r="AN319" s="77"/>
      <c r="AO319" s="77"/>
      <c r="AP319" s="77"/>
      <c r="AQ319" s="77"/>
      <c r="AR319" s="77"/>
      <c r="AS319" s="77"/>
      <c r="AT319" s="77"/>
      <c r="AU319" s="77"/>
      <c r="AV319" s="77"/>
      <c r="AX319" s="84"/>
      <c r="AY319" s="84"/>
      <c r="AZ319" s="66"/>
    </row>
    <row r="320" spans="1:52" s="38" customFormat="1" ht="16.5" customHeight="1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  <c r="AG320" s="77"/>
      <c r="AH320" s="77"/>
      <c r="AI320" s="77"/>
      <c r="AJ320" s="77"/>
      <c r="AK320" s="77"/>
      <c r="AL320" s="77"/>
      <c r="AM320" s="77"/>
      <c r="AN320" s="77"/>
      <c r="AO320" s="77"/>
      <c r="AP320" s="77"/>
      <c r="AQ320" s="77"/>
      <c r="AR320" s="77"/>
      <c r="AS320" s="77"/>
      <c r="AT320" s="77"/>
      <c r="AU320" s="77"/>
      <c r="AV320" s="77"/>
      <c r="AX320" s="84"/>
      <c r="AY320" s="84"/>
      <c r="AZ320" s="66"/>
    </row>
    <row r="321" spans="1:58" s="38" customFormat="1" ht="16.5" customHeight="1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  <c r="AG321" s="77"/>
      <c r="AH321" s="77"/>
      <c r="AI321" s="77"/>
      <c r="AJ321" s="77"/>
      <c r="AK321" s="77"/>
      <c r="AL321" s="77"/>
      <c r="AM321" s="77"/>
      <c r="AN321" s="77"/>
      <c r="AO321" s="77"/>
      <c r="AP321" s="77"/>
      <c r="AQ321" s="77"/>
      <c r="AR321" s="77"/>
      <c r="AS321" s="77"/>
      <c r="AT321" s="77"/>
      <c r="AU321" s="77"/>
      <c r="AV321" s="77"/>
      <c r="AX321" s="84"/>
      <c r="AY321" s="84"/>
      <c r="AZ321" s="66"/>
    </row>
    <row r="322" spans="1:58" s="38" customFormat="1" ht="16.5" customHeight="1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  <c r="AG322" s="77"/>
      <c r="AH322" s="77"/>
      <c r="AI322" s="77"/>
      <c r="AJ322" s="77"/>
      <c r="AK322" s="77"/>
      <c r="AL322" s="77"/>
      <c r="AM322" s="77"/>
      <c r="AN322" s="77"/>
      <c r="AO322" s="77"/>
      <c r="AP322" s="77"/>
      <c r="AQ322" s="77"/>
      <c r="AR322" s="77"/>
      <c r="AS322" s="77"/>
      <c r="AT322" s="77"/>
      <c r="AU322" s="77"/>
      <c r="AV322" s="77"/>
      <c r="AX322" s="84"/>
      <c r="AY322" s="84"/>
      <c r="AZ322" s="66"/>
    </row>
    <row r="323" spans="1:58" s="38" customFormat="1" ht="16.5" customHeight="1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  <c r="AG323" s="77"/>
      <c r="AH323" s="77"/>
      <c r="AI323" s="77"/>
      <c r="AJ323" s="77"/>
      <c r="AK323" s="77"/>
      <c r="AL323" s="77"/>
      <c r="AM323" s="77"/>
      <c r="AN323" s="77"/>
      <c r="AO323" s="77"/>
      <c r="AP323" s="77"/>
      <c r="AQ323" s="77"/>
      <c r="AR323" s="77"/>
      <c r="AS323" s="77"/>
      <c r="AT323" s="77"/>
      <c r="AU323" s="77"/>
      <c r="AV323" s="77"/>
      <c r="AX323" s="84"/>
      <c r="AY323" s="84"/>
      <c r="AZ323" s="66"/>
    </row>
    <row r="324" spans="1:58" s="38" customFormat="1" ht="16.5" customHeight="1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  <c r="AG324" s="77"/>
      <c r="AH324" s="77"/>
      <c r="AI324" s="77"/>
      <c r="AJ324" s="77"/>
      <c r="AK324" s="77"/>
      <c r="AL324" s="77"/>
      <c r="AM324" s="77"/>
      <c r="AN324" s="77"/>
      <c r="AO324" s="77"/>
      <c r="AP324" s="77"/>
      <c r="AQ324" s="77"/>
      <c r="AR324" s="77"/>
      <c r="AS324" s="77"/>
      <c r="AT324" s="77"/>
      <c r="AU324" s="77"/>
      <c r="AV324" s="77"/>
      <c r="AX324" s="84"/>
      <c r="AY324" s="84"/>
      <c r="AZ324" s="66"/>
    </row>
    <row r="325" spans="1:58" s="38" customFormat="1" ht="16.5" customHeight="1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  <c r="AG325" s="77"/>
      <c r="AH325" s="77"/>
      <c r="AI325" s="77"/>
      <c r="AJ325" s="77"/>
      <c r="AK325" s="77"/>
      <c r="AL325" s="77"/>
      <c r="AM325" s="77"/>
      <c r="AN325" s="77"/>
      <c r="AO325" s="77"/>
      <c r="AP325" s="77"/>
      <c r="AQ325" s="77"/>
      <c r="AR325" s="77"/>
      <c r="AS325" s="77"/>
      <c r="AT325" s="77"/>
      <c r="AU325" s="77"/>
      <c r="AV325" s="77"/>
      <c r="AX325" s="84"/>
      <c r="AY325" s="84"/>
      <c r="AZ325" s="66"/>
    </row>
    <row r="326" spans="1:58" s="38" customFormat="1" ht="16.5" customHeight="1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  <c r="AG326" s="77"/>
      <c r="AH326" s="77"/>
      <c r="AI326" s="77"/>
      <c r="AJ326" s="77"/>
      <c r="AK326" s="77"/>
      <c r="AL326" s="77"/>
      <c r="AM326" s="77"/>
      <c r="AN326" s="77"/>
      <c r="AO326" s="77"/>
      <c r="AP326" s="77"/>
      <c r="AQ326" s="77"/>
      <c r="AR326" s="77"/>
      <c r="AS326" s="77"/>
      <c r="AT326" s="77"/>
      <c r="AU326" s="77"/>
      <c r="AV326" s="77"/>
      <c r="AX326" s="84"/>
      <c r="AY326" s="84"/>
      <c r="AZ326" s="66"/>
    </row>
    <row r="327" spans="1:58" s="38" customFormat="1" ht="16.5" customHeight="1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  <c r="AG327" s="77"/>
      <c r="AH327" s="77"/>
      <c r="AI327" s="77"/>
      <c r="AJ327" s="77"/>
      <c r="AK327" s="77"/>
      <c r="AL327" s="77"/>
      <c r="AM327" s="77"/>
      <c r="AN327" s="77"/>
      <c r="AO327" s="77"/>
      <c r="AP327" s="77"/>
      <c r="AQ327" s="77"/>
      <c r="AR327" s="77"/>
      <c r="AS327" s="77"/>
      <c r="AT327" s="77"/>
      <c r="AU327" s="77"/>
      <c r="AV327" s="77"/>
      <c r="AX327" s="84"/>
      <c r="AY327" s="84"/>
      <c r="AZ327" s="66"/>
    </row>
    <row r="328" spans="1:58" s="38" customFormat="1" ht="16.5" customHeight="1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  <c r="AG328" s="77"/>
      <c r="AH328" s="77"/>
      <c r="AI328" s="77"/>
      <c r="AJ328" s="77"/>
      <c r="AK328" s="77"/>
      <c r="AL328" s="77"/>
      <c r="AM328" s="77"/>
      <c r="AN328" s="77"/>
      <c r="AO328" s="77"/>
      <c r="AP328" s="77"/>
      <c r="AQ328" s="77"/>
      <c r="AR328" s="77"/>
      <c r="AS328" s="77"/>
      <c r="AT328" s="77"/>
      <c r="AU328" s="77"/>
      <c r="AV328" s="77"/>
      <c r="AX328" s="84"/>
      <c r="AY328" s="84"/>
      <c r="AZ328" s="66"/>
    </row>
    <row r="329" spans="1:58" s="38" customFormat="1" ht="16.5" customHeight="1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  <c r="AG329" s="77"/>
      <c r="AH329" s="77"/>
      <c r="AI329" s="77"/>
      <c r="AJ329" s="77"/>
      <c r="AK329" s="77"/>
      <c r="AL329" s="77"/>
      <c r="AM329" s="77"/>
      <c r="AN329" s="77"/>
      <c r="AO329" s="77"/>
      <c r="AP329" s="77"/>
      <c r="AQ329" s="77"/>
      <c r="AR329" s="77"/>
      <c r="AS329" s="77"/>
      <c r="AT329" s="77"/>
      <c r="AU329" s="77"/>
      <c r="AV329" s="77"/>
      <c r="AX329" s="84"/>
      <c r="AY329" s="84"/>
      <c r="AZ329" s="66"/>
    </row>
    <row r="330" spans="1:58" s="38" customFormat="1" ht="16.5" customHeight="1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  <c r="AG330" s="77"/>
      <c r="AH330" s="77"/>
      <c r="AI330" s="77"/>
      <c r="AJ330" s="77"/>
      <c r="AK330" s="77"/>
      <c r="AL330" s="77"/>
      <c r="AM330" s="77"/>
      <c r="AN330" s="77"/>
      <c r="AO330" s="77"/>
      <c r="AP330" s="77"/>
      <c r="AQ330" s="77"/>
      <c r="AR330" s="77"/>
      <c r="AS330" s="77"/>
      <c r="AT330" s="77"/>
      <c r="AU330" s="77"/>
      <c r="AV330" s="77"/>
      <c r="AX330" s="84"/>
      <c r="AY330" s="84"/>
      <c r="AZ330" s="66"/>
    </row>
    <row r="331" spans="1:58" s="38" customFormat="1" ht="16.5" customHeight="1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  <c r="AG331" s="77"/>
      <c r="AH331" s="77"/>
      <c r="AI331" s="77"/>
      <c r="AJ331" s="77"/>
      <c r="AK331" s="77"/>
      <c r="AL331" s="77"/>
      <c r="AM331" s="77"/>
      <c r="AN331" s="77"/>
      <c r="AO331" s="77"/>
      <c r="AP331" s="77"/>
      <c r="AQ331" s="77"/>
      <c r="AR331" s="77"/>
      <c r="AS331" s="77"/>
      <c r="AT331" s="77"/>
      <c r="AU331" s="77"/>
      <c r="AV331" s="77"/>
      <c r="AX331" s="84"/>
      <c r="AY331" s="84"/>
      <c r="AZ331" s="66"/>
    </row>
    <row r="332" spans="1:58" s="38" customFormat="1" ht="16.5" customHeight="1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  <c r="AG332" s="77"/>
      <c r="AH332" s="77"/>
      <c r="AI332" s="77"/>
      <c r="AJ332" s="77"/>
      <c r="AK332" s="77"/>
      <c r="AL332" s="77"/>
      <c r="AM332" s="77"/>
      <c r="AN332" s="77"/>
      <c r="AO332" s="77"/>
      <c r="AP332" s="77"/>
      <c r="AQ332" s="77"/>
      <c r="AR332" s="77"/>
      <c r="AS332" s="77"/>
      <c r="AT332" s="77"/>
      <c r="AU332" s="77"/>
      <c r="AV332" s="77"/>
      <c r="AX332" s="84"/>
      <c r="AY332" s="84"/>
      <c r="AZ332" s="66"/>
    </row>
    <row r="333" spans="1:58" s="38" customFormat="1" ht="16.5" customHeight="1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  <c r="AG333" s="77"/>
      <c r="AH333" s="77"/>
      <c r="AI333" s="77"/>
      <c r="AJ333" s="77"/>
      <c r="AK333" s="77"/>
      <c r="AL333" s="77"/>
      <c r="AM333" s="77"/>
      <c r="AN333" s="77"/>
      <c r="AO333" s="77"/>
      <c r="AP333" s="77"/>
      <c r="AQ333" s="77"/>
      <c r="AR333" s="77"/>
      <c r="AS333" s="77"/>
      <c r="AT333" s="77"/>
      <c r="AU333" s="77"/>
      <c r="AV333" s="77"/>
      <c r="AX333" s="84"/>
      <c r="AY333" s="84"/>
      <c r="AZ333" s="66"/>
    </row>
    <row r="334" spans="1:58" s="38" customFormat="1" ht="16.5" customHeight="1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  <c r="AG334" s="77"/>
      <c r="AH334" s="77"/>
      <c r="AI334" s="77"/>
      <c r="AJ334" s="77"/>
      <c r="AK334" s="77"/>
      <c r="AL334" s="77"/>
      <c r="AM334" s="77"/>
      <c r="AN334" s="77"/>
      <c r="AO334" s="77"/>
      <c r="AP334" s="77"/>
      <c r="AQ334" s="77"/>
      <c r="AR334" s="77"/>
      <c r="AS334" s="77"/>
      <c r="AT334" s="77"/>
      <c r="AU334" s="77"/>
      <c r="AV334" s="77"/>
      <c r="AX334" s="84"/>
      <c r="AY334" s="84"/>
      <c r="AZ334" s="66"/>
    </row>
    <row r="335" spans="1:58" s="38" customFormat="1" ht="16.5" customHeight="1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  <c r="AG335" s="77"/>
      <c r="AH335" s="77"/>
      <c r="AI335" s="77"/>
      <c r="AJ335" s="77"/>
      <c r="AK335" s="77"/>
      <c r="AL335" s="77"/>
      <c r="AM335" s="77"/>
      <c r="AN335" s="77"/>
      <c r="AO335" s="77"/>
      <c r="AP335" s="77"/>
      <c r="AQ335" s="77"/>
      <c r="AR335" s="77"/>
      <c r="AS335" s="77"/>
      <c r="AT335" s="77"/>
      <c r="AU335" s="77"/>
      <c r="AV335" s="77"/>
      <c r="AX335" s="84"/>
      <c r="AY335" s="84"/>
      <c r="AZ335" s="66"/>
    </row>
    <row r="336" spans="1:58" s="38" customFormat="1" ht="16.5" customHeight="1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  <c r="AG336" s="77"/>
      <c r="AH336" s="77"/>
      <c r="AI336" s="77"/>
      <c r="AJ336" s="77"/>
      <c r="AK336" s="77"/>
      <c r="AL336" s="77"/>
      <c r="AM336" s="77"/>
      <c r="AN336" s="77"/>
      <c r="AO336" s="77"/>
      <c r="AP336" s="77"/>
      <c r="AQ336" s="77"/>
      <c r="AR336" s="77"/>
      <c r="AS336" s="77"/>
      <c r="AT336" s="77"/>
      <c r="AU336" s="77"/>
      <c r="AV336" s="77"/>
      <c r="AX336" s="84"/>
      <c r="AY336" s="84"/>
      <c r="AZ336" s="84"/>
      <c r="BA336" s="75" t="s">
        <v>59</v>
      </c>
      <c r="BB336" s="85">
        <v>0</v>
      </c>
      <c r="BC336" s="85">
        <v>0</v>
      </c>
      <c r="BD336" s="85">
        <v>0</v>
      </c>
      <c r="BE336" s="85">
        <v>0</v>
      </c>
      <c r="BF336" s="85">
        <v>0</v>
      </c>
    </row>
    <row r="337" spans="1:58" s="38" customFormat="1" ht="16.5" customHeight="1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  <c r="AG337" s="77"/>
      <c r="AH337" s="77"/>
      <c r="AI337" s="77"/>
      <c r="AJ337" s="77"/>
      <c r="AK337" s="77"/>
      <c r="AL337" s="77"/>
      <c r="AM337" s="77"/>
      <c r="AN337" s="77"/>
      <c r="AO337" s="77"/>
      <c r="AP337" s="77"/>
      <c r="AQ337" s="77"/>
      <c r="AR337" s="77"/>
      <c r="AS337" s="77"/>
      <c r="AT337" s="77"/>
      <c r="AU337" s="77"/>
      <c r="AV337" s="77"/>
      <c r="AX337" s="84"/>
      <c r="AY337" s="84"/>
      <c r="AZ337" s="84"/>
      <c r="BA337" s="75" t="s">
        <v>60</v>
      </c>
      <c r="BB337" s="85">
        <v>0</v>
      </c>
      <c r="BC337" s="85">
        <v>0</v>
      </c>
      <c r="BD337" s="85">
        <v>0</v>
      </c>
      <c r="BE337" s="85">
        <v>0</v>
      </c>
      <c r="BF337" s="85">
        <v>0</v>
      </c>
    </row>
    <row r="338" spans="1:58" s="38" customFormat="1" ht="16.5" customHeight="1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  <c r="AG338" s="77"/>
      <c r="AH338" s="77"/>
      <c r="AI338" s="77"/>
      <c r="AJ338" s="77"/>
      <c r="AK338" s="77"/>
      <c r="AL338" s="77"/>
      <c r="AM338" s="77"/>
      <c r="AN338" s="77"/>
      <c r="AO338" s="77"/>
      <c r="AP338" s="77"/>
      <c r="AQ338" s="77"/>
      <c r="AR338" s="77"/>
      <c r="AS338" s="77"/>
      <c r="AT338" s="77"/>
      <c r="AU338" s="77"/>
      <c r="AV338" s="77"/>
      <c r="AX338" s="84"/>
      <c r="AY338" s="84"/>
      <c r="AZ338" s="84"/>
      <c r="BA338" s="76" t="s">
        <v>61</v>
      </c>
      <c r="BB338" s="86">
        <v>0</v>
      </c>
      <c r="BC338" s="86">
        <v>0</v>
      </c>
      <c r="BD338" s="86">
        <v>0</v>
      </c>
      <c r="BE338" s="86">
        <v>0</v>
      </c>
      <c r="BF338" s="86">
        <v>0</v>
      </c>
    </row>
    <row r="339" spans="1:58" s="38" customFormat="1" ht="16.5" customHeight="1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  <c r="AG339" s="77"/>
      <c r="AH339" s="77"/>
      <c r="AI339" s="77"/>
      <c r="AJ339" s="77"/>
      <c r="AK339" s="77"/>
      <c r="AL339" s="77"/>
      <c r="AM339" s="77"/>
      <c r="AN339" s="77"/>
      <c r="AO339" s="77"/>
      <c r="AP339" s="77"/>
      <c r="AQ339" s="77"/>
      <c r="AR339" s="77"/>
      <c r="AS339" s="77"/>
      <c r="AT339" s="77"/>
      <c r="AU339" s="77"/>
      <c r="AV339" s="77"/>
      <c r="AX339" s="84"/>
      <c r="AY339" s="84"/>
      <c r="AZ339" s="84"/>
      <c r="BA339" s="2"/>
    </row>
    <row r="340" spans="1:58" s="38" customFormat="1" ht="16.5" customHeight="1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  <c r="AG340" s="77"/>
      <c r="AH340" s="77"/>
      <c r="AI340" s="77"/>
      <c r="AJ340" s="77"/>
      <c r="AK340" s="77"/>
      <c r="AL340" s="77"/>
      <c r="AM340" s="77"/>
      <c r="AN340" s="77"/>
      <c r="AO340" s="77"/>
      <c r="AP340" s="77"/>
      <c r="AQ340" s="77"/>
      <c r="AR340" s="77"/>
      <c r="AS340" s="77"/>
      <c r="AT340" s="77"/>
      <c r="AU340" s="77"/>
      <c r="AV340" s="77"/>
      <c r="AX340" s="84"/>
      <c r="AY340" s="84"/>
      <c r="AZ340" s="84"/>
      <c r="BA340" s="75"/>
      <c r="BB340" s="75" t="s">
        <v>62</v>
      </c>
      <c r="BC340" s="75" t="s">
        <v>63</v>
      </c>
      <c r="BD340" s="75" t="s">
        <v>64</v>
      </c>
      <c r="BE340" s="75" t="s">
        <v>65</v>
      </c>
      <c r="BF340" s="75" t="s">
        <v>66</v>
      </c>
    </row>
    <row r="341" spans="1:58" s="38" customFormat="1" ht="16.5" customHeight="1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  <c r="AG341" s="77"/>
      <c r="AH341" s="77"/>
      <c r="AI341" s="77"/>
      <c r="AJ341" s="77"/>
      <c r="AK341" s="77"/>
      <c r="AL341" s="77"/>
      <c r="AM341" s="77"/>
      <c r="AN341" s="77"/>
      <c r="AO341" s="77"/>
      <c r="AP341" s="77"/>
      <c r="AQ341" s="77"/>
      <c r="AR341" s="77"/>
      <c r="AS341" s="77"/>
      <c r="AT341" s="77"/>
      <c r="AU341" s="77"/>
      <c r="AV341" s="77"/>
      <c r="AX341" s="84"/>
      <c r="AY341" s="84"/>
      <c r="BA341" s="75" t="s">
        <v>59</v>
      </c>
      <c r="BB341" s="87" t="e">
        <v>#DIV/0!</v>
      </c>
      <c r="BC341" s="87" t="e">
        <v>#DIV/0!</v>
      </c>
      <c r="BD341" s="87" t="e">
        <v>#DIV/0!</v>
      </c>
      <c r="BE341" s="87" t="e">
        <v>#DIV/0!</v>
      </c>
      <c r="BF341" s="87" t="e">
        <v>#DIV/0!</v>
      </c>
    </row>
    <row r="342" spans="1:58" s="38" customFormat="1" ht="16.5" customHeight="1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  <c r="AG342" s="77"/>
      <c r="AH342" s="77"/>
      <c r="AI342" s="77"/>
      <c r="AJ342" s="77"/>
      <c r="AK342" s="77"/>
      <c r="AL342" s="77"/>
      <c r="AM342" s="77"/>
      <c r="AN342" s="77"/>
      <c r="AO342" s="77"/>
      <c r="AP342" s="77"/>
      <c r="AQ342" s="77"/>
      <c r="AR342" s="77"/>
      <c r="AS342" s="77"/>
      <c r="AT342" s="77"/>
      <c r="AU342" s="77"/>
      <c r="AV342" s="77"/>
      <c r="AX342" s="84"/>
      <c r="AY342" s="84"/>
      <c r="BA342" s="76" t="s">
        <v>61</v>
      </c>
      <c r="BB342" s="88" t="e">
        <v>#DIV/0!</v>
      </c>
      <c r="BC342" s="88" t="e">
        <v>#DIV/0!</v>
      </c>
      <c r="BD342" s="88" t="e">
        <v>#DIV/0!</v>
      </c>
      <c r="BE342" s="88" t="e">
        <v>#DIV/0!</v>
      </c>
      <c r="BF342" s="88" t="e">
        <v>#DIV/0!</v>
      </c>
    </row>
    <row r="343" spans="1:58" s="38" customFormat="1" ht="16.5" customHeight="1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  <c r="AG343" s="77"/>
      <c r="AH343" s="77"/>
      <c r="AI343" s="77"/>
      <c r="AJ343" s="77"/>
      <c r="AK343" s="77"/>
      <c r="AL343" s="77"/>
      <c r="AM343" s="77"/>
      <c r="AN343" s="77"/>
      <c r="AO343" s="77"/>
      <c r="AP343" s="77"/>
      <c r="AQ343" s="77"/>
      <c r="AR343" s="77"/>
      <c r="AS343" s="77"/>
      <c r="AT343" s="77"/>
      <c r="AU343" s="77"/>
      <c r="AV343" s="77"/>
      <c r="AX343" s="84"/>
      <c r="AY343" s="84"/>
      <c r="BA343" s="75" t="s">
        <v>66</v>
      </c>
      <c r="BB343" s="87" t="e">
        <v>#DIV/0!</v>
      </c>
      <c r="BC343" s="87" t="e">
        <v>#DIV/0!</v>
      </c>
      <c r="BD343" s="87" t="e">
        <v>#DIV/0!</v>
      </c>
      <c r="BE343" s="87" t="e">
        <v>#DIV/0!</v>
      </c>
      <c r="BF343" s="87" t="e">
        <v>#DIV/0!</v>
      </c>
    </row>
    <row r="344" spans="1:58" s="38" customFormat="1" ht="16.5" customHeight="1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  <c r="AG344" s="77"/>
      <c r="AH344" s="77"/>
      <c r="AI344" s="77"/>
      <c r="AJ344" s="77"/>
      <c r="AK344" s="77"/>
      <c r="AL344" s="77"/>
      <c r="AM344" s="77"/>
      <c r="AN344" s="77"/>
      <c r="AO344" s="77"/>
      <c r="AP344" s="77"/>
      <c r="AQ344" s="77"/>
      <c r="AR344" s="77"/>
      <c r="AS344" s="77"/>
      <c r="AT344" s="77"/>
      <c r="AU344" s="77"/>
      <c r="AV344" s="77"/>
      <c r="AX344" s="84"/>
      <c r="AY344" s="84"/>
    </row>
    <row r="345" spans="1:58" s="38" customFormat="1" ht="16.5" customHeight="1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  <c r="AG345" s="77"/>
      <c r="AH345" s="77"/>
      <c r="AI345" s="77"/>
      <c r="AJ345" s="77"/>
      <c r="AK345" s="77"/>
      <c r="AL345" s="77"/>
      <c r="AM345" s="77"/>
      <c r="AN345" s="77"/>
      <c r="AO345" s="77"/>
      <c r="AP345" s="77"/>
      <c r="AQ345" s="77"/>
      <c r="AR345" s="77"/>
      <c r="AS345" s="77"/>
      <c r="AT345" s="77"/>
      <c r="AU345" s="77"/>
      <c r="AV345" s="77"/>
      <c r="AX345" s="84"/>
      <c r="AY345" s="84"/>
    </row>
    <row r="346" spans="1:58" s="38" customFormat="1" ht="16.5" customHeight="1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  <c r="AG346" s="77"/>
      <c r="AH346" s="77"/>
      <c r="AI346" s="77"/>
      <c r="AJ346" s="77"/>
      <c r="AK346" s="77"/>
      <c r="AL346" s="77"/>
      <c r="AM346" s="77"/>
      <c r="AN346" s="77"/>
      <c r="AO346" s="77"/>
      <c r="AP346" s="77"/>
      <c r="AQ346" s="77"/>
      <c r="AR346" s="77"/>
      <c r="AS346" s="77"/>
      <c r="AT346" s="77"/>
      <c r="AU346" s="77"/>
      <c r="AV346" s="77"/>
      <c r="AX346" s="84"/>
      <c r="AY346" s="84"/>
    </row>
    <row r="347" spans="1:58" s="38" customFormat="1" ht="16.5" customHeight="1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  <c r="AG347" s="77"/>
      <c r="AH347" s="77"/>
      <c r="AI347" s="77"/>
      <c r="AJ347" s="77"/>
      <c r="AK347" s="77"/>
      <c r="AL347" s="77"/>
      <c r="AM347" s="77"/>
      <c r="AN347" s="77"/>
      <c r="AO347" s="77"/>
      <c r="AP347" s="77"/>
      <c r="AQ347" s="77"/>
      <c r="AR347" s="77"/>
      <c r="AS347" s="77"/>
      <c r="AT347" s="77"/>
      <c r="AU347" s="77"/>
      <c r="AV347" s="77"/>
      <c r="AX347" s="84"/>
      <c r="AY347" s="84"/>
    </row>
    <row r="348" spans="1:58" s="38" customFormat="1" ht="16.5" customHeight="1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  <c r="AG348" s="77"/>
      <c r="AH348" s="77"/>
      <c r="AI348" s="77"/>
      <c r="AJ348" s="77"/>
      <c r="AK348" s="77"/>
      <c r="AL348" s="77"/>
      <c r="AM348" s="77"/>
      <c r="AN348" s="77"/>
      <c r="AO348" s="77"/>
      <c r="AP348" s="77"/>
      <c r="AQ348" s="77"/>
      <c r="AR348" s="77"/>
      <c r="AS348" s="77"/>
      <c r="AT348" s="77"/>
      <c r="AU348" s="77"/>
      <c r="AV348" s="77"/>
      <c r="AX348" s="84"/>
      <c r="AY348" s="84"/>
    </row>
    <row r="349" spans="1:58" s="38" customFormat="1" ht="16.5" customHeight="1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  <c r="AG349" s="77"/>
      <c r="AH349" s="77"/>
      <c r="AI349" s="77"/>
      <c r="AJ349" s="77"/>
      <c r="AK349" s="77"/>
      <c r="AL349" s="77"/>
      <c r="AM349" s="77"/>
      <c r="AN349" s="77"/>
      <c r="AO349" s="77"/>
      <c r="AP349" s="77"/>
      <c r="AQ349" s="77"/>
      <c r="AR349" s="77"/>
      <c r="AS349" s="77"/>
      <c r="AT349" s="77"/>
      <c r="AU349" s="77"/>
      <c r="AV349" s="77"/>
      <c r="AX349" s="84"/>
      <c r="AY349" s="84"/>
    </row>
    <row r="350" spans="1:58" s="38" customFormat="1" ht="16.5" customHeight="1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  <c r="AG350" s="77"/>
      <c r="AH350" s="77"/>
      <c r="AI350" s="77"/>
      <c r="AJ350" s="77"/>
      <c r="AK350" s="77"/>
      <c r="AL350" s="77"/>
      <c r="AM350" s="77"/>
      <c r="AN350" s="77"/>
      <c r="AO350" s="77"/>
      <c r="AP350" s="77"/>
      <c r="AQ350" s="77"/>
      <c r="AR350" s="77"/>
      <c r="AS350" s="77"/>
      <c r="AT350" s="77"/>
      <c r="AU350" s="77"/>
      <c r="AV350" s="77"/>
      <c r="AX350" s="84"/>
      <c r="AY350" s="84"/>
    </row>
    <row r="351" spans="1:58" s="38" customFormat="1" ht="16.5" customHeight="1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  <c r="AG351" s="77"/>
      <c r="AH351" s="77"/>
      <c r="AI351" s="77"/>
      <c r="AJ351" s="77"/>
      <c r="AK351" s="77"/>
      <c r="AL351" s="77"/>
      <c r="AM351" s="77"/>
      <c r="AN351" s="77"/>
      <c r="AO351" s="77"/>
      <c r="AP351" s="77"/>
      <c r="AQ351" s="77"/>
      <c r="AR351" s="77"/>
      <c r="AS351" s="77"/>
      <c r="AT351" s="77"/>
      <c r="AU351" s="77"/>
      <c r="AV351" s="77"/>
      <c r="AX351" s="84"/>
      <c r="AY351" s="84"/>
    </row>
    <row r="352" spans="1:58" s="38" customFormat="1" ht="16.5" customHeight="1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  <c r="AG352" s="77"/>
      <c r="AH352" s="77"/>
      <c r="AI352" s="77"/>
      <c r="AJ352" s="77"/>
      <c r="AK352" s="77"/>
      <c r="AL352" s="77"/>
      <c r="AM352" s="77"/>
      <c r="AN352" s="77"/>
      <c r="AO352" s="77"/>
      <c r="AP352" s="77"/>
      <c r="AQ352" s="77"/>
      <c r="AR352" s="77"/>
      <c r="AS352" s="77"/>
      <c r="AT352" s="77"/>
      <c r="AU352" s="77"/>
      <c r="AV352" s="77"/>
      <c r="AX352" s="84"/>
      <c r="AY352" s="84"/>
    </row>
    <row r="353" spans="1:51" s="38" customFormat="1" ht="16.5" customHeight="1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  <c r="AG353" s="77"/>
      <c r="AH353" s="77"/>
      <c r="AI353" s="77"/>
      <c r="AJ353" s="77"/>
      <c r="AK353" s="77"/>
      <c r="AL353" s="77"/>
      <c r="AM353" s="77"/>
      <c r="AN353" s="77"/>
      <c r="AO353" s="77"/>
      <c r="AP353" s="77"/>
      <c r="AQ353" s="77"/>
      <c r="AR353" s="77"/>
      <c r="AS353" s="77"/>
      <c r="AT353" s="77"/>
      <c r="AU353" s="77"/>
      <c r="AV353" s="77"/>
      <c r="AX353" s="84"/>
      <c r="AY353" s="84"/>
    </row>
    <row r="354" spans="1:51" s="38" customFormat="1" ht="16.5" customHeight="1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  <c r="AG354" s="77"/>
      <c r="AH354" s="77"/>
      <c r="AI354" s="77"/>
      <c r="AJ354" s="77"/>
      <c r="AK354" s="77"/>
      <c r="AL354" s="77"/>
      <c r="AM354" s="77"/>
      <c r="AN354" s="77"/>
      <c r="AO354" s="77"/>
      <c r="AP354" s="77"/>
      <c r="AQ354" s="77"/>
      <c r="AR354" s="77"/>
      <c r="AS354" s="77"/>
      <c r="AT354" s="77"/>
      <c r="AU354" s="77"/>
      <c r="AV354" s="77"/>
      <c r="AX354" s="84"/>
      <c r="AY354" s="84"/>
    </row>
    <row r="355" spans="1:51" s="38" customFormat="1" ht="16.5" customHeight="1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  <c r="AG355" s="77"/>
      <c r="AH355" s="77"/>
      <c r="AI355" s="77"/>
      <c r="AJ355" s="77"/>
      <c r="AK355" s="77"/>
      <c r="AL355" s="77"/>
      <c r="AM355" s="77"/>
      <c r="AN355" s="77"/>
      <c r="AO355" s="77"/>
      <c r="AP355" s="77"/>
      <c r="AQ355" s="77"/>
      <c r="AR355" s="77"/>
      <c r="AS355" s="77"/>
      <c r="AT355" s="77"/>
      <c r="AU355" s="77"/>
      <c r="AV355" s="77"/>
      <c r="AX355" s="84"/>
      <c r="AY355" s="84"/>
    </row>
    <row r="356" spans="1:51" s="38" customFormat="1" ht="16.5" customHeight="1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  <c r="AG356" s="77"/>
      <c r="AH356" s="77"/>
      <c r="AI356" s="77"/>
      <c r="AJ356" s="77"/>
      <c r="AK356" s="77"/>
      <c r="AL356" s="77"/>
      <c r="AM356" s="77"/>
      <c r="AN356" s="77"/>
      <c r="AO356" s="77"/>
      <c r="AP356" s="77"/>
      <c r="AQ356" s="77"/>
      <c r="AR356" s="77"/>
      <c r="AS356" s="77"/>
      <c r="AT356" s="77"/>
      <c r="AU356" s="77"/>
      <c r="AV356" s="77"/>
      <c r="AX356" s="84"/>
      <c r="AY356" s="84"/>
    </row>
    <row r="357" spans="1:51" s="38" customFormat="1" ht="16.5" customHeight="1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  <c r="AG357" s="77"/>
      <c r="AH357" s="77"/>
      <c r="AI357" s="77"/>
      <c r="AJ357" s="77"/>
      <c r="AK357" s="77"/>
      <c r="AL357" s="77"/>
      <c r="AM357" s="77"/>
      <c r="AN357" s="77"/>
      <c r="AO357" s="77"/>
      <c r="AP357" s="77"/>
      <c r="AQ357" s="77"/>
      <c r="AR357" s="77"/>
      <c r="AS357" s="77"/>
      <c r="AT357" s="77"/>
      <c r="AU357" s="77"/>
      <c r="AV357" s="77"/>
      <c r="AX357" s="84"/>
      <c r="AY357" s="84"/>
    </row>
    <row r="358" spans="1:51" s="38" customFormat="1" ht="16.5" customHeight="1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  <c r="AG358" s="77"/>
      <c r="AH358" s="77"/>
      <c r="AI358" s="77"/>
      <c r="AJ358" s="77"/>
      <c r="AK358" s="77"/>
      <c r="AL358" s="77"/>
      <c r="AM358" s="77"/>
      <c r="AN358" s="77"/>
      <c r="AO358" s="77"/>
      <c r="AP358" s="77"/>
      <c r="AQ358" s="77"/>
      <c r="AR358" s="77"/>
      <c r="AS358" s="77"/>
      <c r="AT358" s="77"/>
      <c r="AU358" s="77"/>
      <c r="AV358" s="77"/>
      <c r="AX358" s="84"/>
      <c r="AY358" s="84"/>
    </row>
    <row r="359" spans="1:51" s="38" customFormat="1" ht="16.5" customHeight="1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  <c r="AG359" s="77"/>
      <c r="AH359" s="77"/>
      <c r="AI359" s="77"/>
      <c r="AJ359" s="77"/>
      <c r="AK359" s="77"/>
      <c r="AL359" s="77"/>
      <c r="AM359" s="77"/>
      <c r="AN359" s="77"/>
      <c r="AO359" s="77"/>
      <c r="AP359" s="77"/>
      <c r="AQ359" s="77"/>
      <c r="AR359" s="77"/>
      <c r="AS359" s="77"/>
      <c r="AT359" s="77"/>
      <c r="AU359" s="77"/>
      <c r="AV359" s="77"/>
      <c r="AX359" s="84"/>
      <c r="AY359" s="84"/>
    </row>
    <row r="360" spans="1:51" s="38" customFormat="1" ht="16.5" customHeight="1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  <c r="AG360" s="77"/>
      <c r="AH360" s="77"/>
      <c r="AI360" s="77"/>
      <c r="AJ360" s="77"/>
      <c r="AK360" s="77"/>
      <c r="AL360" s="77"/>
      <c r="AM360" s="77"/>
      <c r="AN360" s="77"/>
      <c r="AO360" s="77"/>
      <c r="AP360" s="77"/>
      <c r="AQ360" s="77"/>
      <c r="AR360" s="77"/>
      <c r="AS360" s="77"/>
      <c r="AT360" s="77"/>
      <c r="AU360" s="77"/>
      <c r="AV360" s="77"/>
      <c r="AX360" s="84"/>
      <c r="AY360" s="84"/>
    </row>
    <row r="361" spans="1:51" s="38" customFormat="1" ht="16.5" customHeight="1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  <c r="AG361" s="77"/>
      <c r="AH361" s="77"/>
      <c r="AI361" s="77"/>
      <c r="AJ361" s="77"/>
      <c r="AK361" s="77"/>
      <c r="AL361" s="77"/>
      <c r="AM361" s="77"/>
      <c r="AN361" s="77"/>
      <c r="AO361" s="77"/>
      <c r="AP361" s="77"/>
      <c r="AQ361" s="77"/>
      <c r="AR361" s="77"/>
      <c r="AS361" s="77"/>
      <c r="AT361" s="77"/>
      <c r="AU361" s="77"/>
      <c r="AV361" s="77"/>
      <c r="AX361" s="84"/>
      <c r="AY361" s="84"/>
    </row>
    <row r="362" spans="1:51" s="38" customFormat="1" ht="16.5" customHeight="1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  <c r="AG362" s="77"/>
      <c r="AH362" s="77"/>
      <c r="AI362" s="77"/>
      <c r="AJ362" s="77"/>
      <c r="AK362" s="77"/>
      <c r="AL362" s="77"/>
      <c r="AM362" s="77"/>
      <c r="AN362" s="77"/>
      <c r="AO362" s="77"/>
      <c r="AP362" s="77"/>
      <c r="AQ362" s="77"/>
      <c r="AR362" s="77"/>
      <c r="AS362" s="77"/>
      <c r="AT362" s="77"/>
      <c r="AU362" s="77"/>
      <c r="AV362" s="77"/>
      <c r="AX362" s="84"/>
      <c r="AY362" s="84"/>
    </row>
    <row r="363" spans="1:51" s="38" customFormat="1" ht="16.5" customHeight="1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  <c r="AG363" s="77"/>
      <c r="AH363" s="77"/>
      <c r="AI363" s="77"/>
      <c r="AJ363" s="77"/>
      <c r="AK363" s="77"/>
      <c r="AL363" s="77"/>
      <c r="AM363" s="77"/>
      <c r="AN363" s="77"/>
      <c r="AO363" s="77"/>
      <c r="AP363" s="77"/>
      <c r="AQ363" s="77"/>
      <c r="AR363" s="77"/>
      <c r="AS363" s="77"/>
      <c r="AT363" s="77"/>
      <c r="AU363" s="77"/>
      <c r="AV363" s="77"/>
      <c r="AX363" s="84"/>
      <c r="AY363" s="84"/>
    </row>
    <row r="364" spans="1:51" s="38" customFormat="1" ht="16.5" customHeight="1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  <c r="AG364" s="77"/>
      <c r="AH364" s="77"/>
      <c r="AI364" s="77"/>
      <c r="AJ364" s="77"/>
      <c r="AK364" s="77"/>
      <c r="AL364" s="77"/>
      <c r="AM364" s="77"/>
      <c r="AN364" s="77"/>
      <c r="AO364" s="77"/>
      <c r="AP364" s="77"/>
      <c r="AQ364" s="77"/>
      <c r="AR364" s="77"/>
      <c r="AS364" s="77"/>
      <c r="AT364" s="77"/>
      <c r="AU364" s="77"/>
      <c r="AV364" s="77"/>
      <c r="AX364" s="84"/>
      <c r="AY364" s="84"/>
    </row>
    <row r="365" spans="1:51" s="38" customFormat="1" ht="16.5" customHeight="1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  <c r="AG365" s="77"/>
      <c r="AH365" s="77"/>
      <c r="AI365" s="77"/>
      <c r="AJ365" s="77"/>
      <c r="AK365" s="77"/>
      <c r="AL365" s="77"/>
      <c r="AM365" s="77"/>
      <c r="AN365" s="77"/>
      <c r="AO365" s="77"/>
      <c r="AP365" s="77"/>
      <c r="AQ365" s="77"/>
      <c r="AR365" s="77"/>
      <c r="AS365" s="77"/>
      <c r="AT365" s="77"/>
      <c r="AU365" s="77"/>
      <c r="AV365" s="77"/>
      <c r="AX365" s="84"/>
      <c r="AY365" s="84"/>
    </row>
    <row r="366" spans="1:51" s="38" customFormat="1" ht="16.5" customHeight="1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  <c r="AG366" s="77"/>
      <c r="AH366" s="77"/>
      <c r="AI366" s="77"/>
      <c r="AJ366" s="77"/>
      <c r="AK366" s="77"/>
      <c r="AL366" s="77"/>
      <c r="AM366" s="77"/>
      <c r="AN366" s="77"/>
      <c r="AO366" s="77"/>
      <c r="AP366" s="77"/>
      <c r="AQ366" s="77"/>
      <c r="AR366" s="77"/>
      <c r="AS366" s="77"/>
      <c r="AT366" s="77"/>
      <c r="AU366" s="77"/>
      <c r="AV366" s="77"/>
      <c r="AX366" s="84"/>
      <c r="AY366" s="84"/>
    </row>
    <row r="367" spans="1:51" s="38" customFormat="1" ht="16.5" customHeight="1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  <c r="AG367" s="77"/>
      <c r="AH367" s="77"/>
      <c r="AI367" s="77"/>
      <c r="AJ367" s="77"/>
      <c r="AK367" s="77"/>
      <c r="AL367" s="77"/>
      <c r="AM367" s="77"/>
      <c r="AN367" s="77"/>
      <c r="AO367" s="77"/>
      <c r="AP367" s="77"/>
      <c r="AQ367" s="77"/>
      <c r="AR367" s="77"/>
      <c r="AS367" s="77"/>
      <c r="AT367" s="77"/>
      <c r="AU367" s="77"/>
      <c r="AV367" s="77"/>
      <c r="AX367" s="84"/>
      <c r="AY367" s="84"/>
    </row>
    <row r="368" spans="1:51" s="38" customFormat="1" ht="16.5" customHeight="1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  <c r="AG368" s="77"/>
      <c r="AH368" s="77"/>
      <c r="AI368" s="77"/>
      <c r="AJ368" s="77"/>
      <c r="AK368" s="77"/>
      <c r="AL368" s="77"/>
      <c r="AM368" s="77"/>
      <c r="AN368" s="77"/>
      <c r="AO368" s="77"/>
      <c r="AP368" s="77"/>
      <c r="AQ368" s="77"/>
      <c r="AR368" s="77"/>
      <c r="AS368" s="77"/>
      <c r="AT368" s="77"/>
      <c r="AU368" s="77"/>
      <c r="AV368" s="77"/>
      <c r="AX368" s="84"/>
      <c r="AY368" s="84"/>
    </row>
    <row r="369" spans="1:51" s="38" customFormat="1" ht="16.5" customHeight="1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  <c r="AG369" s="77"/>
      <c r="AH369" s="77"/>
      <c r="AI369" s="77"/>
      <c r="AJ369" s="77"/>
      <c r="AK369" s="77"/>
      <c r="AL369" s="77"/>
      <c r="AM369" s="77"/>
      <c r="AN369" s="77"/>
      <c r="AO369" s="77"/>
      <c r="AP369" s="77"/>
      <c r="AQ369" s="77"/>
      <c r="AR369" s="77"/>
      <c r="AS369" s="77"/>
      <c r="AT369" s="77"/>
      <c r="AU369" s="77"/>
      <c r="AV369" s="77"/>
      <c r="AX369" s="84"/>
      <c r="AY369" s="84"/>
    </row>
    <row r="370" spans="1:51" s="38" customFormat="1" ht="16.5" customHeight="1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  <c r="AG370" s="77"/>
      <c r="AH370" s="77"/>
      <c r="AI370" s="77"/>
      <c r="AJ370" s="77"/>
      <c r="AK370" s="77"/>
      <c r="AL370" s="77"/>
      <c r="AM370" s="77"/>
      <c r="AN370" s="77"/>
      <c r="AO370" s="77"/>
      <c r="AP370" s="77"/>
      <c r="AQ370" s="77"/>
      <c r="AR370" s="77"/>
      <c r="AS370" s="77"/>
      <c r="AT370" s="77"/>
      <c r="AU370" s="77"/>
      <c r="AV370" s="77"/>
      <c r="AX370" s="84"/>
      <c r="AY370" s="84"/>
    </row>
    <row r="371" spans="1:51" s="38" customFormat="1" ht="16.5" customHeight="1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  <c r="AG371" s="77"/>
      <c r="AH371" s="77"/>
      <c r="AI371" s="77"/>
      <c r="AJ371" s="77"/>
      <c r="AK371" s="77"/>
      <c r="AL371" s="77"/>
      <c r="AM371" s="77"/>
      <c r="AN371" s="77"/>
      <c r="AO371" s="77"/>
      <c r="AP371" s="77"/>
      <c r="AQ371" s="77"/>
      <c r="AR371" s="77"/>
      <c r="AS371" s="77"/>
      <c r="AT371" s="77"/>
      <c r="AU371" s="77"/>
      <c r="AV371" s="77"/>
      <c r="AX371" s="84"/>
      <c r="AY371" s="84"/>
    </row>
    <row r="372" spans="1:51" s="38" customFormat="1" ht="16.5" customHeight="1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  <c r="AG372" s="77"/>
      <c r="AH372" s="77"/>
      <c r="AI372" s="77"/>
      <c r="AJ372" s="77"/>
      <c r="AK372" s="77"/>
      <c r="AL372" s="77"/>
      <c r="AM372" s="77"/>
      <c r="AN372" s="77"/>
      <c r="AO372" s="77"/>
      <c r="AP372" s="77"/>
      <c r="AQ372" s="77"/>
      <c r="AR372" s="77"/>
      <c r="AS372" s="77"/>
      <c r="AT372" s="77"/>
      <c r="AU372" s="77"/>
      <c r="AV372" s="77"/>
      <c r="AX372" s="84"/>
      <c r="AY372" s="84"/>
    </row>
    <row r="373" spans="1:51" s="38" customFormat="1" ht="16.5" customHeight="1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  <c r="AG373" s="77"/>
      <c r="AH373" s="77"/>
      <c r="AI373" s="77"/>
      <c r="AJ373" s="77"/>
      <c r="AK373" s="77"/>
      <c r="AL373" s="77"/>
      <c r="AM373" s="77"/>
      <c r="AN373" s="77"/>
      <c r="AO373" s="77"/>
      <c r="AP373" s="77"/>
      <c r="AQ373" s="77"/>
      <c r="AR373" s="77"/>
      <c r="AS373" s="77"/>
      <c r="AT373" s="77"/>
      <c r="AU373" s="77"/>
      <c r="AV373" s="77"/>
      <c r="AX373" s="84"/>
      <c r="AY373" s="84"/>
    </row>
    <row r="374" spans="1:51" s="38" customFormat="1" ht="16.5" customHeight="1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  <c r="AG374" s="77"/>
      <c r="AH374" s="77"/>
      <c r="AI374" s="77"/>
      <c r="AJ374" s="77"/>
      <c r="AK374" s="77"/>
      <c r="AL374" s="77"/>
      <c r="AM374" s="77"/>
      <c r="AN374" s="77"/>
      <c r="AO374" s="77"/>
      <c r="AP374" s="77"/>
      <c r="AQ374" s="77"/>
      <c r="AR374" s="77"/>
      <c r="AS374" s="77"/>
      <c r="AT374" s="77"/>
      <c r="AU374" s="77"/>
      <c r="AV374" s="77"/>
      <c r="AX374" s="84"/>
      <c r="AY374" s="84"/>
    </row>
    <row r="375" spans="1:51" s="38" customFormat="1" ht="16.5" customHeight="1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  <c r="AG375" s="77"/>
      <c r="AH375" s="77"/>
      <c r="AI375" s="77"/>
      <c r="AJ375" s="77"/>
      <c r="AK375" s="77"/>
      <c r="AL375" s="77"/>
      <c r="AM375" s="77"/>
      <c r="AN375" s="77"/>
      <c r="AO375" s="77"/>
      <c r="AP375" s="77"/>
      <c r="AQ375" s="77"/>
      <c r="AR375" s="77"/>
      <c r="AS375" s="77"/>
      <c r="AT375" s="77"/>
      <c r="AU375" s="77"/>
      <c r="AV375" s="77"/>
      <c r="AX375" s="84"/>
      <c r="AY375" s="84"/>
    </row>
    <row r="376" spans="1:51" s="38" customFormat="1" ht="16.5" customHeight="1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  <c r="AG376" s="77"/>
      <c r="AH376" s="77"/>
      <c r="AI376" s="77"/>
      <c r="AJ376" s="77"/>
      <c r="AK376" s="77"/>
      <c r="AL376" s="77"/>
      <c r="AM376" s="77"/>
      <c r="AN376" s="77"/>
      <c r="AO376" s="77"/>
      <c r="AP376" s="77"/>
      <c r="AQ376" s="77"/>
      <c r="AR376" s="77"/>
      <c r="AS376" s="77"/>
      <c r="AT376" s="77"/>
      <c r="AU376" s="77"/>
      <c r="AV376" s="77"/>
      <c r="AX376" s="84"/>
      <c r="AY376" s="84"/>
    </row>
    <row r="377" spans="1:51" s="38" customFormat="1" ht="16.5" customHeight="1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  <c r="AG377" s="77"/>
      <c r="AH377" s="77"/>
      <c r="AI377" s="77"/>
      <c r="AJ377" s="77"/>
      <c r="AK377" s="77"/>
      <c r="AL377" s="77"/>
      <c r="AM377" s="77"/>
      <c r="AN377" s="77"/>
      <c r="AO377" s="77"/>
      <c r="AP377" s="77"/>
      <c r="AQ377" s="77"/>
      <c r="AR377" s="77"/>
      <c r="AS377" s="77"/>
      <c r="AT377" s="77"/>
      <c r="AU377" s="77"/>
      <c r="AV377" s="77"/>
      <c r="AX377" s="84"/>
      <c r="AY377" s="84"/>
    </row>
    <row r="378" spans="1:51" s="38" customFormat="1" ht="16.5" customHeight="1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  <c r="AG378" s="77"/>
      <c r="AH378" s="77"/>
      <c r="AI378" s="77"/>
      <c r="AJ378" s="77"/>
      <c r="AK378" s="77"/>
      <c r="AL378" s="77"/>
      <c r="AM378" s="77"/>
      <c r="AN378" s="77"/>
      <c r="AO378" s="77"/>
      <c r="AP378" s="77"/>
      <c r="AQ378" s="77"/>
      <c r="AR378" s="77"/>
      <c r="AS378" s="77"/>
      <c r="AT378" s="77"/>
      <c r="AU378" s="77"/>
      <c r="AV378" s="77"/>
      <c r="AX378" s="84"/>
      <c r="AY378" s="84"/>
    </row>
    <row r="379" spans="1:51" s="38" customFormat="1" ht="16.5" customHeight="1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  <c r="AG379" s="77"/>
      <c r="AH379" s="77"/>
      <c r="AI379" s="77"/>
      <c r="AJ379" s="77"/>
      <c r="AK379" s="77"/>
      <c r="AL379" s="77"/>
      <c r="AM379" s="77"/>
      <c r="AN379" s="77"/>
      <c r="AO379" s="77"/>
      <c r="AP379" s="77"/>
      <c r="AQ379" s="77"/>
      <c r="AR379" s="77"/>
      <c r="AS379" s="77"/>
      <c r="AT379" s="77"/>
      <c r="AU379" s="77"/>
      <c r="AV379" s="77"/>
      <c r="AX379" s="84"/>
      <c r="AY379" s="84"/>
    </row>
    <row r="380" spans="1:51" s="38" customFormat="1" ht="16.5" customHeight="1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  <c r="AG380" s="77"/>
      <c r="AH380" s="77"/>
      <c r="AI380" s="77"/>
      <c r="AJ380" s="77"/>
      <c r="AK380" s="77"/>
      <c r="AL380" s="77"/>
      <c r="AM380" s="77"/>
      <c r="AN380" s="77"/>
      <c r="AO380" s="77"/>
      <c r="AP380" s="77"/>
      <c r="AQ380" s="77"/>
      <c r="AR380" s="77"/>
      <c r="AS380" s="77"/>
      <c r="AT380" s="77"/>
      <c r="AU380" s="77"/>
      <c r="AV380" s="77"/>
      <c r="AX380" s="84"/>
      <c r="AY380" s="84"/>
    </row>
    <row r="381" spans="1:51" s="38" customFormat="1" ht="16.5" customHeight="1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  <c r="AG381" s="77"/>
      <c r="AH381" s="77"/>
      <c r="AI381" s="77"/>
      <c r="AJ381" s="77"/>
      <c r="AK381" s="77"/>
      <c r="AL381" s="77"/>
      <c r="AM381" s="77"/>
      <c r="AN381" s="77"/>
      <c r="AO381" s="77"/>
      <c r="AP381" s="77"/>
      <c r="AQ381" s="77"/>
      <c r="AR381" s="77"/>
      <c r="AS381" s="77"/>
      <c r="AT381" s="77"/>
      <c r="AU381" s="77"/>
      <c r="AV381" s="77"/>
      <c r="AX381" s="84"/>
      <c r="AY381" s="84"/>
    </row>
    <row r="382" spans="1:51" s="38" customFormat="1" ht="16.5" customHeight="1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  <c r="AG382" s="77"/>
      <c r="AH382" s="77"/>
      <c r="AI382" s="77"/>
      <c r="AJ382" s="77"/>
      <c r="AK382" s="77"/>
      <c r="AL382" s="77"/>
      <c r="AM382" s="77"/>
      <c r="AN382" s="77"/>
      <c r="AO382" s="77"/>
      <c r="AP382" s="77"/>
      <c r="AQ382" s="77"/>
      <c r="AR382" s="77"/>
      <c r="AS382" s="77"/>
      <c r="AT382" s="77"/>
      <c r="AU382" s="77"/>
      <c r="AV382" s="77"/>
      <c r="AX382" s="84"/>
      <c r="AY382" s="84"/>
    </row>
    <row r="383" spans="1:51" s="38" customFormat="1" ht="16.5" customHeight="1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  <c r="AG383" s="77"/>
      <c r="AH383" s="77"/>
      <c r="AI383" s="77"/>
      <c r="AJ383" s="77"/>
      <c r="AK383" s="77"/>
      <c r="AL383" s="77"/>
      <c r="AM383" s="77"/>
      <c r="AN383" s="77"/>
      <c r="AO383" s="77"/>
      <c r="AP383" s="77"/>
      <c r="AQ383" s="77"/>
      <c r="AR383" s="77"/>
      <c r="AS383" s="77"/>
      <c r="AT383" s="77"/>
      <c r="AU383" s="77"/>
      <c r="AV383" s="77"/>
      <c r="AX383" s="84"/>
      <c r="AY383" s="84"/>
    </row>
    <row r="384" spans="1:51" s="38" customFormat="1" ht="16.5" customHeight="1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  <c r="AG384" s="77"/>
      <c r="AH384" s="77"/>
      <c r="AI384" s="77"/>
      <c r="AJ384" s="77"/>
      <c r="AK384" s="77"/>
      <c r="AL384" s="77"/>
      <c r="AM384" s="77"/>
      <c r="AN384" s="77"/>
      <c r="AO384" s="77"/>
      <c r="AP384" s="77"/>
      <c r="AQ384" s="77"/>
      <c r="AR384" s="77"/>
      <c r="AS384" s="77"/>
      <c r="AT384" s="77"/>
      <c r="AU384" s="77"/>
      <c r="AV384" s="77"/>
      <c r="AX384" s="84"/>
      <c r="AY384" s="84"/>
    </row>
    <row r="385" spans="1:51" s="38" customFormat="1" ht="16.5" customHeight="1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  <c r="AG385" s="77"/>
      <c r="AH385" s="77"/>
      <c r="AI385" s="77"/>
      <c r="AJ385" s="77"/>
      <c r="AK385" s="77"/>
      <c r="AL385" s="77"/>
      <c r="AM385" s="77"/>
      <c r="AN385" s="77"/>
      <c r="AO385" s="77"/>
      <c r="AP385" s="77"/>
      <c r="AQ385" s="77"/>
      <c r="AR385" s="77"/>
      <c r="AS385" s="77"/>
      <c r="AT385" s="77"/>
      <c r="AU385" s="77"/>
      <c r="AV385" s="77"/>
      <c r="AX385" s="84"/>
      <c r="AY385" s="84"/>
    </row>
    <row r="386" spans="1:51" s="38" customFormat="1" ht="16.5" customHeight="1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  <c r="AG386" s="77"/>
      <c r="AH386" s="77"/>
      <c r="AI386" s="77"/>
      <c r="AJ386" s="77"/>
      <c r="AK386" s="77"/>
      <c r="AL386" s="77"/>
      <c r="AM386" s="77"/>
      <c r="AN386" s="77"/>
      <c r="AO386" s="77"/>
      <c r="AP386" s="77"/>
      <c r="AQ386" s="77"/>
      <c r="AR386" s="77"/>
      <c r="AS386" s="77"/>
      <c r="AT386" s="77"/>
      <c r="AU386" s="77"/>
      <c r="AV386" s="77"/>
      <c r="AX386" s="84"/>
      <c r="AY386" s="84"/>
    </row>
    <row r="387" spans="1:51" s="38" customFormat="1" ht="16.5" customHeight="1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  <c r="AG387" s="77"/>
      <c r="AH387" s="77"/>
      <c r="AI387" s="77"/>
      <c r="AJ387" s="77"/>
      <c r="AK387" s="77"/>
      <c r="AL387" s="77"/>
      <c r="AM387" s="77"/>
      <c r="AN387" s="77"/>
      <c r="AO387" s="77"/>
      <c r="AP387" s="77"/>
      <c r="AQ387" s="77"/>
      <c r="AR387" s="77"/>
      <c r="AS387" s="77"/>
      <c r="AT387" s="77"/>
      <c r="AU387" s="77"/>
      <c r="AV387" s="77"/>
      <c r="AX387" s="84"/>
      <c r="AY387" s="84"/>
    </row>
    <row r="388" spans="1:51" s="38" customFormat="1" ht="16.5" customHeight="1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  <c r="AG388" s="77"/>
      <c r="AH388" s="77"/>
      <c r="AI388" s="77"/>
      <c r="AJ388" s="77"/>
      <c r="AK388" s="77"/>
      <c r="AL388" s="77"/>
      <c r="AM388" s="77"/>
      <c r="AN388" s="77"/>
      <c r="AO388" s="77"/>
      <c r="AP388" s="77"/>
      <c r="AQ388" s="77"/>
      <c r="AR388" s="77"/>
      <c r="AS388" s="77"/>
      <c r="AT388" s="77"/>
      <c r="AU388" s="77"/>
      <c r="AV388" s="77"/>
      <c r="AX388" s="84"/>
      <c r="AY388" s="84"/>
    </row>
    <row r="389" spans="1:51" s="38" customFormat="1" ht="16.5" customHeight="1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  <c r="AG389" s="77"/>
      <c r="AH389" s="77"/>
      <c r="AI389" s="77"/>
      <c r="AJ389" s="77"/>
      <c r="AK389" s="77"/>
      <c r="AL389" s="77"/>
      <c r="AM389" s="77"/>
      <c r="AN389" s="77"/>
      <c r="AO389" s="77"/>
      <c r="AP389" s="77"/>
      <c r="AQ389" s="77"/>
      <c r="AR389" s="77"/>
      <c r="AS389" s="77"/>
      <c r="AT389" s="77"/>
      <c r="AU389" s="77"/>
      <c r="AV389" s="77"/>
      <c r="AX389" s="84"/>
      <c r="AY389" s="84"/>
    </row>
    <row r="390" spans="1:51" s="38" customFormat="1" ht="16.5" customHeight="1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  <c r="AG390" s="77"/>
      <c r="AH390" s="77"/>
      <c r="AI390" s="77"/>
      <c r="AJ390" s="77"/>
      <c r="AK390" s="77"/>
      <c r="AL390" s="77"/>
      <c r="AM390" s="77"/>
      <c r="AN390" s="77"/>
      <c r="AO390" s="77"/>
      <c r="AP390" s="77"/>
      <c r="AQ390" s="77"/>
      <c r="AR390" s="77"/>
      <c r="AS390" s="77"/>
      <c r="AT390" s="77"/>
      <c r="AU390" s="77"/>
      <c r="AV390" s="77"/>
      <c r="AX390" s="84"/>
      <c r="AY390" s="84"/>
    </row>
    <row r="391" spans="1:51" s="38" customFormat="1" ht="16.5" customHeight="1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  <c r="AG391" s="77"/>
      <c r="AH391" s="77"/>
      <c r="AI391" s="77"/>
      <c r="AJ391" s="77"/>
      <c r="AK391" s="77"/>
      <c r="AL391" s="77"/>
      <c r="AM391" s="77"/>
      <c r="AN391" s="77"/>
      <c r="AO391" s="77"/>
      <c r="AP391" s="77"/>
      <c r="AQ391" s="77"/>
      <c r="AR391" s="77"/>
      <c r="AS391" s="77"/>
      <c r="AT391" s="77"/>
      <c r="AU391" s="77"/>
      <c r="AV391" s="77"/>
      <c r="AX391" s="84"/>
      <c r="AY391" s="84"/>
    </row>
    <row r="392" spans="1:51" s="38" customFormat="1" ht="16.5" customHeight="1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  <c r="AG392" s="77"/>
      <c r="AH392" s="77"/>
      <c r="AI392" s="77"/>
      <c r="AJ392" s="77"/>
      <c r="AK392" s="77"/>
      <c r="AL392" s="77"/>
      <c r="AM392" s="77"/>
      <c r="AN392" s="77"/>
      <c r="AO392" s="77"/>
      <c r="AP392" s="77"/>
      <c r="AQ392" s="77"/>
      <c r="AR392" s="77"/>
      <c r="AS392" s="77"/>
      <c r="AT392" s="77"/>
      <c r="AU392" s="77"/>
      <c r="AV392" s="77"/>
      <c r="AX392" s="84"/>
      <c r="AY392" s="84"/>
    </row>
    <row r="393" spans="1:51" s="38" customFormat="1" ht="16.5" customHeight="1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  <c r="AG393" s="77"/>
      <c r="AH393" s="77"/>
      <c r="AI393" s="77"/>
      <c r="AJ393" s="77"/>
      <c r="AK393" s="77"/>
      <c r="AL393" s="77"/>
      <c r="AM393" s="77"/>
      <c r="AN393" s="77"/>
      <c r="AO393" s="77"/>
      <c r="AP393" s="77"/>
      <c r="AQ393" s="77"/>
      <c r="AR393" s="77"/>
      <c r="AS393" s="77"/>
      <c r="AT393" s="77"/>
      <c r="AU393" s="77"/>
      <c r="AV393" s="77"/>
      <c r="AX393" s="84"/>
      <c r="AY393" s="84"/>
    </row>
    <row r="394" spans="1:51" s="38" customFormat="1" ht="16.5" customHeight="1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  <c r="AG394" s="77"/>
      <c r="AH394" s="77"/>
      <c r="AI394" s="77"/>
      <c r="AJ394" s="77"/>
      <c r="AK394" s="77"/>
      <c r="AL394" s="77"/>
      <c r="AM394" s="77"/>
      <c r="AN394" s="77"/>
      <c r="AO394" s="77"/>
      <c r="AP394" s="77"/>
      <c r="AQ394" s="77"/>
      <c r="AR394" s="77"/>
      <c r="AS394" s="77"/>
      <c r="AT394" s="77"/>
      <c r="AU394" s="77"/>
      <c r="AV394" s="77"/>
      <c r="AX394" s="84"/>
      <c r="AY394" s="84"/>
    </row>
    <row r="395" spans="1:51" s="38" customFormat="1" ht="16.5" customHeight="1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  <c r="AG395" s="77"/>
      <c r="AH395" s="77"/>
      <c r="AI395" s="77"/>
      <c r="AJ395" s="77"/>
      <c r="AK395" s="77"/>
      <c r="AL395" s="77"/>
      <c r="AM395" s="77"/>
      <c r="AN395" s="77"/>
      <c r="AO395" s="77"/>
      <c r="AP395" s="77"/>
      <c r="AQ395" s="77"/>
      <c r="AR395" s="77"/>
      <c r="AS395" s="77"/>
      <c r="AT395" s="77"/>
      <c r="AU395" s="77"/>
      <c r="AV395" s="77"/>
      <c r="AX395" s="84"/>
      <c r="AY395" s="84"/>
    </row>
    <row r="396" spans="1:51" s="38" customFormat="1" ht="16.5" customHeight="1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  <c r="AG396" s="77"/>
      <c r="AH396" s="77"/>
      <c r="AI396" s="77"/>
      <c r="AJ396" s="77"/>
      <c r="AK396" s="77"/>
      <c r="AL396" s="77"/>
      <c r="AM396" s="77"/>
      <c r="AN396" s="77"/>
      <c r="AO396" s="77"/>
      <c r="AP396" s="77"/>
      <c r="AQ396" s="77"/>
      <c r="AR396" s="77"/>
      <c r="AS396" s="77"/>
      <c r="AT396" s="77"/>
      <c r="AU396" s="77"/>
      <c r="AV396" s="77"/>
      <c r="AX396" s="84"/>
      <c r="AY396" s="84"/>
    </row>
    <row r="397" spans="1:51" s="38" customFormat="1" ht="16.5" customHeight="1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  <c r="AG397" s="77"/>
      <c r="AH397" s="77"/>
      <c r="AI397" s="77"/>
      <c r="AJ397" s="77"/>
      <c r="AK397" s="77"/>
      <c r="AL397" s="77"/>
      <c r="AM397" s="77"/>
      <c r="AN397" s="77"/>
      <c r="AO397" s="77"/>
      <c r="AP397" s="77"/>
      <c r="AQ397" s="77"/>
      <c r="AR397" s="77"/>
      <c r="AS397" s="77"/>
      <c r="AT397" s="77"/>
      <c r="AU397" s="77"/>
      <c r="AV397" s="77"/>
      <c r="AX397" s="84"/>
      <c r="AY397" s="84"/>
    </row>
    <row r="398" spans="1:51" s="38" customFormat="1" ht="16.5" customHeight="1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  <c r="AG398" s="77"/>
      <c r="AH398" s="77"/>
      <c r="AI398" s="77"/>
      <c r="AJ398" s="77"/>
      <c r="AK398" s="77"/>
      <c r="AL398" s="77"/>
      <c r="AM398" s="77"/>
      <c r="AN398" s="77"/>
      <c r="AO398" s="77"/>
      <c r="AP398" s="77"/>
      <c r="AQ398" s="77"/>
      <c r="AR398" s="77"/>
      <c r="AS398" s="77"/>
      <c r="AT398" s="77"/>
      <c r="AU398" s="77"/>
      <c r="AV398" s="77"/>
      <c r="AX398" s="84"/>
      <c r="AY398" s="84"/>
    </row>
    <row r="399" spans="1:51" s="38" customFormat="1" ht="16.5" customHeight="1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  <c r="AG399" s="77"/>
      <c r="AH399" s="77"/>
      <c r="AI399" s="77"/>
      <c r="AJ399" s="77"/>
      <c r="AK399" s="77"/>
      <c r="AL399" s="77"/>
      <c r="AM399" s="77"/>
      <c r="AN399" s="77"/>
      <c r="AO399" s="77"/>
      <c r="AP399" s="77"/>
      <c r="AQ399" s="77"/>
      <c r="AR399" s="77"/>
      <c r="AS399" s="77"/>
      <c r="AT399" s="77"/>
      <c r="AU399" s="77"/>
      <c r="AV399" s="77"/>
      <c r="AX399" s="84"/>
      <c r="AY399" s="84"/>
    </row>
    <row r="400" spans="1:51" s="38" customFormat="1" ht="16.5" customHeight="1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  <c r="AG400" s="77"/>
      <c r="AH400" s="77"/>
      <c r="AI400" s="77"/>
      <c r="AJ400" s="77"/>
      <c r="AK400" s="77"/>
      <c r="AL400" s="77"/>
      <c r="AM400" s="77"/>
      <c r="AN400" s="77"/>
      <c r="AO400" s="77"/>
      <c r="AP400" s="77"/>
      <c r="AQ400" s="77"/>
      <c r="AR400" s="77"/>
      <c r="AS400" s="77"/>
      <c r="AT400" s="77"/>
      <c r="AU400" s="77"/>
      <c r="AV400" s="77"/>
      <c r="AX400" s="84"/>
      <c r="AY400" s="84"/>
    </row>
    <row r="401" spans="1:58" s="38" customFormat="1" ht="16.5" customHeight="1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  <c r="AG401" s="77"/>
      <c r="AH401" s="77"/>
      <c r="AI401" s="77"/>
      <c r="AJ401" s="77"/>
      <c r="AK401" s="77"/>
      <c r="AL401" s="77"/>
      <c r="AM401" s="77"/>
      <c r="AN401" s="77"/>
      <c r="AO401" s="77"/>
      <c r="AP401" s="77"/>
      <c r="AQ401" s="77"/>
      <c r="AR401" s="77"/>
      <c r="AS401" s="77"/>
      <c r="AT401" s="77"/>
      <c r="AU401" s="77"/>
      <c r="AV401" s="77"/>
      <c r="AX401" s="84"/>
      <c r="AY401" s="84"/>
    </row>
    <row r="402" spans="1:58" s="38" customFormat="1" ht="16.5" customHeight="1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  <c r="AG402" s="77"/>
      <c r="AH402" s="77"/>
      <c r="AI402" s="77"/>
      <c r="AJ402" s="77"/>
      <c r="AK402" s="77"/>
      <c r="AL402" s="77"/>
      <c r="AM402" s="77"/>
      <c r="AN402" s="77"/>
      <c r="AO402" s="77"/>
      <c r="AP402" s="77"/>
      <c r="AQ402" s="77"/>
      <c r="AR402" s="77"/>
      <c r="AS402" s="77"/>
      <c r="AT402" s="77"/>
      <c r="AU402" s="77"/>
      <c r="AV402" s="77"/>
      <c r="AX402" s="84"/>
      <c r="AY402" s="84"/>
    </row>
    <row r="403" spans="1:58" s="38" customFormat="1" ht="16.5" customHeight="1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  <c r="AG403" s="77"/>
      <c r="AH403" s="77"/>
      <c r="AI403" s="77"/>
      <c r="AJ403" s="77"/>
      <c r="AK403" s="77"/>
      <c r="AL403" s="77"/>
      <c r="AM403" s="77"/>
      <c r="AN403" s="77"/>
      <c r="AO403" s="77"/>
      <c r="AP403" s="77"/>
      <c r="AQ403" s="77"/>
      <c r="AR403" s="77"/>
      <c r="AS403" s="77"/>
      <c r="AT403" s="77"/>
      <c r="AU403" s="77"/>
      <c r="AV403" s="77"/>
      <c r="AX403" s="84"/>
      <c r="AY403" s="84"/>
    </row>
    <row r="404" spans="1:58" s="38" customFormat="1" ht="16.5" customHeight="1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  <c r="AG404" s="77"/>
      <c r="AH404" s="77"/>
      <c r="AI404" s="77"/>
      <c r="AJ404" s="77"/>
      <c r="AK404" s="77"/>
      <c r="AL404" s="77"/>
      <c r="AM404" s="77"/>
      <c r="AN404" s="77"/>
      <c r="AO404" s="77"/>
      <c r="AP404" s="77"/>
      <c r="AQ404" s="77"/>
      <c r="AR404" s="77"/>
      <c r="AS404" s="77"/>
      <c r="AT404" s="77"/>
      <c r="AU404" s="77"/>
      <c r="AV404" s="77"/>
      <c r="AX404" s="84"/>
      <c r="AY404" s="84"/>
      <c r="AZ404" s="84"/>
      <c r="BA404" s="75" t="s">
        <v>59</v>
      </c>
      <c r="BB404" s="85">
        <v>0</v>
      </c>
      <c r="BC404" s="85">
        <v>0</v>
      </c>
      <c r="BD404" s="85">
        <v>0</v>
      </c>
      <c r="BE404" s="85">
        <v>0</v>
      </c>
      <c r="BF404" s="85">
        <v>0</v>
      </c>
    </row>
    <row r="405" spans="1:58" s="38" customFormat="1" ht="16.5" customHeight="1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  <c r="AG405" s="77"/>
      <c r="AH405" s="77"/>
      <c r="AI405" s="77"/>
      <c r="AJ405" s="77"/>
      <c r="AK405" s="77"/>
      <c r="AL405" s="77"/>
      <c r="AM405" s="77"/>
      <c r="AN405" s="77"/>
      <c r="AO405" s="77"/>
      <c r="AP405" s="77"/>
      <c r="AQ405" s="77"/>
      <c r="AR405" s="77"/>
      <c r="AS405" s="77"/>
      <c r="AT405" s="77"/>
      <c r="AU405" s="77"/>
      <c r="AV405" s="77"/>
      <c r="AX405" s="84"/>
      <c r="AY405" s="84"/>
      <c r="AZ405" s="84"/>
      <c r="BA405" s="75" t="s">
        <v>60</v>
      </c>
      <c r="BB405" s="85">
        <v>0</v>
      </c>
      <c r="BC405" s="85">
        <v>0</v>
      </c>
      <c r="BD405" s="85">
        <v>0</v>
      </c>
      <c r="BE405" s="85">
        <v>0</v>
      </c>
      <c r="BF405" s="85">
        <v>0</v>
      </c>
    </row>
    <row r="406" spans="1:58" s="38" customFormat="1" ht="16.5" customHeight="1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  <c r="AG406" s="77"/>
      <c r="AH406" s="77"/>
      <c r="AI406" s="77"/>
      <c r="AJ406" s="77"/>
      <c r="AK406" s="77"/>
      <c r="AL406" s="77"/>
      <c r="AM406" s="77"/>
      <c r="AN406" s="77"/>
      <c r="AO406" s="77"/>
      <c r="AP406" s="77"/>
      <c r="AQ406" s="77"/>
      <c r="AR406" s="77"/>
      <c r="AS406" s="77"/>
      <c r="AT406" s="77"/>
      <c r="AU406" s="77"/>
      <c r="AV406" s="77"/>
      <c r="AX406" s="84"/>
      <c r="AY406" s="84"/>
      <c r="AZ406" s="84"/>
      <c r="BA406" s="75" t="s">
        <v>66</v>
      </c>
      <c r="BB406" s="85">
        <v>0</v>
      </c>
      <c r="BC406" s="85">
        <v>0</v>
      </c>
      <c r="BD406" s="85">
        <v>0</v>
      </c>
      <c r="BE406" s="85">
        <v>0</v>
      </c>
      <c r="BF406" s="85">
        <v>0</v>
      </c>
    </row>
    <row r="407" spans="1:58" s="38" customFormat="1" ht="16.5" customHeight="1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  <c r="AG407" s="77"/>
      <c r="AH407" s="77"/>
      <c r="AI407" s="77"/>
      <c r="AJ407" s="77"/>
      <c r="AK407" s="77"/>
      <c r="AL407" s="77"/>
      <c r="AM407" s="77"/>
      <c r="AN407" s="77"/>
      <c r="AO407" s="77"/>
      <c r="AP407" s="77"/>
      <c r="AQ407" s="77"/>
      <c r="AR407" s="77"/>
      <c r="AS407" s="77"/>
      <c r="AT407" s="77"/>
      <c r="AU407" s="77"/>
      <c r="AV407" s="77"/>
      <c r="AX407" s="84"/>
      <c r="AY407" s="84"/>
      <c r="AZ407" s="84"/>
      <c r="BA407" s="2"/>
    </row>
    <row r="408" spans="1:58" s="38" customFormat="1" ht="16.5" customHeight="1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  <c r="AG408" s="77"/>
      <c r="AH408" s="77"/>
      <c r="AI408" s="77"/>
      <c r="AJ408" s="77"/>
      <c r="AK408" s="77"/>
      <c r="AL408" s="77"/>
      <c r="AM408" s="77"/>
      <c r="AN408" s="77"/>
      <c r="AO408" s="77"/>
      <c r="AP408" s="77"/>
      <c r="AQ408" s="77"/>
      <c r="AR408" s="77"/>
      <c r="AS408" s="77"/>
      <c r="AT408" s="77"/>
      <c r="AU408" s="77"/>
      <c r="AV408" s="77"/>
      <c r="AX408" s="84"/>
      <c r="AY408" s="84"/>
      <c r="AZ408" s="84"/>
      <c r="BA408" s="75"/>
      <c r="BB408" s="75" t="s">
        <v>62</v>
      </c>
      <c r="BC408" s="75" t="s">
        <v>63</v>
      </c>
      <c r="BD408" s="75" t="s">
        <v>64</v>
      </c>
      <c r="BE408" s="75" t="s">
        <v>65</v>
      </c>
      <c r="BF408" s="75" t="s">
        <v>66</v>
      </c>
    </row>
    <row r="409" spans="1:58" s="38" customFormat="1" ht="16.5" customHeight="1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  <c r="AG409" s="77"/>
      <c r="AH409" s="77"/>
      <c r="AI409" s="77"/>
      <c r="AJ409" s="77"/>
      <c r="AK409" s="77"/>
      <c r="AL409" s="77"/>
      <c r="AM409" s="77"/>
      <c r="AN409" s="77"/>
      <c r="AO409" s="77"/>
      <c r="AP409" s="77"/>
      <c r="AQ409" s="77"/>
      <c r="AR409" s="77"/>
      <c r="AS409" s="77"/>
      <c r="AT409" s="77"/>
      <c r="AU409" s="77"/>
      <c r="AV409" s="77"/>
      <c r="AX409" s="84"/>
      <c r="AY409" s="84"/>
      <c r="BA409" s="75" t="s">
        <v>59</v>
      </c>
      <c r="BB409" s="87" t="e">
        <v>#DIV/0!</v>
      </c>
      <c r="BC409" s="87" t="e">
        <v>#DIV/0!</v>
      </c>
      <c r="BD409" s="87" t="e">
        <v>#DIV/0!</v>
      </c>
      <c r="BE409" s="87" t="e">
        <v>#DIV/0!</v>
      </c>
      <c r="BF409" s="87" t="e">
        <v>#DIV/0!</v>
      </c>
    </row>
    <row r="410" spans="1:58" s="38" customFormat="1" ht="16.5" customHeight="1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  <c r="AG410" s="77"/>
      <c r="AH410" s="77"/>
      <c r="AI410" s="77"/>
      <c r="AJ410" s="77"/>
      <c r="AK410" s="77"/>
      <c r="AL410" s="77"/>
      <c r="AM410" s="77"/>
      <c r="AN410" s="77"/>
      <c r="AO410" s="77"/>
      <c r="AP410" s="77"/>
      <c r="AQ410" s="77"/>
      <c r="AR410" s="77"/>
      <c r="AS410" s="77"/>
      <c r="AT410" s="77"/>
      <c r="AU410" s="77"/>
      <c r="AV410" s="77"/>
      <c r="AX410" s="84"/>
      <c r="AY410" s="84"/>
      <c r="BA410" s="75" t="s">
        <v>60</v>
      </c>
      <c r="BB410" s="87" t="e">
        <v>#DIV/0!</v>
      </c>
      <c r="BC410" s="87" t="e">
        <v>#DIV/0!</v>
      </c>
      <c r="BD410" s="87" t="e">
        <v>#DIV/0!</v>
      </c>
      <c r="BE410" s="87" t="e">
        <v>#DIV/0!</v>
      </c>
      <c r="BF410" s="87" t="e">
        <v>#DIV/0!</v>
      </c>
    </row>
    <row r="411" spans="1:58" s="38" customFormat="1" ht="16.5" customHeight="1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  <c r="AG411" s="77"/>
      <c r="AH411" s="77"/>
      <c r="AI411" s="77"/>
      <c r="AJ411" s="77"/>
      <c r="AK411" s="77"/>
      <c r="AL411" s="77"/>
      <c r="AM411" s="77"/>
      <c r="AN411" s="77"/>
      <c r="AO411" s="77"/>
      <c r="AP411" s="77"/>
      <c r="AQ411" s="77"/>
      <c r="AR411" s="77"/>
      <c r="AS411" s="77"/>
      <c r="AT411" s="77"/>
      <c r="AU411" s="77"/>
      <c r="AV411" s="77"/>
      <c r="AX411" s="84"/>
      <c r="AY411" s="84"/>
      <c r="BA411" s="75" t="s">
        <v>66</v>
      </c>
      <c r="BB411" s="87" t="e">
        <v>#DIV/0!</v>
      </c>
      <c r="BC411" s="87" t="e">
        <v>#DIV/0!</v>
      </c>
      <c r="BD411" s="87" t="e">
        <v>#DIV/0!</v>
      </c>
      <c r="BE411" s="87" t="e">
        <v>#DIV/0!</v>
      </c>
      <c r="BF411" s="87" t="e">
        <v>#DIV/0!</v>
      </c>
    </row>
    <row r="412" spans="1:58" s="38" customFormat="1" ht="16.5" customHeight="1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  <c r="AG412" s="77"/>
      <c r="AH412" s="77"/>
      <c r="AI412" s="77"/>
      <c r="AJ412" s="77"/>
      <c r="AK412" s="77"/>
      <c r="AL412" s="77"/>
      <c r="AM412" s="77"/>
      <c r="AN412" s="77"/>
      <c r="AO412" s="77"/>
      <c r="AP412" s="77"/>
      <c r="AQ412" s="77"/>
      <c r="AR412" s="77"/>
      <c r="AS412" s="77"/>
      <c r="AT412" s="77"/>
      <c r="AU412" s="77"/>
      <c r="AV412" s="77"/>
      <c r="AX412" s="84"/>
      <c r="AY412" s="84"/>
    </row>
    <row r="413" spans="1:58" s="38" customFormat="1" ht="16.5" customHeight="1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  <c r="AG413" s="77"/>
      <c r="AH413" s="77"/>
      <c r="AI413" s="77"/>
      <c r="AJ413" s="77"/>
      <c r="AK413" s="77"/>
      <c r="AL413" s="77"/>
      <c r="AM413" s="77"/>
      <c r="AN413" s="77"/>
      <c r="AO413" s="77"/>
      <c r="AP413" s="77"/>
      <c r="AQ413" s="77"/>
      <c r="AR413" s="77"/>
      <c r="AS413" s="77"/>
      <c r="AT413" s="77"/>
      <c r="AU413" s="77"/>
      <c r="AV413" s="77"/>
      <c r="AX413" s="84"/>
      <c r="AY413" s="84"/>
    </row>
    <row r="414" spans="1:58" s="38" customFormat="1" ht="16.5" customHeight="1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  <c r="AG414" s="77"/>
      <c r="AH414" s="77"/>
      <c r="AI414" s="77"/>
      <c r="AJ414" s="77"/>
      <c r="AK414" s="77"/>
      <c r="AL414" s="77"/>
      <c r="AM414" s="77"/>
      <c r="AN414" s="77"/>
      <c r="AO414" s="77"/>
      <c r="AP414" s="77"/>
      <c r="AQ414" s="77"/>
      <c r="AR414" s="77"/>
      <c r="AS414" s="77"/>
      <c r="AT414" s="77"/>
      <c r="AU414" s="77"/>
      <c r="AV414" s="77"/>
      <c r="AX414" s="84"/>
      <c r="AY414" s="84"/>
    </row>
    <row r="415" spans="1:58" s="38" customFormat="1" ht="16.5" customHeight="1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  <c r="AG415" s="77"/>
      <c r="AH415" s="77"/>
      <c r="AI415" s="77"/>
      <c r="AJ415" s="77"/>
      <c r="AK415" s="77"/>
      <c r="AL415" s="77"/>
      <c r="AM415" s="77"/>
      <c r="AN415" s="77"/>
      <c r="AO415" s="77"/>
      <c r="AP415" s="77"/>
      <c r="AQ415" s="77"/>
      <c r="AR415" s="77"/>
      <c r="AS415" s="77"/>
      <c r="AT415" s="77"/>
      <c r="AU415" s="77"/>
      <c r="AV415" s="77"/>
      <c r="AX415" s="84"/>
      <c r="AY415" s="84"/>
    </row>
    <row r="416" spans="1:58" s="38" customFormat="1" ht="16.5" customHeight="1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  <c r="AG416" s="77"/>
      <c r="AH416" s="77"/>
      <c r="AI416" s="77"/>
      <c r="AJ416" s="77"/>
      <c r="AK416" s="77"/>
      <c r="AL416" s="77"/>
      <c r="AM416" s="77"/>
      <c r="AN416" s="77"/>
      <c r="AO416" s="77"/>
      <c r="AP416" s="77"/>
      <c r="AQ416" s="77"/>
      <c r="AR416" s="77"/>
      <c r="AS416" s="77"/>
      <c r="AT416" s="77"/>
      <c r="AU416" s="77"/>
      <c r="AV416" s="77"/>
      <c r="AX416" s="84"/>
      <c r="AY416" s="84"/>
    </row>
    <row r="417" spans="1:58" s="38" customFormat="1" ht="16.5" customHeight="1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  <c r="AG417" s="77"/>
      <c r="AH417" s="77"/>
      <c r="AI417" s="77"/>
      <c r="AJ417" s="77"/>
      <c r="AK417" s="77"/>
      <c r="AL417" s="77"/>
      <c r="AM417" s="77"/>
      <c r="AN417" s="77"/>
      <c r="AO417" s="77"/>
      <c r="AP417" s="77"/>
      <c r="AQ417" s="77"/>
      <c r="AR417" s="77"/>
      <c r="AS417" s="77"/>
      <c r="AT417" s="77"/>
      <c r="AU417" s="77"/>
      <c r="AV417" s="77"/>
      <c r="AX417" s="84"/>
      <c r="AY417" s="84"/>
    </row>
    <row r="418" spans="1:58" s="38" customFormat="1" ht="16.5" customHeight="1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  <c r="AG418" s="77"/>
      <c r="AH418" s="77"/>
      <c r="AI418" s="77"/>
      <c r="AJ418" s="77"/>
      <c r="AK418" s="77"/>
      <c r="AL418" s="77"/>
      <c r="AM418" s="77"/>
      <c r="AN418" s="77"/>
      <c r="AO418" s="77"/>
      <c r="AP418" s="77"/>
      <c r="AQ418" s="77"/>
      <c r="AR418" s="77"/>
      <c r="AS418" s="77"/>
      <c r="AT418" s="77"/>
      <c r="AU418" s="77"/>
      <c r="AV418" s="77"/>
      <c r="AX418" s="84"/>
      <c r="AY418" s="84"/>
    </row>
    <row r="419" spans="1:58" s="38" customFormat="1" ht="16.5" customHeight="1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  <c r="AG419" s="77"/>
      <c r="AH419" s="77"/>
      <c r="AI419" s="77"/>
      <c r="AJ419" s="77"/>
      <c r="AK419" s="77"/>
      <c r="AL419" s="77"/>
      <c r="AM419" s="77"/>
      <c r="AN419" s="77"/>
      <c r="AO419" s="77"/>
      <c r="AP419" s="77"/>
      <c r="AQ419" s="77"/>
      <c r="AR419" s="77"/>
      <c r="AS419" s="77"/>
      <c r="AT419" s="77"/>
      <c r="AU419" s="77"/>
      <c r="AV419" s="77"/>
      <c r="AX419" s="84"/>
      <c r="AY419" s="84"/>
    </row>
    <row r="420" spans="1:58" s="38" customFormat="1" ht="16.5" customHeight="1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  <c r="AG420" s="77"/>
      <c r="AH420" s="77"/>
      <c r="AI420" s="77"/>
      <c r="AJ420" s="77"/>
      <c r="AK420" s="77"/>
      <c r="AL420" s="77"/>
      <c r="AM420" s="77"/>
      <c r="AN420" s="77"/>
      <c r="AO420" s="77"/>
      <c r="AP420" s="77"/>
      <c r="AQ420" s="77"/>
      <c r="AR420" s="77"/>
      <c r="AS420" s="77"/>
      <c r="AT420" s="77"/>
      <c r="AU420" s="77"/>
      <c r="AV420" s="77"/>
      <c r="AX420" s="84"/>
      <c r="AY420" s="84"/>
    </row>
    <row r="421" spans="1:58" s="38" customFormat="1" ht="16.5" customHeight="1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  <c r="AG421" s="77"/>
      <c r="AH421" s="77"/>
      <c r="AI421" s="77"/>
      <c r="AJ421" s="77"/>
      <c r="AK421" s="77"/>
      <c r="AL421" s="77"/>
      <c r="AM421" s="77"/>
      <c r="AN421" s="77"/>
      <c r="AO421" s="77"/>
      <c r="AP421" s="77"/>
      <c r="AQ421" s="77"/>
      <c r="AR421" s="77"/>
      <c r="AS421" s="77"/>
      <c r="AT421" s="77"/>
      <c r="AU421" s="77"/>
      <c r="AV421" s="77"/>
      <c r="AX421" s="84"/>
      <c r="AY421" s="84"/>
    </row>
    <row r="422" spans="1:58" s="38" customFormat="1" ht="16.5" customHeight="1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  <c r="AG422" s="77"/>
      <c r="AH422" s="77"/>
      <c r="AI422" s="77"/>
      <c r="AJ422" s="77"/>
      <c r="AK422" s="77"/>
      <c r="AL422" s="77"/>
      <c r="AM422" s="77"/>
      <c r="AN422" s="77"/>
      <c r="AO422" s="77"/>
      <c r="AP422" s="77"/>
      <c r="AQ422" s="77"/>
      <c r="AR422" s="77"/>
      <c r="AS422" s="77"/>
      <c r="AT422" s="77"/>
      <c r="AU422" s="77"/>
      <c r="AV422" s="77"/>
      <c r="AX422" s="84"/>
      <c r="AY422" s="84"/>
      <c r="AZ422" s="84"/>
      <c r="BA422" s="75" t="s">
        <v>59</v>
      </c>
      <c r="BB422" s="85">
        <v>0</v>
      </c>
      <c r="BC422" s="85">
        <v>0</v>
      </c>
      <c r="BD422" s="85">
        <v>0</v>
      </c>
      <c r="BE422" s="85">
        <v>0</v>
      </c>
      <c r="BF422" s="85">
        <v>0</v>
      </c>
    </row>
    <row r="423" spans="1:58" s="38" customFormat="1" ht="16.5" customHeight="1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  <c r="AG423" s="77"/>
      <c r="AH423" s="77"/>
      <c r="AI423" s="77"/>
      <c r="AJ423" s="77"/>
      <c r="AK423" s="77"/>
      <c r="AL423" s="77"/>
      <c r="AM423" s="77"/>
      <c r="AN423" s="77"/>
      <c r="AO423" s="77"/>
      <c r="AP423" s="77"/>
      <c r="AQ423" s="77"/>
      <c r="AR423" s="77"/>
      <c r="AS423" s="77"/>
      <c r="AT423" s="77"/>
      <c r="AU423" s="77"/>
      <c r="AV423" s="77"/>
      <c r="AX423" s="84"/>
      <c r="AY423" s="84"/>
      <c r="AZ423" s="84"/>
      <c r="BA423" s="75" t="s">
        <v>60</v>
      </c>
      <c r="BB423" s="85">
        <v>0</v>
      </c>
      <c r="BC423" s="85">
        <v>0</v>
      </c>
      <c r="BD423" s="85">
        <v>0</v>
      </c>
      <c r="BE423" s="85">
        <v>0</v>
      </c>
      <c r="BF423" s="85">
        <v>0</v>
      </c>
    </row>
    <row r="424" spans="1:58" s="38" customFormat="1" ht="16.5" customHeight="1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  <c r="AG424" s="77"/>
      <c r="AH424" s="77"/>
      <c r="AI424" s="77"/>
      <c r="AJ424" s="77"/>
      <c r="AK424" s="77"/>
      <c r="AL424" s="77"/>
      <c r="AM424" s="77"/>
      <c r="AN424" s="77"/>
      <c r="AO424" s="77"/>
      <c r="AP424" s="77"/>
      <c r="AQ424" s="77"/>
      <c r="AR424" s="77"/>
      <c r="AS424" s="77"/>
      <c r="AT424" s="77"/>
      <c r="AU424" s="77"/>
      <c r="AV424" s="77"/>
      <c r="AX424" s="84"/>
      <c r="AY424" s="84"/>
      <c r="AZ424" s="84"/>
      <c r="BA424" s="76" t="s">
        <v>61</v>
      </c>
      <c r="BB424" s="86">
        <v>0</v>
      </c>
      <c r="BC424" s="86">
        <v>0</v>
      </c>
      <c r="BD424" s="86">
        <v>0</v>
      </c>
      <c r="BE424" s="86">
        <v>0</v>
      </c>
      <c r="BF424" s="86">
        <v>0</v>
      </c>
    </row>
    <row r="425" spans="1:58" s="38" customFormat="1" ht="16.5" customHeight="1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  <c r="AG425" s="77"/>
      <c r="AH425" s="77"/>
      <c r="AI425" s="77"/>
      <c r="AJ425" s="77"/>
      <c r="AK425" s="77"/>
      <c r="AL425" s="77"/>
      <c r="AM425" s="77"/>
      <c r="AN425" s="77"/>
      <c r="AO425" s="77"/>
      <c r="AP425" s="77"/>
      <c r="AQ425" s="77"/>
      <c r="AR425" s="77"/>
      <c r="AS425" s="77"/>
      <c r="AT425" s="77"/>
      <c r="AU425" s="77"/>
      <c r="AV425" s="77"/>
      <c r="AX425" s="84"/>
      <c r="AY425" s="84"/>
      <c r="AZ425" s="84"/>
      <c r="BA425" s="2"/>
    </row>
    <row r="426" spans="1:58" s="38" customFormat="1" ht="16.5" customHeight="1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  <c r="AG426" s="77"/>
      <c r="AH426" s="77"/>
      <c r="AI426" s="77"/>
      <c r="AJ426" s="77"/>
      <c r="AK426" s="77"/>
      <c r="AL426" s="77"/>
      <c r="AM426" s="77"/>
      <c r="AN426" s="77"/>
      <c r="AO426" s="77"/>
      <c r="AP426" s="77"/>
      <c r="AQ426" s="77"/>
      <c r="AR426" s="77"/>
      <c r="AS426" s="77"/>
      <c r="AT426" s="77"/>
      <c r="AU426" s="77"/>
      <c r="AV426" s="77"/>
      <c r="AX426" s="84"/>
      <c r="AY426" s="84"/>
      <c r="AZ426" s="84"/>
      <c r="BA426" s="75" t="s">
        <v>67</v>
      </c>
      <c r="BB426" s="87" t="e">
        <v>#DIV/0!</v>
      </c>
      <c r="BC426" s="87" t="e">
        <v>#DIV/0!</v>
      </c>
      <c r="BD426" s="87" t="e">
        <v>#DIV/0!</v>
      </c>
      <c r="BE426" s="87" t="e">
        <v>#DIV/0!</v>
      </c>
      <c r="BF426" s="87" t="e">
        <v>#DIV/0!</v>
      </c>
    </row>
    <row r="427" spans="1:58" s="38" customFormat="1" ht="16.5" customHeight="1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  <c r="AG427" s="77"/>
      <c r="AH427" s="77"/>
      <c r="AI427" s="77"/>
      <c r="AJ427" s="77"/>
      <c r="AK427" s="77"/>
      <c r="AL427" s="77"/>
      <c r="AM427" s="77"/>
      <c r="AN427" s="77"/>
      <c r="AO427" s="77"/>
      <c r="AP427" s="77"/>
      <c r="AQ427" s="77"/>
      <c r="AR427" s="77"/>
      <c r="AS427" s="77"/>
      <c r="AT427" s="77"/>
      <c r="AU427" s="77"/>
      <c r="AV427" s="77"/>
      <c r="AX427" s="84"/>
      <c r="AY427" s="84"/>
      <c r="BA427" s="75" t="s">
        <v>60</v>
      </c>
      <c r="BB427" s="87" t="e">
        <v>#DIV/0!</v>
      </c>
      <c r="BC427" s="87" t="e">
        <v>#DIV/0!</v>
      </c>
      <c r="BD427" s="87" t="e">
        <v>#DIV/0!</v>
      </c>
      <c r="BE427" s="87" t="e">
        <v>#DIV/0!</v>
      </c>
      <c r="BF427" s="87" t="e">
        <v>#DIV/0!</v>
      </c>
    </row>
    <row r="428" spans="1:58" s="38" customFormat="1" ht="16.5" customHeight="1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  <c r="AG428" s="77"/>
      <c r="AH428" s="77"/>
      <c r="AI428" s="77"/>
      <c r="AJ428" s="77"/>
      <c r="AK428" s="77"/>
      <c r="AL428" s="77"/>
      <c r="AM428" s="77"/>
      <c r="AN428" s="77"/>
      <c r="AO428" s="77"/>
      <c r="AP428" s="77"/>
      <c r="AQ428" s="77"/>
      <c r="AR428" s="77"/>
      <c r="AS428" s="77"/>
      <c r="AT428" s="77"/>
      <c r="AU428" s="77"/>
      <c r="AV428" s="77"/>
      <c r="AX428" s="84"/>
      <c r="AY428" s="84"/>
      <c r="BA428" s="76" t="s">
        <v>61</v>
      </c>
      <c r="BB428" s="88" t="e">
        <v>#DIV/0!</v>
      </c>
      <c r="BC428" s="88" t="e">
        <v>#DIV/0!</v>
      </c>
      <c r="BD428" s="88" t="e">
        <v>#DIV/0!</v>
      </c>
      <c r="BE428" s="88" t="e">
        <v>#DIV/0!</v>
      </c>
      <c r="BF428" s="88" t="e">
        <v>#DIV/0!</v>
      </c>
    </row>
    <row r="429" spans="1:58" s="38" customFormat="1" ht="16.5" customHeight="1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  <c r="AG429" s="77"/>
      <c r="AH429" s="77"/>
      <c r="AI429" s="77"/>
      <c r="AJ429" s="77"/>
      <c r="AK429" s="77"/>
      <c r="AL429" s="77"/>
      <c r="AM429" s="77"/>
      <c r="AN429" s="77"/>
      <c r="AO429" s="77"/>
      <c r="AP429" s="77"/>
      <c r="AQ429" s="77"/>
      <c r="AR429" s="77"/>
      <c r="AS429" s="77"/>
      <c r="AT429" s="77"/>
      <c r="AU429" s="77"/>
      <c r="AV429" s="77"/>
      <c r="AX429" s="84"/>
      <c r="AY429" s="84"/>
      <c r="BA429" s="75" t="s">
        <v>66</v>
      </c>
      <c r="BB429" s="87" t="e">
        <v>#DIV/0!</v>
      </c>
      <c r="BC429" s="87" t="e">
        <v>#DIV/0!</v>
      </c>
      <c r="BD429" s="87" t="e">
        <v>#DIV/0!</v>
      </c>
      <c r="BE429" s="87" t="e">
        <v>#DIV/0!</v>
      </c>
      <c r="BF429" s="87" t="e">
        <v>#DIV/0!</v>
      </c>
    </row>
    <row r="430" spans="1:58" s="38" customFormat="1" ht="16.5" customHeight="1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  <c r="AG430" s="77"/>
      <c r="AH430" s="77"/>
      <c r="AI430" s="77"/>
      <c r="AJ430" s="77"/>
      <c r="AK430" s="77"/>
      <c r="AL430" s="77"/>
      <c r="AM430" s="77"/>
      <c r="AN430" s="77"/>
      <c r="AO430" s="77"/>
      <c r="AP430" s="77"/>
      <c r="AQ430" s="77"/>
      <c r="AR430" s="77"/>
      <c r="AS430" s="77"/>
      <c r="AT430" s="77"/>
      <c r="AU430" s="77"/>
      <c r="AV430" s="77"/>
      <c r="AX430" s="84"/>
      <c r="AY430" s="84"/>
    </row>
    <row r="431" spans="1:58" s="38" customFormat="1" ht="16.5" customHeight="1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  <c r="AG431" s="77"/>
      <c r="AH431" s="77"/>
      <c r="AI431" s="77"/>
      <c r="AJ431" s="77"/>
      <c r="AK431" s="77"/>
      <c r="AL431" s="77"/>
      <c r="AM431" s="77"/>
      <c r="AN431" s="77"/>
      <c r="AO431" s="77"/>
      <c r="AP431" s="77"/>
      <c r="AQ431" s="77"/>
      <c r="AR431" s="77"/>
      <c r="AS431" s="77"/>
      <c r="AT431" s="77"/>
      <c r="AU431" s="77"/>
      <c r="AV431" s="77"/>
      <c r="AX431" s="84"/>
      <c r="AY431" s="84"/>
    </row>
    <row r="432" spans="1:58" s="38" customFormat="1" ht="16.5" customHeight="1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  <c r="AG432" s="77"/>
      <c r="AH432" s="77"/>
      <c r="AI432" s="77"/>
      <c r="AJ432" s="77"/>
      <c r="AK432" s="77"/>
      <c r="AL432" s="77"/>
      <c r="AM432" s="77"/>
      <c r="AN432" s="77"/>
      <c r="AO432" s="77"/>
      <c r="AP432" s="77"/>
      <c r="AQ432" s="77"/>
      <c r="AR432" s="77"/>
      <c r="AS432" s="77"/>
      <c r="AT432" s="77"/>
      <c r="AU432" s="77"/>
      <c r="AV432" s="77"/>
      <c r="AX432" s="84"/>
      <c r="AY432" s="84"/>
    </row>
    <row r="433" spans="1:51" s="38" customFormat="1" ht="16.5" customHeight="1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  <c r="AG433" s="77"/>
      <c r="AH433" s="77"/>
      <c r="AI433" s="77"/>
      <c r="AJ433" s="77"/>
      <c r="AK433" s="77"/>
      <c r="AL433" s="77"/>
      <c r="AM433" s="77"/>
      <c r="AN433" s="77"/>
      <c r="AO433" s="77"/>
      <c r="AP433" s="77"/>
      <c r="AQ433" s="77"/>
      <c r="AR433" s="77"/>
      <c r="AS433" s="77"/>
      <c r="AT433" s="77"/>
      <c r="AU433" s="77"/>
      <c r="AV433" s="77"/>
      <c r="AX433" s="84"/>
      <c r="AY433" s="84"/>
    </row>
    <row r="434" spans="1:51" s="38" customFormat="1" ht="16.5" customHeight="1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  <c r="AG434" s="77"/>
      <c r="AH434" s="77"/>
      <c r="AI434" s="77"/>
      <c r="AJ434" s="77"/>
      <c r="AK434" s="77"/>
      <c r="AL434" s="77"/>
      <c r="AM434" s="77"/>
      <c r="AN434" s="77"/>
      <c r="AO434" s="77"/>
      <c r="AP434" s="77"/>
      <c r="AQ434" s="77"/>
      <c r="AR434" s="77"/>
      <c r="AS434" s="77"/>
      <c r="AT434" s="77"/>
      <c r="AU434" s="77"/>
      <c r="AV434" s="77"/>
      <c r="AX434" s="84"/>
      <c r="AY434" s="84"/>
    </row>
    <row r="435" spans="1:51" s="38" customFormat="1" ht="16.5" customHeight="1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  <c r="AG435" s="77"/>
      <c r="AH435" s="77"/>
      <c r="AI435" s="77"/>
      <c r="AJ435" s="77"/>
      <c r="AK435" s="77"/>
      <c r="AL435" s="77"/>
      <c r="AM435" s="77"/>
      <c r="AN435" s="77"/>
      <c r="AO435" s="77"/>
      <c r="AP435" s="77"/>
      <c r="AQ435" s="77"/>
      <c r="AR435" s="77"/>
      <c r="AS435" s="77"/>
      <c r="AT435" s="77"/>
      <c r="AU435" s="77"/>
      <c r="AV435" s="77"/>
      <c r="AX435" s="84"/>
      <c r="AY435" s="84"/>
    </row>
    <row r="436" spans="1:51" s="38" customFormat="1" ht="16.5" customHeight="1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  <c r="AG436" s="77"/>
      <c r="AH436" s="77"/>
      <c r="AI436" s="77"/>
      <c r="AJ436" s="77"/>
      <c r="AK436" s="77"/>
      <c r="AL436" s="77"/>
      <c r="AM436" s="77"/>
      <c r="AN436" s="77"/>
      <c r="AO436" s="77"/>
      <c r="AP436" s="77"/>
      <c r="AQ436" s="77"/>
      <c r="AR436" s="77"/>
      <c r="AS436" s="77"/>
      <c r="AT436" s="77"/>
      <c r="AU436" s="77"/>
      <c r="AV436" s="77"/>
      <c r="AX436" s="84"/>
      <c r="AY436" s="84"/>
    </row>
    <row r="437" spans="1:51" s="38" customFormat="1" ht="16.5" customHeight="1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  <c r="AG437" s="77"/>
      <c r="AH437" s="77"/>
      <c r="AI437" s="77"/>
      <c r="AJ437" s="77"/>
      <c r="AK437" s="77"/>
      <c r="AL437" s="77"/>
      <c r="AM437" s="77"/>
      <c r="AN437" s="77"/>
      <c r="AO437" s="77"/>
      <c r="AP437" s="77"/>
      <c r="AQ437" s="77"/>
      <c r="AR437" s="77"/>
      <c r="AS437" s="77"/>
      <c r="AT437" s="77"/>
      <c r="AU437" s="77"/>
      <c r="AV437" s="77"/>
      <c r="AX437" s="84"/>
      <c r="AY437" s="84"/>
    </row>
    <row r="438" spans="1:51" s="38" customFormat="1" ht="16.5" customHeight="1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  <c r="AG438" s="77"/>
      <c r="AH438" s="77"/>
      <c r="AI438" s="77"/>
      <c r="AJ438" s="77"/>
      <c r="AK438" s="77"/>
      <c r="AL438" s="77"/>
      <c r="AM438" s="77"/>
      <c r="AN438" s="77"/>
      <c r="AO438" s="77"/>
      <c r="AP438" s="77"/>
      <c r="AQ438" s="77"/>
      <c r="AR438" s="77"/>
      <c r="AS438" s="77"/>
      <c r="AT438" s="77"/>
      <c r="AU438" s="77"/>
      <c r="AV438" s="77"/>
      <c r="AX438" s="84"/>
      <c r="AY438" s="84"/>
    </row>
    <row r="439" spans="1:51" s="38" customFormat="1" ht="16.5" customHeight="1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  <c r="AG439" s="77"/>
      <c r="AH439" s="77"/>
      <c r="AI439" s="77"/>
      <c r="AJ439" s="77"/>
      <c r="AK439" s="77"/>
      <c r="AL439" s="77"/>
      <c r="AM439" s="77"/>
      <c r="AN439" s="77"/>
      <c r="AO439" s="77"/>
      <c r="AP439" s="77"/>
      <c r="AQ439" s="77"/>
      <c r="AR439" s="77"/>
      <c r="AS439" s="77"/>
      <c r="AT439" s="77"/>
      <c r="AU439" s="77"/>
      <c r="AV439" s="77"/>
      <c r="AX439" s="84"/>
      <c r="AY439" s="84"/>
    </row>
    <row r="440" spans="1:51" s="38" customFormat="1" ht="16.5" customHeight="1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  <c r="AG440" s="77"/>
      <c r="AH440" s="77"/>
      <c r="AI440" s="77"/>
      <c r="AJ440" s="77"/>
      <c r="AK440" s="77"/>
      <c r="AL440" s="77"/>
      <c r="AM440" s="77"/>
      <c r="AN440" s="77"/>
      <c r="AO440" s="77"/>
      <c r="AP440" s="77"/>
      <c r="AQ440" s="77"/>
      <c r="AR440" s="77"/>
      <c r="AS440" s="77"/>
      <c r="AT440" s="77"/>
      <c r="AU440" s="77"/>
      <c r="AV440" s="77"/>
      <c r="AX440" s="84"/>
      <c r="AY440" s="84"/>
    </row>
    <row r="441" spans="1:51" s="38" customFormat="1" ht="16.5" customHeight="1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  <c r="AG441" s="77"/>
      <c r="AH441" s="77"/>
      <c r="AI441" s="77"/>
      <c r="AJ441" s="77"/>
      <c r="AK441" s="77"/>
      <c r="AL441" s="77"/>
      <c r="AM441" s="77"/>
      <c r="AN441" s="77"/>
      <c r="AO441" s="77"/>
      <c r="AP441" s="77"/>
      <c r="AQ441" s="77"/>
      <c r="AR441" s="77"/>
      <c r="AS441" s="77"/>
      <c r="AT441" s="77"/>
      <c r="AU441" s="77"/>
      <c r="AV441" s="77"/>
      <c r="AX441" s="84"/>
      <c r="AY441" s="84"/>
    </row>
    <row r="442" spans="1:51" s="38" customFormat="1" ht="16.5" customHeight="1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  <c r="AG442" s="77"/>
      <c r="AH442" s="77"/>
      <c r="AI442" s="77"/>
      <c r="AJ442" s="77"/>
      <c r="AK442" s="77"/>
      <c r="AL442" s="77"/>
      <c r="AM442" s="77"/>
      <c r="AN442" s="77"/>
      <c r="AO442" s="77"/>
      <c r="AP442" s="77"/>
      <c r="AQ442" s="77"/>
      <c r="AR442" s="77"/>
      <c r="AS442" s="77"/>
      <c r="AT442" s="77"/>
      <c r="AU442" s="77"/>
      <c r="AV442" s="77"/>
      <c r="AX442" s="84"/>
      <c r="AY442" s="84"/>
    </row>
    <row r="443" spans="1:51" s="38" customFormat="1" ht="16.5" customHeight="1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  <c r="AG443" s="77"/>
      <c r="AH443" s="77"/>
      <c r="AI443" s="77"/>
      <c r="AJ443" s="77"/>
      <c r="AK443" s="77"/>
      <c r="AL443" s="77"/>
      <c r="AM443" s="77"/>
      <c r="AN443" s="77"/>
      <c r="AO443" s="77"/>
      <c r="AP443" s="77"/>
      <c r="AQ443" s="77"/>
      <c r="AR443" s="77"/>
      <c r="AS443" s="77"/>
      <c r="AT443" s="77"/>
      <c r="AU443" s="77"/>
      <c r="AV443" s="77"/>
      <c r="AX443" s="84"/>
      <c r="AY443" s="84"/>
    </row>
    <row r="444" spans="1:51" s="38" customFormat="1" ht="16.5" customHeight="1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  <c r="AG444" s="77"/>
      <c r="AH444" s="77"/>
      <c r="AI444" s="77"/>
      <c r="AJ444" s="77"/>
      <c r="AK444" s="77"/>
      <c r="AL444" s="77"/>
      <c r="AM444" s="77"/>
      <c r="AN444" s="77"/>
      <c r="AO444" s="77"/>
      <c r="AP444" s="77"/>
      <c r="AQ444" s="77"/>
      <c r="AR444" s="77"/>
      <c r="AS444" s="77"/>
      <c r="AT444" s="77"/>
      <c r="AU444" s="77"/>
      <c r="AV444" s="77"/>
      <c r="AX444" s="84"/>
      <c r="AY444" s="84"/>
    </row>
    <row r="445" spans="1:51" s="38" customFormat="1" ht="16.5" customHeight="1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  <c r="AG445" s="77"/>
      <c r="AH445" s="77"/>
      <c r="AI445" s="77"/>
      <c r="AJ445" s="77"/>
      <c r="AK445" s="77"/>
      <c r="AL445" s="77"/>
      <c r="AM445" s="77"/>
      <c r="AN445" s="77"/>
      <c r="AO445" s="77"/>
      <c r="AP445" s="77"/>
      <c r="AQ445" s="77"/>
      <c r="AR445" s="77"/>
      <c r="AS445" s="77"/>
      <c r="AT445" s="77"/>
      <c r="AU445" s="77"/>
      <c r="AV445" s="77"/>
      <c r="AX445" s="84"/>
      <c r="AY445" s="84"/>
    </row>
    <row r="446" spans="1:51" s="38" customFormat="1" ht="16.5" customHeight="1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  <c r="AG446" s="77"/>
      <c r="AH446" s="77"/>
      <c r="AI446" s="77"/>
      <c r="AJ446" s="77"/>
      <c r="AK446" s="77"/>
      <c r="AL446" s="77"/>
      <c r="AM446" s="77"/>
      <c r="AN446" s="77"/>
      <c r="AO446" s="77"/>
      <c r="AP446" s="77"/>
      <c r="AQ446" s="77"/>
      <c r="AR446" s="77"/>
      <c r="AS446" s="77"/>
      <c r="AT446" s="77"/>
      <c r="AU446" s="77"/>
      <c r="AV446" s="77"/>
      <c r="AX446" s="84"/>
      <c r="AY446" s="84"/>
    </row>
    <row r="447" spans="1:51" s="38" customFormat="1" ht="16.5" customHeight="1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  <c r="AG447" s="77"/>
      <c r="AH447" s="77"/>
      <c r="AI447" s="77"/>
      <c r="AJ447" s="77"/>
      <c r="AK447" s="77"/>
      <c r="AL447" s="77"/>
      <c r="AM447" s="77"/>
      <c r="AN447" s="77"/>
      <c r="AO447" s="77"/>
      <c r="AP447" s="77"/>
      <c r="AQ447" s="77"/>
      <c r="AR447" s="77"/>
      <c r="AS447" s="77"/>
      <c r="AT447" s="77"/>
      <c r="AU447" s="77"/>
      <c r="AV447" s="77"/>
      <c r="AX447" s="84"/>
      <c r="AY447" s="84"/>
    </row>
    <row r="448" spans="1:51" s="38" customFormat="1" ht="16.5" customHeight="1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  <c r="AG448" s="77"/>
      <c r="AH448" s="77"/>
      <c r="AI448" s="77"/>
      <c r="AJ448" s="77"/>
      <c r="AK448" s="77"/>
      <c r="AL448" s="77"/>
      <c r="AM448" s="77"/>
      <c r="AN448" s="77"/>
      <c r="AO448" s="77"/>
      <c r="AP448" s="77"/>
      <c r="AQ448" s="77"/>
      <c r="AR448" s="77"/>
      <c r="AS448" s="77"/>
      <c r="AT448" s="77"/>
      <c r="AU448" s="77"/>
      <c r="AV448" s="77"/>
      <c r="AX448" s="84"/>
      <c r="AY448" s="84"/>
    </row>
    <row r="449" spans="1:58" s="38" customFormat="1" ht="16.5" customHeight="1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  <c r="AG449" s="77"/>
      <c r="AH449" s="77"/>
      <c r="AI449" s="77"/>
      <c r="AJ449" s="77"/>
      <c r="AK449" s="77"/>
      <c r="AL449" s="77"/>
      <c r="AM449" s="77"/>
      <c r="AN449" s="77"/>
      <c r="AO449" s="77"/>
      <c r="AP449" s="77"/>
      <c r="AQ449" s="77"/>
      <c r="AR449" s="77"/>
      <c r="AS449" s="77"/>
      <c r="AT449" s="77"/>
      <c r="AU449" s="77"/>
      <c r="AV449" s="77"/>
      <c r="AX449" s="84"/>
      <c r="AY449" s="84"/>
    </row>
    <row r="450" spans="1:58" s="38" customFormat="1" ht="16.5" customHeight="1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  <c r="AG450" s="77"/>
      <c r="AH450" s="77"/>
      <c r="AI450" s="77"/>
      <c r="AJ450" s="77"/>
      <c r="AK450" s="77"/>
      <c r="AL450" s="77"/>
      <c r="AM450" s="77"/>
      <c r="AN450" s="77"/>
      <c r="AO450" s="77"/>
      <c r="AP450" s="77"/>
      <c r="AQ450" s="77"/>
      <c r="AR450" s="77"/>
      <c r="AS450" s="77"/>
      <c r="AT450" s="77"/>
      <c r="AU450" s="77"/>
      <c r="AV450" s="77"/>
      <c r="AX450" s="84"/>
      <c r="AY450" s="84"/>
    </row>
    <row r="451" spans="1:58" s="38" customFormat="1" ht="16.5" customHeight="1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  <c r="AG451" s="77"/>
      <c r="AH451" s="77"/>
      <c r="AI451" s="77"/>
      <c r="AJ451" s="77"/>
      <c r="AK451" s="77"/>
      <c r="AL451" s="77"/>
      <c r="AM451" s="77"/>
      <c r="AN451" s="77"/>
      <c r="AO451" s="77"/>
      <c r="AP451" s="77"/>
      <c r="AQ451" s="77"/>
      <c r="AR451" s="77"/>
      <c r="AS451" s="77"/>
      <c r="AT451" s="77"/>
      <c r="AU451" s="77"/>
      <c r="AV451" s="77"/>
      <c r="AX451" s="84"/>
      <c r="AY451" s="84"/>
    </row>
    <row r="452" spans="1:58" s="38" customFormat="1" ht="16.5" customHeight="1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  <c r="AG452" s="77"/>
      <c r="AH452" s="77"/>
      <c r="AI452" s="77"/>
      <c r="AJ452" s="77"/>
      <c r="AK452" s="77"/>
      <c r="AL452" s="77"/>
      <c r="AM452" s="77"/>
      <c r="AN452" s="77"/>
      <c r="AO452" s="77"/>
      <c r="AP452" s="77"/>
      <c r="AQ452" s="77"/>
      <c r="AR452" s="77"/>
      <c r="AS452" s="77"/>
      <c r="AT452" s="77"/>
      <c r="AU452" s="77"/>
      <c r="AV452" s="77"/>
      <c r="AX452" s="84"/>
      <c r="AY452" s="84"/>
    </row>
    <row r="453" spans="1:58" s="38" customFormat="1" ht="16.5" customHeight="1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  <c r="AG453" s="77"/>
      <c r="AH453" s="77"/>
      <c r="AI453" s="77"/>
      <c r="AJ453" s="77"/>
      <c r="AK453" s="77"/>
      <c r="AL453" s="77"/>
      <c r="AM453" s="77"/>
      <c r="AN453" s="77"/>
      <c r="AO453" s="77"/>
      <c r="AP453" s="77"/>
      <c r="AQ453" s="77"/>
      <c r="AR453" s="77"/>
      <c r="AS453" s="77"/>
      <c r="AT453" s="77"/>
      <c r="AU453" s="77"/>
      <c r="AV453" s="77"/>
      <c r="AX453" s="84"/>
      <c r="AY453" s="84"/>
    </row>
    <row r="454" spans="1:58" s="38" customFormat="1" ht="16.5" customHeight="1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  <c r="AG454" s="77"/>
      <c r="AH454" s="77"/>
      <c r="AI454" s="77"/>
      <c r="AJ454" s="77"/>
      <c r="AK454" s="77"/>
      <c r="AL454" s="77"/>
      <c r="AM454" s="77"/>
      <c r="AN454" s="77"/>
      <c r="AO454" s="77"/>
      <c r="AP454" s="77"/>
      <c r="AQ454" s="77"/>
      <c r="AR454" s="77"/>
      <c r="AS454" s="77"/>
      <c r="AT454" s="77"/>
      <c r="AU454" s="77"/>
      <c r="AV454" s="77"/>
      <c r="AX454" s="84"/>
      <c r="AY454" s="84"/>
    </row>
    <row r="455" spans="1:58" s="38" customFormat="1" ht="16.5" customHeight="1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  <c r="AG455" s="77"/>
      <c r="AH455" s="77"/>
      <c r="AI455" s="77"/>
      <c r="AJ455" s="77"/>
      <c r="AK455" s="77"/>
      <c r="AL455" s="77"/>
      <c r="AM455" s="77"/>
      <c r="AN455" s="77"/>
      <c r="AO455" s="77"/>
      <c r="AP455" s="77"/>
      <c r="AQ455" s="77"/>
      <c r="AR455" s="77"/>
      <c r="AS455" s="77"/>
      <c r="AT455" s="77"/>
      <c r="AU455" s="77"/>
      <c r="AV455" s="77"/>
      <c r="AX455" s="84"/>
      <c r="AY455" s="84"/>
    </row>
    <row r="456" spans="1:58" s="38" customFormat="1" ht="16.5" customHeight="1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  <c r="AG456" s="77"/>
      <c r="AH456" s="77"/>
      <c r="AI456" s="77"/>
      <c r="AJ456" s="77"/>
      <c r="AK456" s="77"/>
      <c r="AL456" s="77"/>
      <c r="AM456" s="77"/>
      <c r="AN456" s="77"/>
      <c r="AO456" s="77"/>
      <c r="AP456" s="77"/>
      <c r="AQ456" s="77"/>
      <c r="AR456" s="77"/>
      <c r="AS456" s="77"/>
      <c r="AT456" s="77"/>
      <c r="AU456" s="77"/>
      <c r="AV456" s="77"/>
      <c r="AX456" s="84"/>
      <c r="AY456" s="84"/>
    </row>
    <row r="457" spans="1:58" s="38" customFormat="1" ht="16.5" customHeight="1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  <c r="AG457" s="77"/>
      <c r="AH457" s="77"/>
      <c r="AI457" s="77"/>
      <c r="AJ457" s="77"/>
      <c r="AK457" s="77"/>
      <c r="AL457" s="77"/>
      <c r="AM457" s="77"/>
      <c r="AN457" s="77"/>
      <c r="AO457" s="77"/>
      <c r="AP457" s="77"/>
      <c r="AQ457" s="77"/>
      <c r="AR457" s="77"/>
      <c r="AS457" s="77"/>
      <c r="AT457" s="77"/>
      <c r="AU457" s="77"/>
      <c r="AV457" s="77"/>
      <c r="AX457" s="84"/>
      <c r="AY457" s="84"/>
    </row>
    <row r="458" spans="1:58" s="38" customFormat="1" ht="16.5" customHeight="1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  <c r="AG458" s="77"/>
      <c r="AH458" s="77"/>
      <c r="AI458" s="77"/>
      <c r="AJ458" s="77"/>
      <c r="AK458" s="77"/>
      <c r="AL458" s="77"/>
      <c r="AM458" s="77"/>
      <c r="AN458" s="77"/>
      <c r="AO458" s="77"/>
      <c r="AP458" s="77"/>
      <c r="AQ458" s="77"/>
      <c r="AR458" s="77"/>
      <c r="AS458" s="77"/>
      <c r="AT458" s="77"/>
      <c r="AU458" s="77"/>
      <c r="AV458" s="77"/>
      <c r="AX458" s="84"/>
      <c r="AY458" s="84"/>
    </row>
    <row r="459" spans="1:58" s="38" customFormat="1" ht="16.5" customHeight="1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  <c r="AG459" s="77"/>
      <c r="AH459" s="77"/>
      <c r="AI459" s="77"/>
      <c r="AJ459" s="77"/>
      <c r="AK459" s="77"/>
      <c r="AL459" s="77"/>
      <c r="AM459" s="77"/>
      <c r="AN459" s="77"/>
      <c r="AO459" s="77"/>
      <c r="AP459" s="77"/>
      <c r="AQ459" s="77"/>
      <c r="AR459" s="77"/>
      <c r="AS459" s="77"/>
      <c r="AT459" s="77"/>
      <c r="AU459" s="77"/>
      <c r="AV459" s="77"/>
      <c r="AX459" s="84"/>
      <c r="AY459" s="84"/>
    </row>
    <row r="460" spans="1:58" s="38" customFormat="1" ht="16.5" customHeight="1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  <c r="AG460" s="77"/>
      <c r="AH460" s="77"/>
      <c r="AI460" s="77"/>
      <c r="AJ460" s="77"/>
      <c r="AK460" s="77"/>
      <c r="AL460" s="77"/>
      <c r="AM460" s="77"/>
      <c r="AN460" s="77"/>
      <c r="AO460" s="77"/>
      <c r="AP460" s="77"/>
      <c r="AQ460" s="77"/>
      <c r="AR460" s="77"/>
      <c r="AS460" s="77"/>
      <c r="AT460" s="77"/>
      <c r="AU460" s="77"/>
      <c r="AV460" s="77"/>
      <c r="AX460" s="84"/>
      <c r="AY460" s="84"/>
    </row>
    <row r="461" spans="1:58" s="38" customFormat="1" ht="16.5" customHeight="1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  <c r="AG461" s="77"/>
      <c r="AH461" s="77"/>
      <c r="AI461" s="77"/>
      <c r="AJ461" s="77"/>
      <c r="AK461" s="77"/>
      <c r="AL461" s="77"/>
      <c r="AM461" s="77"/>
      <c r="AN461" s="77"/>
      <c r="AO461" s="77"/>
      <c r="AP461" s="77"/>
      <c r="AQ461" s="77"/>
      <c r="AR461" s="77"/>
      <c r="AS461" s="77"/>
      <c r="AT461" s="77"/>
      <c r="AU461" s="77"/>
      <c r="AV461" s="77"/>
      <c r="AX461" s="84"/>
      <c r="AY461" s="84"/>
    </row>
    <row r="462" spans="1:58" s="38" customFormat="1" ht="16.5" customHeight="1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  <c r="AG462" s="77"/>
      <c r="AH462" s="77"/>
      <c r="AI462" s="77"/>
      <c r="AJ462" s="77"/>
      <c r="AK462" s="77"/>
      <c r="AL462" s="77"/>
      <c r="AM462" s="77"/>
      <c r="AN462" s="77"/>
      <c r="AO462" s="77"/>
      <c r="AP462" s="77"/>
      <c r="AQ462" s="77"/>
      <c r="AR462" s="77"/>
      <c r="AS462" s="77"/>
      <c r="AT462" s="77"/>
      <c r="AU462" s="77"/>
      <c r="AV462" s="77"/>
      <c r="AX462" s="84"/>
      <c r="AY462" s="84"/>
    </row>
    <row r="463" spans="1:58" s="38" customFormat="1" ht="16.5" customHeight="1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  <c r="AG463" s="77"/>
      <c r="AH463" s="77"/>
      <c r="AI463" s="77"/>
      <c r="AJ463" s="77"/>
      <c r="AK463" s="77"/>
      <c r="AL463" s="77"/>
      <c r="AM463" s="77"/>
      <c r="AN463" s="77"/>
      <c r="AO463" s="77"/>
      <c r="AP463" s="77"/>
      <c r="AQ463" s="77"/>
      <c r="AR463" s="77"/>
      <c r="AS463" s="77"/>
      <c r="AT463" s="77"/>
      <c r="AU463" s="77"/>
      <c r="AV463" s="77"/>
      <c r="AX463" s="84"/>
      <c r="AY463" s="84"/>
    </row>
    <row r="464" spans="1:58" s="38" customFormat="1" ht="16.5" customHeight="1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  <c r="AG464" s="77"/>
      <c r="AH464" s="77"/>
      <c r="AI464" s="77"/>
      <c r="AJ464" s="77"/>
      <c r="AK464" s="77"/>
      <c r="AL464" s="77"/>
      <c r="AM464" s="77"/>
      <c r="AN464" s="77"/>
      <c r="AO464" s="77"/>
      <c r="AP464" s="77"/>
      <c r="AQ464" s="77"/>
      <c r="AR464" s="77"/>
      <c r="AS464" s="77"/>
      <c r="AT464" s="77"/>
      <c r="AU464" s="77"/>
      <c r="AV464" s="77"/>
      <c r="AX464" s="84"/>
      <c r="AY464" s="84"/>
      <c r="AZ464" s="84"/>
      <c r="BA464" s="75" t="s">
        <v>59</v>
      </c>
      <c r="BB464" s="85">
        <v>0</v>
      </c>
      <c r="BC464" s="85">
        <v>0</v>
      </c>
      <c r="BD464" s="85">
        <v>0</v>
      </c>
      <c r="BE464" s="85">
        <v>0</v>
      </c>
      <c r="BF464" s="85">
        <v>0</v>
      </c>
    </row>
    <row r="465" spans="1:58" s="38" customFormat="1" ht="16.5" customHeight="1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  <c r="AG465" s="77"/>
      <c r="AH465" s="77"/>
      <c r="AI465" s="77"/>
      <c r="AJ465" s="77"/>
      <c r="AK465" s="77"/>
      <c r="AL465" s="77"/>
      <c r="AM465" s="77"/>
      <c r="AN465" s="77"/>
      <c r="AO465" s="77"/>
      <c r="AP465" s="77"/>
      <c r="AQ465" s="77"/>
      <c r="AR465" s="77"/>
      <c r="AS465" s="77"/>
      <c r="AT465" s="77"/>
      <c r="AU465" s="77"/>
      <c r="AV465" s="77"/>
      <c r="AX465" s="84"/>
      <c r="AY465" s="84"/>
      <c r="AZ465" s="84"/>
      <c r="BA465" s="75" t="s">
        <v>60</v>
      </c>
      <c r="BB465" s="85">
        <v>0</v>
      </c>
      <c r="BC465" s="85">
        <v>0</v>
      </c>
      <c r="BD465" s="85">
        <v>0</v>
      </c>
      <c r="BE465" s="85">
        <v>0</v>
      </c>
      <c r="BF465" s="85">
        <v>0</v>
      </c>
    </row>
    <row r="466" spans="1:58" s="38" customFormat="1" ht="16.5" customHeight="1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  <c r="AG466" s="77"/>
      <c r="AH466" s="77"/>
      <c r="AI466" s="77"/>
      <c r="AJ466" s="77"/>
      <c r="AK466" s="77"/>
      <c r="AL466" s="77"/>
      <c r="AM466" s="77"/>
      <c r="AN466" s="77"/>
      <c r="AO466" s="77"/>
      <c r="AP466" s="77"/>
      <c r="AQ466" s="77"/>
      <c r="AR466" s="77"/>
      <c r="AS466" s="77"/>
      <c r="AT466" s="77"/>
      <c r="AU466" s="77"/>
      <c r="AV466" s="77"/>
      <c r="AX466" s="84"/>
      <c r="AY466" s="84"/>
      <c r="AZ466" s="84"/>
      <c r="BA466" s="76" t="s">
        <v>61</v>
      </c>
      <c r="BB466" s="86">
        <v>0</v>
      </c>
      <c r="BC466" s="86">
        <v>0</v>
      </c>
      <c r="BD466" s="86">
        <v>0</v>
      </c>
      <c r="BE466" s="86">
        <v>0</v>
      </c>
      <c r="BF466" s="86">
        <v>0</v>
      </c>
    </row>
    <row r="467" spans="1:58" s="38" customFormat="1" ht="16.5" customHeight="1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  <c r="AG467" s="77"/>
      <c r="AH467" s="77"/>
      <c r="AI467" s="77"/>
      <c r="AJ467" s="77"/>
      <c r="AK467" s="77"/>
      <c r="AL467" s="77"/>
      <c r="AM467" s="77"/>
      <c r="AN467" s="77"/>
      <c r="AO467" s="77"/>
      <c r="AP467" s="77"/>
      <c r="AQ467" s="77"/>
      <c r="AR467" s="77"/>
      <c r="AS467" s="77"/>
      <c r="AT467" s="77"/>
      <c r="AU467" s="77"/>
      <c r="AV467" s="77"/>
      <c r="AX467" s="84"/>
      <c r="AY467" s="84"/>
      <c r="AZ467" s="84"/>
      <c r="BA467" s="75" t="s">
        <v>66</v>
      </c>
      <c r="BB467" s="85">
        <v>0</v>
      </c>
      <c r="BC467" s="85">
        <v>0</v>
      </c>
      <c r="BD467" s="85">
        <v>0</v>
      </c>
      <c r="BE467" s="85">
        <v>0</v>
      </c>
      <c r="BF467" s="85">
        <v>0</v>
      </c>
    </row>
    <row r="468" spans="1:58" s="38" customFormat="1" ht="16.5" customHeight="1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  <c r="AG468" s="77"/>
      <c r="AH468" s="77"/>
      <c r="AI468" s="77"/>
      <c r="AJ468" s="77"/>
      <c r="AK468" s="77"/>
      <c r="AL468" s="77"/>
      <c r="AM468" s="77"/>
      <c r="AN468" s="77"/>
      <c r="AO468" s="77"/>
      <c r="AP468" s="77"/>
      <c r="AQ468" s="77"/>
      <c r="AR468" s="77"/>
      <c r="AS468" s="77"/>
      <c r="AT468" s="77"/>
      <c r="AU468" s="77"/>
      <c r="AV468" s="77"/>
      <c r="AX468" s="84"/>
      <c r="AY468" s="84"/>
      <c r="AZ468" s="84"/>
      <c r="BA468" s="75"/>
      <c r="BB468" s="75" t="s">
        <v>62</v>
      </c>
      <c r="BC468" s="75" t="s">
        <v>63</v>
      </c>
      <c r="BD468" s="75" t="s">
        <v>64</v>
      </c>
      <c r="BE468" s="75" t="s">
        <v>65</v>
      </c>
      <c r="BF468" s="75" t="s">
        <v>66</v>
      </c>
    </row>
    <row r="469" spans="1:58" s="38" customFormat="1" ht="16.5" customHeight="1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  <c r="AG469" s="77"/>
      <c r="AH469" s="77"/>
      <c r="AI469" s="77"/>
      <c r="AJ469" s="77"/>
      <c r="AK469" s="77"/>
      <c r="AL469" s="77"/>
      <c r="AM469" s="77"/>
      <c r="AN469" s="77"/>
      <c r="AO469" s="77"/>
      <c r="AP469" s="77"/>
      <c r="AQ469" s="77"/>
      <c r="AR469" s="77"/>
      <c r="AS469" s="77"/>
      <c r="AT469" s="77"/>
      <c r="AU469" s="77"/>
      <c r="AV469" s="77"/>
      <c r="AX469" s="84"/>
      <c r="AY469" s="84"/>
      <c r="AZ469" s="84"/>
      <c r="BA469" s="75" t="s">
        <v>67</v>
      </c>
      <c r="BB469" s="87" t="e">
        <v>#DIV/0!</v>
      </c>
      <c r="BC469" s="87" t="e">
        <v>#DIV/0!</v>
      </c>
      <c r="BD469" s="87" t="e">
        <v>#DIV/0!</v>
      </c>
      <c r="BE469" s="87" t="e">
        <v>#DIV/0!</v>
      </c>
      <c r="BF469" s="87" t="e">
        <v>#DIV/0!</v>
      </c>
    </row>
    <row r="470" spans="1:58" s="38" customFormat="1" ht="16.5" customHeight="1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  <c r="AG470" s="77"/>
      <c r="AH470" s="77"/>
      <c r="AI470" s="77"/>
      <c r="AJ470" s="77"/>
      <c r="AK470" s="77"/>
      <c r="AL470" s="77"/>
      <c r="AM470" s="77"/>
      <c r="AN470" s="77"/>
      <c r="AO470" s="77"/>
      <c r="AP470" s="77"/>
      <c r="AQ470" s="77"/>
      <c r="AR470" s="77"/>
      <c r="AS470" s="77"/>
      <c r="AT470" s="77"/>
      <c r="AU470" s="77"/>
      <c r="AV470" s="77"/>
      <c r="AX470" s="84"/>
      <c r="AY470" s="84"/>
      <c r="BA470" s="75" t="s">
        <v>59</v>
      </c>
      <c r="BB470" s="87" t="e">
        <v>#DIV/0!</v>
      </c>
      <c r="BC470" s="87" t="e">
        <v>#DIV/0!</v>
      </c>
      <c r="BD470" s="87" t="e">
        <v>#DIV/0!</v>
      </c>
      <c r="BE470" s="87" t="e">
        <v>#DIV/0!</v>
      </c>
      <c r="BF470" s="87" t="e">
        <v>#DIV/0!</v>
      </c>
    </row>
    <row r="471" spans="1:58" s="38" customFormat="1" ht="16.5" customHeight="1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  <c r="AG471" s="77"/>
      <c r="AH471" s="77"/>
      <c r="AI471" s="77"/>
      <c r="AJ471" s="77"/>
      <c r="AK471" s="77"/>
      <c r="AL471" s="77"/>
      <c r="AM471" s="77"/>
      <c r="AN471" s="77"/>
      <c r="AO471" s="77"/>
      <c r="AP471" s="77"/>
      <c r="AQ471" s="77"/>
      <c r="AR471" s="77"/>
      <c r="AS471" s="77"/>
      <c r="AT471" s="77"/>
      <c r="AU471" s="77"/>
      <c r="AV471" s="77"/>
      <c r="AX471" s="84"/>
      <c r="AY471" s="84"/>
      <c r="BA471" s="76" t="s">
        <v>61</v>
      </c>
      <c r="BB471" s="88" t="e">
        <v>#DIV/0!</v>
      </c>
      <c r="BC471" s="88" t="e">
        <v>#DIV/0!</v>
      </c>
      <c r="BD471" s="88" t="e">
        <v>#DIV/0!</v>
      </c>
      <c r="BE471" s="88" t="e">
        <v>#DIV/0!</v>
      </c>
      <c r="BF471" s="88" t="e">
        <v>#DIV/0!</v>
      </c>
    </row>
    <row r="472" spans="1:58" s="38" customFormat="1" ht="16.5" customHeight="1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  <c r="AG472" s="77"/>
      <c r="AH472" s="77"/>
      <c r="AI472" s="77"/>
      <c r="AJ472" s="77"/>
      <c r="AK472" s="77"/>
      <c r="AL472" s="77"/>
      <c r="AM472" s="77"/>
      <c r="AN472" s="77"/>
      <c r="AO472" s="77"/>
      <c r="AP472" s="77"/>
      <c r="AQ472" s="77"/>
      <c r="AR472" s="77"/>
      <c r="AS472" s="77"/>
      <c r="AT472" s="77"/>
      <c r="AU472" s="77"/>
      <c r="AV472" s="77"/>
      <c r="AX472" s="84"/>
      <c r="AY472" s="84"/>
      <c r="BA472" s="75" t="s">
        <v>66</v>
      </c>
      <c r="BB472" s="87" t="e">
        <v>#DIV/0!</v>
      </c>
      <c r="BC472" s="87" t="e">
        <v>#DIV/0!</v>
      </c>
      <c r="BD472" s="87" t="e">
        <v>#DIV/0!</v>
      </c>
      <c r="BE472" s="87" t="e">
        <v>#DIV/0!</v>
      </c>
      <c r="BF472" s="87" t="e">
        <v>#DIV/0!</v>
      </c>
    </row>
    <row r="473" spans="1:58" s="38" customFormat="1" ht="16.5" customHeight="1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  <c r="AG473" s="77"/>
      <c r="AH473" s="77"/>
      <c r="AI473" s="77"/>
      <c r="AJ473" s="77"/>
      <c r="AK473" s="77"/>
      <c r="AL473" s="77"/>
      <c r="AM473" s="77"/>
      <c r="AN473" s="77"/>
      <c r="AO473" s="77"/>
      <c r="AP473" s="77"/>
      <c r="AQ473" s="77"/>
      <c r="AR473" s="77"/>
      <c r="AS473" s="77"/>
      <c r="AT473" s="77"/>
      <c r="AU473" s="77"/>
      <c r="AV473" s="77"/>
      <c r="AX473" s="84"/>
      <c r="AY473" s="84"/>
    </row>
    <row r="474" spans="1:58" s="38" customFormat="1" ht="16.5" customHeight="1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  <c r="AG474" s="77"/>
      <c r="AH474" s="77"/>
      <c r="AI474" s="77"/>
      <c r="AJ474" s="77"/>
      <c r="AK474" s="77"/>
      <c r="AL474" s="77"/>
      <c r="AM474" s="77"/>
      <c r="AN474" s="77"/>
      <c r="AO474" s="77"/>
      <c r="AP474" s="77"/>
      <c r="AQ474" s="77"/>
      <c r="AR474" s="77"/>
      <c r="AS474" s="77"/>
      <c r="AT474" s="77"/>
      <c r="AU474" s="77"/>
      <c r="AV474" s="77"/>
      <c r="AX474" s="84"/>
      <c r="AY474" s="84"/>
    </row>
    <row r="475" spans="1:58" s="38" customFormat="1" ht="16.5" customHeight="1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  <c r="AG475" s="77"/>
      <c r="AH475" s="77"/>
      <c r="AI475" s="77"/>
      <c r="AJ475" s="77"/>
      <c r="AK475" s="77"/>
      <c r="AL475" s="77"/>
      <c r="AM475" s="77"/>
      <c r="AN475" s="77"/>
      <c r="AO475" s="77"/>
      <c r="AP475" s="77"/>
      <c r="AQ475" s="77"/>
      <c r="AR475" s="77"/>
      <c r="AS475" s="77"/>
      <c r="AT475" s="77"/>
      <c r="AU475" s="77"/>
      <c r="AV475" s="77"/>
      <c r="AX475" s="84"/>
      <c r="AY475" s="84"/>
    </row>
    <row r="476" spans="1:58" s="38" customFormat="1" ht="16.5" customHeight="1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  <c r="AG476" s="77"/>
      <c r="AH476" s="77"/>
      <c r="AI476" s="77"/>
      <c r="AJ476" s="77"/>
      <c r="AK476" s="77"/>
      <c r="AL476" s="77"/>
      <c r="AM476" s="77"/>
      <c r="AN476" s="77"/>
      <c r="AO476" s="77"/>
      <c r="AP476" s="77"/>
      <c r="AQ476" s="77"/>
      <c r="AR476" s="77"/>
      <c r="AS476" s="77"/>
      <c r="AT476" s="77"/>
      <c r="AU476" s="77"/>
      <c r="AV476" s="77"/>
      <c r="AX476" s="84"/>
      <c r="AY476" s="84"/>
    </row>
    <row r="477" spans="1:58" s="38" customFormat="1" ht="16.5" customHeight="1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  <c r="AG477" s="77"/>
      <c r="AH477" s="77"/>
      <c r="AI477" s="77"/>
      <c r="AJ477" s="77"/>
      <c r="AK477" s="77"/>
      <c r="AL477" s="77"/>
      <c r="AM477" s="77"/>
      <c r="AN477" s="77"/>
      <c r="AO477" s="77"/>
      <c r="AP477" s="77"/>
      <c r="AQ477" s="77"/>
      <c r="AR477" s="77"/>
      <c r="AS477" s="77"/>
      <c r="AT477" s="77"/>
      <c r="AU477" s="77"/>
      <c r="AV477" s="77"/>
      <c r="AX477" s="84"/>
      <c r="AY477" s="84"/>
    </row>
    <row r="478" spans="1:58" s="38" customFormat="1" ht="16.5" customHeight="1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  <c r="AG478" s="77"/>
      <c r="AH478" s="77"/>
      <c r="AI478" s="77"/>
      <c r="AJ478" s="77"/>
      <c r="AK478" s="77"/>
      <c r="AL478" s="77"/>
      <c r="AM478" s="77"/>
      <c r="AN478" s="77"/>
      <c r="AO478" s="77"/>
      <c r="AP478" s="77"/>
      <c r="AQ478" s="77"/>
      <c r="AR478" s="77"/>
      <c r="AS478" s="77"/>
      <c r="AT478" s="77"/>
      <c r="AU478" s="77"/>
      <c r="AV478" s="77"/>
      <c r="AX478" s="84"/>
      <c r="AY478" s="84"/>
    </row>
    <row r="479" spans="1:58" s="38" customFormat="1" ht="16.5" customHeight="1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  <c r="AG479" s="77"/>
      <c r="AH479" s="77"/>
      <c r="AI479" s="77"/>
      <c r="AJ479" s="77"/>
      <c r="AK479" s="77"/>
      <c r="AL479" s="77"/>
      <c r="AM479" s="77"/>
      <c r="AN479" s="77"/>
      <c r="AO479" s="77"/>
      <c r="AP479" s="77"/>
      <c r="AQ479" s="77"/>
      <c r="AR479" s="77"/>
      <c r="AS479" s="77"/>
      <c r="AT479" s="77"/>
      <c r="AU479" s="77"/>
      <c r="AV479" s="77"/>
      <c r="AX479" s="84"/>
      <c r="AY479" s="84"/>
    </row>
    <row r="480" spans="1:58" s="38" customFormat="1" ht="16.5" customHeight="1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  <c r="AG480" s="77"/>
      <c r="AH480" s="77"/>
      <c r="AI480" s="77"/>
      <c r="AJ480" s="77"/>
      <c r="AK480" s="77"/>
      <c r="AL480" s="77"/>
      <c r="AM480" s="77"/>
      <c r="AN480" s="77"/>
      <c r="AO480" s="77"/>
      <c r="AP480" s="77"/>
      <c r="AQ480" s="77"/>
      <c r="AR480" s="77"/>
      <c r="AS480" s="77"/>
      <c r="AT480" s="77"/>
      <c r="AU480" s="77"/>
      <c r="AV480" s="77"/>
      <c r="AX480" s="84"/>
      <c r="AY480" s="84"/>
    </row>
    <row r="481" spans="1:51" s="38" customFormat="1" ht="16.5" customHeight="1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  <c r="AG481" s="77"/>
      <c r="AH481" s="77"/>
      <c r="AI481" s="77"/>
      <c r="AJ481" s="77"/>
      <c r="AK481" s="77"/>
      <c r="AL481" s="77"/>
      <c r="AM481" s="77"/>
      <c r="AN481" s="77"/>
      <c r="AO481" s="77"/>
      <c r="AP481" s="77"/>
      <c r="AQ481" s="77"/>
      <c r="AR481" s="77"/>
      <c r="AS481" s="77"/>
      <c r="AT481" s="77"/>
      <c r="AU481" s="77"/>
      <c r="AV481" s="77"/>
      <c r="AX481" s="84"/>
      <c r="AY481" s="84"/>
    </row>
    <row r="482" spans="1:51" s="38" customFormat="1" ht="16.5" customHeight="1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  <c r="AG482" s="77"/>
      <c r="AH482" s="77"/>
      <c r="AI482" s="77"/>
      <c r="AJ482" s="77"/>
      <c r="AK482" s="77"/>
      <c r="AL482" s="77"/>
      <c r="AM482" s="77"/>
      <c r="AN482" s="77"/>
      <c r="AO482" s="77"/>
      <c r="AP482" s="77"/>
      <c r="AQ482" s="77"/>
      <c r="AR482" s="77"/>
      <c r="AS482" s="77"/>
      <c r="AT482" s="77"/>
      <c r="AU482" s="77"/>
      <c r="AV482" s="77"/>
      <c r="AX482" s="84"/>
      <c r="AY482" s="84"/>
    </row>
    <row r="483" spans="1:51" s="38" customFormat="1" ht="16.5" customHeight="1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  <c r="AG483" s="77"/>
      <c r="AH483" s="77"/>
      <c r="AI483" s="77"/>
      <c r="AJ483" s="77"/>
      <c r="AK483" s="77"/>
      <c r="AL483" s="77"/>
      <c r="AM483" s="77"/>
      <c r="AN483" s="77"/>
      <c r="AO483" s="77"/>
      <c r="AP483" s="77"/>
      <c r="AQ483" s="77"/>
      <c r="AR483" s="77"/>
      <c r="AS483" s="77"/>
      <c r="AT483" s="77"/>
      <c r="AU483" s="77"/>
      <c r="AV483" s="77"/>
      <c r="AX483" s="84"/>
      <c r="AY483" s="84"/>
    </row>
    <row r="484" spans="1:51" s="38" customFormat="1" ht="16.5" customHeight="1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  <c r="AG484" s="77"/>
      <c r="AH484" s="77"/>
      <c r="AI484" s="77"/>
      <c r="AJ484" s="77"/>
      <c r="AK484" s="77"/>
      <c r="AL484" s="77"/>
      <c r="AM484" s="77"/>
      <c r="AN484" s="77"/>
      <c r="AO484" s="77"/>
      <c r="AP484" s="77"/>
      <c r="AQ484" s="77"/>
      <c r="AR484" s="77"/>
      <c r="AS484" s="77"/>
      <c r="AT484" s="77"/>
      <c r="AU484" s="77"/>
      <c r="AV484" s="77"/>
      <c r="AX484" s="84"/>
      <c r="AY484" s="84"/>
    </row>
    <row r="485" spans="1:51" s="38" customFormat="1" ht="16.5" customHeight="1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  <c r="AG485" s="77"/>
      <c r="AH485" s="77"/>
      <c r="AI485" s="77"/>
      <c r="AJ485" s="77"/>
      <c r="AK485" s="77"/>
      <c r="AL485" s="77"/>
      <c r="AM485" s="77"/>
      <c r="AN485" s="77"/>
      <c r="AO485" s="77"/>
      <c r="AP485" s="77"/>
      <c r="AQ485" s="77"/>
      <c r="AR485" s="77"/>
      <c r="AS485" s="77"/>
      <c r="AT485" s="77"/>
      <c r="AU485" s="77"/>
      <c r="AV485" s="77"/>
      <c r="AX485" s="84"/>
      <c r="AY485" s="84"/>
    </row>
    <row r="486" spans="1:51" s="38" customFormat="1" ht="16.5" customHeight="1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  <c r="AG486" s="77"/>
      <c r="AH486" s="77"/>
      <c r="AI486" s="77"/>
      <c r="AJ486" s="77"/>
      <c r="AK486" s="77"/>
      <c r="AL486" s="77"/>
      <c r="AM486" s="77"/>
      <c r="AN486" s="77"/>
      <c r="AO486" s="77"/>
      <c r="AP486" s="77"/>
      <c r="AQ486" s="77"/>
      <c r="AR486" s="77"/>
      <c r="AS486" s="77"/>
      <c r="AT486" s="77"/>
      <c r="AU486" s="77"/>
      <c r="AV486" s="77"/>
      <c r="AX486" s="84"/>
      <c r="AY486" s="84"/>
    </row>
    <row r="487" spans="1:51" s="38" customFormat="1" ht="16.5" customHeight="1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  <c r="AG487" s="77"/>
      <c r="AH487" s="77"/>
      <c r="AI487" s="77"/>
      <c r="AJ487" s="77"/>
      <c r="AK487" s="77"/>
      <c r="AL487" s="77"/>
      <c r="AM487" s="77"/>
      <c r="AN487" s="77"/>
      <c r="AO487" s="77"/>
      <c r="AP487" s="77"/>
      <c r="AQ487" s="77"/>
      <c r="AR487" s="77"/>
      <c r="AS487" s="77"/>
      <c r="AT487" s="77"/>
      <c r="AU487" s="77"/>
      <c r="AV487" s="77"/>
      <c r="AX487" s="84"/>
      <c r="AY487" s="84"/>
    </row>
    <row r="488" spans="1:51" s="38" customFormat="1" ht="16.5" customHeight="1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  <c r="AG488" s="77"/>
      <c r="AH488" s="77"/>
      <c r="AI488" s="77"/>
      <c r="AJ488" s="77"/>
      <c r="AK488" s="77"/>
      <c r="AL488" s="77"/>
      <c r="AM488" s="77"/>
      <c r="AN488" s="77"/>
      <c r="AO488" s="77"/>
      <c r="AP488" s="77"/>
      <c r="AQ488" s="77"/>
      <c r="AR488" s="77"/>
      <c r="AS488" s="77"/>
      <c r="AT488" s="77"/>
      <c r="AU488" s="77"/>
      <c r="AV488" s="77"/>
      <c r="AX488" s="84"/>
      <c r="AY488" s="84"/>
    </row>
    <row r="489" spans="1:51" s="38" customFormat="1" ht="16.5" customHeight="1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  <c r="AG489" s="77"/>
      <c r="AH489" s="77"/>
      <c r="AI489" s="77"/>
      <c r="AJ489" s="77"/>
      <c r="AK489" s="77"/>
      <c r="AL489" s="77"/>
      <c r="AM489" s="77"/>
      <c r="AN489" s="77"/>
      <c r="AO489" s="77"/>
      <c r="AP489" s="77"/>
      <c r="AQ489" s="77"/>
      <c r="AR489" s="77"/>
      <c r="AS489" s="77"/>
      <c r="AT489" s="77"/>
      <c r="AU489" s="77"/>
      <c r="AV489" s="77"/>
      <c r="AX489" s="84"/>
      <c r="AY489" s="84"/>
    </row>
    <row r="490" spans="1:51" s="38" customFormat="1" ht="16.5" customHeight="1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  <c r="AG490" s="77"/>
      <c r="AH490" s="77"/>
      <c r="AI490" s="77"/>
      <c r="AJ490" s="77"/>
      <c r="AK490" s="77"/>
      <c r="AL490" s="77"/>
      <c r="AM490" s="77"/>
      <c r="AN490" s="77"/>
      <c r="AO490" s="77"/>
      <c r="AP490" s="77"/>
      <c r="AQ490" s="77"/>
      <c r="AR490" s="77"/>
      <c r="AS490" s="77"/>
      <c r="AT490" s="77"/>
      <c r="AU490" s="77"/>
      <c r="AV490" s="77"/>
      <c r="AX490" s="84"/>
      <c r="AY490" s="84"/>
    </row>
    <row r="491" spans="1:51" s="38" customFormat="1" ht="16.5" customHeight="1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  <c r="AG491" s="77"/>
      <c r="AH491" s="77"/>
      <c r="AI491" s="77"/>
      <c r="AJ491" s="77"/>
      <c r="AK491" s="77"/>
      <c r="AL491" s="77"/>
      <c r="AM491" s="77"/>
      <c r="AN491" s="77"/>
      <c r="AO491" s="77"/>
      <c r="AP491" s="77"/>
      <c r="AQ491" s="77"/>
      <c r="AR491" s="77"/>
      <c r="AS491" s="77"/>
      <c r="AT491" s="77"/>
      <c r="AU491" s="77"/>
      <c r="AV491" s="77"/>
      <c r="AX491" s="84"/>
      <c r="AY491" s="84"/>
    </row>
    <row r="492" spans="1:51" s="38" customFormat="1" ht="16.5" customHeight="1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  <c r="AG492" s="77"/>
      <c r="AH492" s="77"/>
      <c r="AI492" s="77"/>
      <c r="AJ492" s="77"/>
      <c r="AK492" s="77"/>
      <c r="AL492" s="77"/>
      <c r="AM492" s="77"/>
      <c r="AN492" s="77"/>
      <c r="AO492" s="77"/>
      <c r="AP492" s="77"/>
      <c r="AQ492" s="77"/>
      <c r="AR492" s="77"/>
      <c r="AS492" s="77"/>
      <c r="AT492" s="77"/>
      <c r="AU492" s="77"/>
      <c r="AV492" s="77"/>
      <c r="AX492" s="84"/>
      <c r="AY492" s="84"/>
    </row>
    <row r="493" spans="1:51" s="38" customFormat="1" ht="16.5" customHeight="1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  <c r="AG493" s="77"/>
      <c r="AH493" s="77"/>
      <c r="AI493" s="77"/>
      <c r="AJ493" s="77"/>
      <c r="AK493" s="77"/>
      <c r="AL493" s="77"/>
      <c r="AM493" s="77"/>
      <c r="AN493" s="77"/>
      <c r="AO493" s="77"/>
      <c r="AP493" s="77"/>
      <c r="AQ493" s="77"/>
      <c r="AR493" s="77"/>
      <c r="AS493" s="77"/>
      <c r="AT493" s="77"/>
      <c r="AU493" s="77"/>
      <c r="AV493" s="77"/>
      <c r="AX493" s="84"/>
      <c r="AY493" s="84"/>
    </row>
    <row r="494" spans="1:51" s="38" customFormat="1" ht="16.5" customHeight="1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  <c r="AG494" s="77"/>
      <c r="AH494" s="77"/>
      <c r="AI494" s="77"/>
      <c r="AJ494" s="77"/>
      <c r="AK494" s="77"/>
      <c r="AL494" s="77"/>
      <c r="AM494" s="77"/>
      <c r="AN494" s="77"/>
      <c r="AO494" s="77"/>
      <c r="AP494" s="77"/>
      <c r="AQ494" s="77"/>
      <c r="AR494" s="77"/>
      <c r="AS494" s="77"/>
      <c r="AT494" s="77"/>
      <c r="AU494" s="77"/>
      <c r="AV494" s="77"/>
      <c r="AX494" s="84"/>
      <c r="AY494" s="84"/>
    </row>
    <row r="495" spans="1:51" s="38" customFormat="1" ht="16.5" customHeight="1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  <c r="AG495" s="77"/>
      <c r="AH495" s="77"/>
      <c r="AI495" s="77"/>
      <c r="AJ495" s="77"/>
      <c r="AK495" s="77"/>
      <c r="AL495" s="77"/>
      <c r="AM495" s="77"/>
      <c r="AN495" s="77"/>
      <c r="AO495" s="77"/>
      <c r="AP495" s="77"/>
      <c r="AQ495" s="77"/>
      <c r="AR495" s="77"/>
      <c r="AS495" s="77"/>
      <c r="AT495" s="77"/>
      <c r="AU495" s="77"/>
      <c r="AV495" s="77"/>
      <c r="AX495" s="84"/>
      <c r="AY495" s="84"/>
    </row>
    <row r="496" spans="1:51" s="38" customFormat="1" ht="16.5" customHeight="1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  <c r="AG496" s="77"/>
      <c r="AH496" s="77"/>
      <c r="AI496" s="77"/>
      <c r="AJ496" s="77"/>
      <c r="AK496" s="77"/>
      <c r="AL496" s="77"/>
      <c r="AM496" s="77"/>
      <c r="AN496" s="77"/>
      <c r="AO496" s="77"/>
      <c r="AP496" s="77"/>
      <c r="AQ496" s="77"/>
      <c r="AR496" s="77"/>
      <c r="AS496" s="77"/>
      <c r="AT496" s="77"/>
      <c r="AU496" s="77"/>
      <c r="AV496" s="77"/>
      <c r="AX496" s="84"/>
      <c r="AY496" s="84"/>
    </row>
    <row r="497" spans="1:51" s="38" customFormat="1" ht="16.5" customHeight="1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  <c r="AG497" s="77"/>
      <c r="AH497" s="77"/>
      <c r="AI497" s="77"/>
      <c r="AJ497" s="77"/>
      <c r="AK497" s="77"/>
      <c r="AL497" s="77"/>
      <c r="AM497" s="77"/>
      <c r="AN497" s="77"/>
      <c r="AO497" s="77"/>
      <c r="AP497" s="77"/>
      <c r="AQ497" s="77"/>
      <c r="AR497" s="77"/>
      <c r="AS497" s="77"/>
      <c r="AT497" s="77"/>
      <c r="AU497" s="77"/>
      <c r="AV497" s="77"/>
      <c r="AX497" s="84"/>
      <c r="AY497" s="84"/>
    </row>
    <row r="498" spans="1:51" s="38" customFormat="1" ht="16.5" customHeight="1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  <c r="AG498" s="77"/>
      <c r="AH498" s="77"/>
      <c r="AI498" s="77"/>
      <c r="AJ498" s="77"/>
      <c r="AK498" s="77"/>
      <c r="AL498" s="77"/>
      <c r="AM498" s="77"/>
      <c r="AN498" s="77"/>
      <c r="AO498" s="77"/>
      <c r="AP498" s="77"/>
      <c r="AQ498" s="77"/>
      <c r="AR498" s="77"/>
      <c r="AS498" s="77"/>
      <c r="AT498" s="77"/>
      <c r="AU498" s="77"/>
      <c r="AV498" s="77"/>
      <c r="AX498" s="84"/>
      <c r="AY498" s="84"/>
    </row>
    <row r="499" spans="1:51" s="38" customFormat="1" ht="16.5" customHeight="1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  <c r="AG499" s="77"/>
      <c r="AH499" s="77"/>
      <c r="AI499" s="77"/>
      <c r="AJ499" s="77"/>
      <c r="AK499" s="77"/>
      <c r="AL499" s="77"/>
      <c r="AM499" s="77"/>
      <c r="AN499" s="77"/>
      <c r="AO499" s="77"/>
      <c r="AP499" s="77"/>
      <c r="AQ499" s="77"/>
      <c r="AR499" s="77"/>
      <c r="AS499" s="77"/>
      <c r="AT499" s="77"/>
      <c r="AU499" s="77"/>
      <c r="AV499" s="77"/>
      <c r="AX499" s="84"/>
      <c r="AY499" s="84"/>
    </row>
    <row r="500" spans="1:51" s="38" customFormat="1" ht="16.5" customHeight="1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  <c r="AG500" s="77"/>
      <c r="AH500" s="77"/>
      <c r="AI500" s="77"/>
      <c r="AJ500" s="77"/>
      <c r="AK500" s="77"/>
      <c r="AL500" s="77"/>
      <c r="AM500" s="77"/>
      <c r="AN500" s="77"/>
      <c r="AO500" s="77"/>
      <c r="AP500" s="77"/>
      <c r="AQ500" s="77"/>
      <c r="AR500" s="77"/>
      <c r="AS500" s="77"/>
      <c r="AT500" s="77"/>
      <c r="AU500" s="77"/>
      <c r="AV500" s="77"/>
      <c r="AX500" s="84"/>
      <c r="AY500" s="84"/>
    </row>
    <row r="501" spans="1:51" s="38" customFormat="1" ht="16.5" customHeight="1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  <c r="AG501" s="77"/>
      <c r="AH501" s="77"/>
      <c r="AI501" s="77"/>
      <c r="AJ501" s="77"/>
      <c r="AK501" s="77"/>
      <c r="AL501" s="77"/>
      <c r="AM501" s="77"/>
      <c r="AN501" s="77"/>
      <c r="AO501" s="77"/>
      <c r="AP501" s="77"/>
      <c r="AQ501" s="77"/>
      <c r="AR501" s="77"/>
      <c r="AS501" s="77"/>
      <c r="AT501" s="77"/>
      <c r="AU501" s="77"/>
      <c r="AV501" s="77"/>
      <c r="AX501" s="84"/>
      <c r="AY501" s="84"/>
    </row>
    <row r="502" spans="1:51" s="38" customFormat="1" ht="16.5" customHeight="1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  <c r="AG502" s="77"/>
      <c r="AH502" s="77"/>
      <c r="AI502" s="77"/>
      <c r="AJ502" s="77"/>
      <c r="AK502" s="77"/>
      <c r="AL502" s="77"/>
      <c r="AM502" s="77"/>
      <c r="AN502" s="77"/>
      <c r="AO502" s="77"/>
      <c r="AP502" s="77"/>
      <c r="AQ502" s="77"/>
      <c r="AR502" s="77"/>
      <c r="AS502" s="77"/>
      <c r="AT502" s="77"/>
      <c r="AU502" s="77"/>
      <c r="AV502" s="77"/>
      <c r="AX502" s="84"/>
      <c r="AY502" s="84"/>
    </row>
    <row r="503" spans="1:51" s="38" customFormat="1" ht="16.5" customHeight="1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  <c r="AG503" s="77"/>
      <c r="AH503" s="77"/>
      <c r="AI503" s="77"/>
      <c r="AJ503" s="77"/>
      <c r="AK503" s="77"/>
      <c r="AL503" s="77"/>
      <c r="AM503" s="77"/>
      <c r="AN503" s="77"/>
      <c r="AO503" s="77"/>
      <c r="AP503" s="77"/>
      <c r="AQ503" s="77"/>
      <c r="AR503" s="77"/>
      <c r="AS503" s="77"/>
      <c r="AT503" s="77"/>
      <c r="AU503" s="77"/>
      <c r="AV503" s="77"/>
      <c r="AX503" s="84"/>
      <c r="AY503" s="84"/>
    </row>
    <row r="504" spans="1:51" s="38" customFormat="1" ht="16.5" customHeight="1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  <c r="AG504" s="77"/>
      <c r="AH504" s="77"/>
      <c r="AI504" s="77"/>
      <c r="AJ504" s="77"/>
      <c r="AK504" s="77"/>
      <c r="AL504" s="77"/>
      <c r="AM504" s="77"/>
      <c r="AN504" s="77"/>
      <c r="AO504" s="77"/>
      <c r="AP504" s="77"/>
      <c r="AQ504" s="77"/>
      <c r="AR504" s="77"/>
      <c r="AS504" s="77"/>
      <c r="AT504" s="77"/>
      <c r="AU504" s="77"/>
      <c r="AV504" s="77"/>
      <c r="AX504" s="84"/>
      <c r="AY504" s="84"/>
    </row>
    <row r="505" spans="1:51" s="38" customFormat="1" ht="16.5" customHeight="1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  <c r="AG505" s="77"/>
      <c r="AH505" s="77"/>
      <c r="AI505" s="77"/>
      <c r="AJ505" s="77"/>
      <c r="AK505" s="77"/>
      <c r="AL505" s="77"/>
      <c r="AM505" s="77"/>
      <c r="AN505" s="77"/>
      <c r="AO505" s="77"/>
      <c r="AP505" s="77"/>
      <c r="AQ505" s="77"/>
      <c r="AR505" s="77"/>
      <c r="AS505" s="77"/>
      <c r="AT505" s="77"/>
      <c r="AU505" s="77"/>
      <c r="AV505" s="77"/>
      <c r="AX505" s="84"/>
      <c r="AY505" s="84"/>
    </row>
    <row r="506" spans="1:51" s="38" customFormat="1" ht="16.5" customHeight="1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  <c r="AG506" s="77"/>
      <c r="AH506" s="77"/>
      <c r="AI506" s="77"/>
      <c r="AJ506" s="77"/>
      <c r="AK506" s="77"/>
      <c r="AL506" s="77"/>
      <c r="AM506" s="77"/>
      <c r="AN506" s="77"/>
      <c r="AO506" s="77"/>
      <c r="AP506" s="77"/>
      <c r="AQ506" s="77"/>
      <c r="AR506" s="77"/>
      <c r="AS506" s="77"/>
      <c r="AT506" s="77"/>
      <c r="AU506" s="77"/>
      <c r="AV506" s="77"/>
      <c r="AX506" s="84"/>
      <c r="AY506" s="84"/>
    </row>
    <row r="507" spans="1:51" s="38" customFormat="1" ht="16.5" customHeight="1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  <c r="AG507" s="77"/>
      <c r="AH507" s="77"/>
      <c r="AI507" s="77"/>
      <c r="AJ507" s="77"/>
      <c r="AK507" s="77"/>
      <c r="AL507" s="77"/>
      <c r="AM507" s="77"/>
      <c r="AN507" s="77"/>
      <c r="AO507" s="77"/>
      <c r="AP507" s="77"/>
      <c r="AQ507" s="77"/>
      <c r="AR507" s="77"/>
      <c r="AS507" s="77"/>
      <c r="AT507" s="77"/>
      <c r="AU507" s="77"/>
      <c r="AV507" s="77"/>
      <c r="AX507" s="84"/>
      <c r="AY507" s="84"/>
    </row>
    <row r="508" spans="1:51" s="38" customFormat="1" ht="16.5" customHeight="1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  <c r="AG508" s="77"/>
      <c r="AH508" s="77"/>
      <c r="AI508" s="77"/>
      <c r="AJ508" s="77"/>
      <c r="AK508" s="77"/>
      <c r="AL508" s="77"/>
      <c r="AM508" s="77"/>
      <c r="AN508" s="77"/>
      <c r="AO508" s="77"/>
      <c r="AP508" s="77"/>
      <c r="AQ508" s="77"/>
      <c r="AR508" s="77"/>
      <c r="AS508" s="77"/>
      <c r="AT508" s="77"/>
      <c r="AU508" s="77"/>
      <c r="AV508" s="77"/>
      <c r="AX508" s="84"/>
      <c r="AY508" s="84"/>
    </row>
    <row r="509" spans="1:51" s="38" customFormat="1" ht="16.5" customHeight="1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  <c r="AG509" s="77"/>
      <c r="AH509" s="77"/>
      <c r="AI509" s="77"/>
      <c r="AJ509" s="77"/>
      <c r="AK509" s="77"/>
      <c r="AL509" s="77"/>
      <c r="AM509" s="77"/>
      <c r="AN509" s="77"/>
      <c r="AO509" s="77"/>
      <c r="AP509" s="77"/>
      <c r="AQ509" s="77"/>
      <c r="AR509" s="77"/>
      <c r="AS509" s="77"/>
      <c r="AT509" s="77"/>
      <c r="AU509" s="77"/>
      <c r="AV509" s="77"/>
      <c r="AX509" s="84"/>
      <c r="AY509" s="84"/>
    </row>
    <row r="510" spans="1:51" s="38" customFormat="1" ht="16.5" customHeight="1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  <c r="AG510" s="77"/>
      <c r="AH510" s="77"/>
      <c r="AI510" s="77"/>
      <c r="AJ510" s="77"/>
      <c r="AK510" s="77"/>
      <c r="AL510" s="77"/>
      <c r="AM510" s="77"/>
      <c r="AN510" s="77"/>
      <c r="AO510" s="77"/>
      <c r="AP510" s="77"/>
      <c r="AQ510" s="77"/>
      <c r="AR510" s="77"/>
      <c r="AS510" s="77"/>
      <c r="AT510" s="77"/>
      <c r="AU510" s="77"/>
      <c r="AV510" s="77"/>
      <c r="AX510" s="84"/>
      <c r="AY510" s="84"/>
    </row>
    <row r="511" spans="1:51" s="38" customFormat="1" ht="16.5" customHeight="1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  <c r="AG511" s="77"/>
      <c r="AH511" s="77"/>
      <c r="AI511" s="77"/>
      <c r="AJ511" s="77"/>
      <c r="AK511" s="77"/>
      <c r="AL511" s="77"/>
      <c r="AM511" s="77"/>
      <c r="AN511" s="77"/>
      <c r="AO511" s="77"/>
      <c r="AP511" s="77"/>
      <c r="AQ511" s="77"/>
      <c r="AR511" s="77"/>
      <c r="AS511" s="77"/>
      <c r="AT511" s="77"/>
      <c r="AU511" s="77"/>
      <c r="AV511" s="77"/>
      <c r="AX511" s="84"/>
      <c r="AY511" s="84"/>
    </row>
    <row r="512" spans="1:51" s="38" customFormat="1" ht="16.5" customHeight="1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  <c r="AG512" s="77"/>
      <c r="AH512" s="77"/>
      <c r="AI512" s="77"/>
      <c r="AJ512" s="77"/>
      <c r="AK512" s="77"/>
      <c r="AL512" s="77"/>
      <c r="AM512" s="77"/>
      <c r="AN512" s="77"/>
      <c r="AO512" s="77"/>
      <c r="AP512" s="77"/>
      <c r="AQ512" s="77"/>
      <c r="AR512" s="77"/>
      <c r="AS512" s="77"/>
      <c r="AT512" s="77"/>
      <c r="AU512" s="77"/>
      <c r="AV512" s="77"/>
      <c r="AX512" s="84"/>
      <c r="AY512" s="84"/>
    </row>
    <row r="513" spans="1:58" s="38" customFormat="1" ht="16.5" customHeight="1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  <c r="AG513" s="77"/>
      <c r="AH513" s="77"/>
      <c r="AI513" s="77"/>
      <c r="AJ513" s="77"/>
      <c r="AK513" s="77"/>
      <c r="AL513" s="77"/>
      <c r="AM513" s="77"/>
      <c r="AN513" s="77"/>
      <c r="AO513" s="77"/>
      <c r="AP513" s="77"/>
      <c r="AQ513" s="77"/>
      <c r="AR513" s="77"/>
      <c r="AS513" s="77"/>
      <c r="AT513" s="77"/>
      <c r="AU513" s="77"/>
      <c r="AV513" s="77"/>
      <c r="AX513" s="84"/>
      <c r="AY513" s="84"/>
    </row>
    <row r="514" spans="1:58" s="38" customFormat="1" ht="16.5" customHeight="1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  <c r="AG514" s="77"/>
      <c r="AH514" s="77"/>
      <c r="AI514" s="77"/>
      <c r="AJ514" s="77"/>
      <c r="AK514" s="77"/>
      <c r="AL514" s="77"/>
      <c r="AM514" s="77"/>
      <c r="AN514" s="77"/>
      <c r="AO514" s="77"/>
      <c r="AP514" s="77"/>
      <c r="AQ514" s="77"/>
      <c r="AR514" s="77"/>
      <c r="AS514" s="77"/>
      <c r="AT514" s="77"/>
      <c r="AU514" s="77"/>
      <c r="AV514" s="77"/>
      <c r="AX514" s="84"/>
      <c r="AY514" s="84"/>
    </row>
    <row r="515" spans="1:58" s="38" customFormat="1" ht="16.5" customHeight="1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  <c r="AG515" s="77"/>
      <c r="AH515" s="77"/>
      <c r="AI515" s="77"/>
      <c r="AJ515" s="77"/>
      <c r="AK515" s="77"/>
      <c r="AL515" s="77"/>
      <c r="AM515" s="77"/>
      <c r="AN515" s="77"/>
      <c r="AO515" s="77"/>
      <c r="AP515" s="77"/>
      <c r="AQ515" s="77"/>
      <c r="AR515" s="77"/>
      <c r="AS515" s="77"/>
      <c r="AT515" s="77"/>
      <c r="AU515" s="77"/>
      <c r="AV515" s="77"/>
      <c r="AX515" s="84"/>
      <c r="AY515" s="84"/>
    </row>
    <row r="516" spans="1:58" s="38" customFormat="1" ht="16.5" customHeight="1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  <c r="AG516" s="77"/>
      <c r="AH516" s="77"/>
      <c r="AI516" s="77"/>
      <c r="AJ516" s="77"/>
      <c r="AK516" s="77"/>
      <c r="AL516" s="77"/>
      <c r="AM516" s="77"/>
      <c r="AN516" s="77"/>
      <c r="AO516" s="77"/>
      <c r="AP516" s="77"/>
      <c r="AQ516" s="77"/>
      <c r="AR516" s="77"/>
      <c r="AS516" s="77"/>
      <c r="AT516" s="77"/>
      <c r="AU516" s="77"/>
      <c r="AV516" s="77"/>
      <c r="AX516" s="84"/>
      <c r="AY516" s="84"/>
    </row>
    <row r="517" spans="1:58" s="38" customFormat="1" ht="16.5" customHeight="1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  <c r="AG517" s="77"/>
      <c r="AH517" s="77"/>
      <c r="AI517" s="77"/>
      <c r="AJ517" s="77"/>
      <c r="AK517" s="77"/>
      <c r="AL517" s="77"/>
      <c r="AM517" s="77"/>
      <c r="AN517" s="77"/>
      <c r="AO517" s="77"/>
      <c r="AP517" s="77"/>
      <c r="AQ517" s="77"/>
      <c r="AR517" s="77"/>
      <c r="AS517" s="77"/>
      <c r="AT517" s="77"/>
      <c r="AU517" s="77"/>
      <c r="AV517" s="77"/>
      <c r="AX517" s="84"/>
      <c r="AY517" s="84"/>
    </row>
    <row r="518" spans="1:58" s="38" customFormat="1" ht="16.5" customHeight="1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  <c r="AG518" s="77"/>
      <c r="AH518" s="77"/>
      <c r="AI518" s="77"/>
      <c r="AJ518" s="77"/>
      <c r="AK518" s="77"/>
      <c r="AL518" s="77"/>
      <c r="AM518" s="77"/>
      <c r="AN518" s="77"/>
      <c r="AO518" s="77"/>
      <c r="AP518" s="77"/>
      <c r="AQ518" s="77"/>
      <c r="AR518" s="77"/>
      <c r="AS518" s="77"/>
      <c r="AT518" s="77"/>
      <c r="AU518" s="77"/>
      <c r="AV518" s="77"/>
      <c r="AX518" s="84"/>
      <c r="AY518" s="84"/>
    </row>
    <row r="519" spans="1:58" s="38" customFormat="1" ht="16.5" customHeight="1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  <c r="AG519" s="77"/>
      <c r="AH519" s="77"/>
      <c r="AI519" s="77"/>
      <c r="AJ519" s="77"/>
      <c r="AK519" s="77"/>
      <c r="AL519" s="77"/>
      <c r="AM519" s="77"/>
      <c r="AN519" s="77"/>
      <c r="AO519" s="77"/>
      <c r="AP519" s="77"/>
      <c r="AQ519" s="77"/>
      <c r="AR519" s="77"/>
      <c r="AS519" s="77"/>
      <c r="AT519" s="77"/>
      <c r="AU519" s="77"/>
      <c r="AV519" s="77"/>
      <c r="AX519" s="84"/>
      <c r="AY519" s="84"/>
    </row>
    <row r="520" spans="1:58" s="38" customFormat="1" ht="16.5" customHeight="1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  <c r="AG520" s="77"/>
      <c r="AH520" s="77"/>
      <c r="AI520" s="77"/>
      <c r="AJ520" s="77"/>
      <c r="AK520" s="77"/>
      <c r="AL520" s="77"/>
      <c r="AM520" s="77"/>
      <c r="AN520" s="77"/>
      <c r="AO520" s="77"/>
      <c r="AP520" s="77"/>
      <c r="AQ520" s="77"/>
      <c r="AR520" s="77"/>
      <c r="AS520" s="77"/>
      <c r="AT520" s="77"/>
      <c r="AU520" s="77"/>
      <c r="AV520" s="77"/>
      <c r="AX520" s="84"/>
      <c r="AY520" s="84"/>
    </row>
    <row r="521" spans="1:58" s="38" customFormat="1" ht="16.5" customHeight="1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  <c r="AG521" s="77"/>
      <c r="AH521" s="77"/>
      <c r="AI521" s="77"/>
      <c r="AJ521" s="77"/>
      <c r="AK521" s="77"/>
      <c r="AL521" s="77"/>
      <c r="AM521" s="77"/>
      <c r="AN521" s="77"/>
      <c r="AO521" s="77"/>
      <c r="AP521" s="77"/>
      <c r="AQ521" s="77"/>
      <c r="AR521" s="77"/>
      <c r="AS521" s="77"/>
      <c r="AT521" s="77"/>
      <c r="AU521" s="77"/>
      <c r="AV521" s="77"/>
      <c r="AX521" s="84"/>
      <c r="AY521" s="84"/>
    </row>
    <row r="522" spans="1:58" s="38" customFormat="1" ht="16.5" customHeight="1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  <c r="AG522" s="77"/>
      <c r="AH522" s="77"/>
      <c r="AI522" s="77"/>
      <c r="AJ522" s="77"/>
      <c r="AK522" s="77"/>
      <c r="AL522" s="77"/>
      <c r="AM522" s="77"/>
      <c r="AN522" s="77"/>
      <c r="AO522" s="77"/>
      <c r="AP522" s="77"/>
      <c r="AQ522" s="77"/>
      <c r="AR522" s="77"/>
      <c r="AS522" s="77"/>
      <c r="AT522" s="77"/>
      <c r="AU522" s="77"/>
      <c r="AV522" s="77"/>
      <c r="AX522" s="84"/>
      <c r="AY522" s="84"/>
    </row>
    <row r="523" spans="1:58" s="38" customFormat="1" ht="16.5" customHeight="1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  <c r="AG523" s="77"/>
      <c r="AH523" s="77"/>
      <c r="AI523" s="77"/>
      <c r="AJ523" s="77"/>
      <c r="AK523" s="77"/>
      <c r="AL523" s="77"/>
      <c r="AM523" s="77"/>
      <c r="AN523" s="77"/>
      <c r="AO523" s="77"/>
      <c r="AP523" s="77"/>
      <c r="AQ523" s="77"/>
      <c r="AR523" s="77"/>
      <c r="AS523" s="77"/>
      <c r="AT523" s="77"/>
      <c r="AU523" s="77"/>
      <c r="AV523" s="77"/>
      <c r="AX523" s="84"/>
      <c r="AY523" s="84"/>
    </row>
    <row r="524" spans="1:58" s="38" customFormat="1" ht="16.5" customHeight="1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  <c r="AG524" s="77"/>
      <c r="AH524" s="77"/>
      <c r="AI524" s="77"/>
      <c r="AJ524" s="77"/>
      <c r="AK524" s="77"/>
      <c r="AL524" s="77"/>
      <c r="AM524" s="77"/>
      <c r="AN524" s="77"/>
      <c r="AO524" s="77"/>
      <c r="AP524" s="77"/>
      <c r="AQ524" s="77"/>
      <c r="AR524" s="77"/>
      <c r="AS524" s="77"/>
      <c r="AT524" s="77"/>
      <c r="AU524" s="77"/>
      <c r="AV524" s="77"/>
      <c r="AX524" s="84"/>
      <c r="AY524" s="84"/>
    </row>
    <row r="525" spans="1:58" s="38" customFormat="1" ht="16.5" customHeight="1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  <c r="AG525" s="77"/>
      <c r="AH525" s="77"/>
      <c r="AI525" s="77"/>
      <c r="AJ525" s="77"/>
      <c r="AK525" s="77"/>
      <c r="AL525" s="77"/>
      <c r="AM525" s="77"/>
      <c r="AN525" s="77"/>
      <c r="AO525" s="77"/>
      <c r="AP525" s="77"/>
      <c r="AQ525" s="77"/>
      <c r="AR525" s="77"/>
      <c r="AS525" s="77"/>
      <c r="AT525" s="77"/>
      <c r="AU525" s="77"/>
      <c r="AV525" s="77"/>
      <c r="AX525" s="84"/>
      <c r="AY525" s="84"/>
    </row>
    <row r="526" spans="1:58" s="38" customFormat="1" ht="16.5" customHeight="1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  <c r="AG526" s="77"/>
      <c r="AH526" s="77"/>
      <c r="AI526" s="77"/>
      <c r="AJ526" s="77"/>
      <c r="AK526" s="77"/>
      <c r="AL526" s="77"/>
      <c r="AM526" s="77"/>
      <c r="AN526" s="77"/>
      <c r="AO526" s="77"/>
      <c r="AP526" s="77"/>
      <c r="AQ526" s="77"/>
      <c r="AR526" s="77"/>
      <c r="AS526" s="77"/>
      <c r="AT526" s="77"/>
      <c r="AU526" s="77"/>
      <c r="AV526" s="77"/>
      <c r="AX526" s="84"/>
      <c r="AY526" s="84"/>
    </row>
    <row r="527" spans="1:58" s="38" customFormat="1" ht="16.5" customHeight="1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  <c r="AG527" s="77"/>
      <c r="AH527" s="77"/>
      <c r="AI527" s="77"/>
      <c r="AJ527" s="77"/>
      <c r="AK527" s="77"/>
      <c r="AL527" s="77"/>
      <c r="AM527" s="77"/>
      <c r="AN527" s="77"/>
      <c r="AO527" s="77"/>
      <c r="AP527" s="77"/>
      <c r="AQ527" s="77"/>
      <c r="AR527" s="77"/>
      <c r="AS527" s="77"/>
      <c r="AT527" s="77"/>
      <c r="AU527" s="77"/>
      <c r="AV527" s="77"/>
      <c r="AX527" s="84"/>
      <c r="AY527" s="84"/>
    </row>
    <row r="528" spans="1:58" s="38" customFormat="1" ht="16.5" customHeight="1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  <c r="AG528" s="77"/>
      <c r="AH528" s="77"/>
      <c r="AI528" s="77"/>
      <c r="AJ528" s="77"/>
      <c r="AK528" s="77"/>
      <c r="AL528" s="77"/>
      <c r="AM528" s="77"/>
      <c r="AN528" s="77"/>
      <c r="AO528" s="77"/>
      <c r="AP528" s="77"/>
      <c r="AQ528" s="77"/>
      <c r="AR528" s="77"/>
      <c r="AS528" s="77"/>
      <c r="AT528" s="77"/>
      <c r="AU528" s="77"/>
      <c r="AV528" s="77"/>
      <c r="AX528" s="84"/>
      <c r="AY528" s="84"/>
      <c r="AZ528" s="84"/>
      <c r="BA528" s="75" t="s">
        <v>59</v>
      </c>
      <c r="BB528" s="85">
        <v>0</v>
      </c>
      <c r="BC528" s="85">
        <v>0</v>
      </c>
      <c r="BD528" s="85">
        <v>0</v>
      </c>
      <c r="BE528" s="85">
        <v>0</v>
      </c>
      <c r="BF528" s="85">
        <v>0</v>
      </c>
    </row>
    <row r="529" spans="1:58" s="38" customFormat="1" ht="16.5" customHeight="1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  <c r="AG529" s="77"/>
      <c r="AH529" s="77"/>
      <c r="AI529" s="77"/>
      <c r="AJ529" s="77"/>
      <c r="AK529" s="77"/>
      <c r="AL529" s="77"/>
      <c r="AM529" s="77"/>
      <c r="AN529" s="77"/>
      <c r="AO529" s="77"/>
      <c r="AP529" s="77"/>
      <c r="AQ529" s="77"/>
      <c r="AR529" s="77"/>
      <c r="AS529" s="77"/>
      <c r="AT529" s="77"/>
      <c r="AU529" s="77"/>
      <c r="AV529" s="77"/>
      <c r="AX529" s="84"/>
      <c r="AY529" s="84"/>
      <c r="AZ529" s="84"/>
      <c r="BA529" s="75" t="s">
        <v>60</v>
      </c>
      <c r="BB529" s="85">
        <v>0</v>
      </c>
      <c r="BC529" s="85">
        <v>0</v>
      </c>
      <c r="BD529" s="85">
        <v>0</v>
      </c>
      <c r="BE529" s="85">
        <v>0</v>
      </c>
      <c r="BF529" s="85">
        <v>0</v>
      </c>
    </row>
    <row r="530" spans="1:58" s="38" customFormat="1" ht="16.5" customHeight="1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  <c r="AG530" s="77"/>
      <c r="AH530" s="77"/>
      <c r="AI530" s="77"/>
      <c r="AJ530" s="77"/>
      <c r="AK530" s="77"/>
      <c r="AL530" s="77"/>
      <c r="AM530" s="77"/>
      <c r="AN530" s="77"/>
      <c r="AO530" s="77"/>
      <c r="AP530" s="77"/>
      <c r="AQ530" s="77"/>
      <c r="AR530" s="77"/>
      <c r="AS530" s="77"/>
      <c r="AT530" s="77"/>
      <c r="AU530" s="77"/>
      <c r="AV530" s="77"/>
      <c r="AX530" s="84"/>
      <c r="AY530" s="84"/>
      <c r="AZ530" s="84"/>
      <c r="BA530" s="75" t="s">
        <v>66</v>
      </c>
      <c r="BB530" s="85">
        <v>0</v>
      </c>
      <c r="BC530" s="85">
        <v>0</v>
      </c>
      <c r="BD530" s="85">
        <v>0</v>
      </c>
      <c r="BE530" s="85">
        <v>0</v>
      </c>
      <c r="BF530" s="85">
        <v>0</v>
      </c>
    </row>
    <row r="531" spans="1:58" s="38" customFormat="1" ht="16.5" customHeight="1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  <c r="AG531" s="77"/>
      <c r="AH531" s="77"/>
      <c r="AI531" s="77"/>
      <c r="AJ531" s="77"/>
      <c r="AK531" s="77"/>
      <c r="AL531" s="77"/>
      <c r="AM531" s="77"/>
      <c r="AN531" s="77"/>
      <c r="AO531" s="77"/>
      <c r="AP531" s="77"/>
      <c r="AQ531" s="77"/>
      <c r="AR531" s="77"/>
      <c r="AS531" s="77"/>
      <c r="AT531" s="77"/>
      <c r="AU531" s="77"/>
      <c r="AV531" s="77"/>
      <c r="AX531" s="84"/>
      <c r="AY531" s="84"/>
      <c r="AZ531" s="84"/>
      <c r="BA531" s="2"/>
    </row>
    <row r="532" spans="1:58" s="38" customFormat="1" ht="16.5" customHeight="1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  <c r="AG532" s="77"/>
      <c r="AH532" s="77"/>
      <c r="AI532" s="77"/>
      <c r="AJ532" s="77"/>
      <c r="AK532" s="77"/>
      <c r="AL532" s="77"/>
      <c r="AM532" s="77"/>
      <c r="AN532" s="77"/>
      <c r="AO532" s="77"/>
      <c r="AP532" s="77"/>
      <c r="AQ532" s="77"/>
      <c r="AR532" s="77"/>
      <c r="AS532" s="77"/>
      <c r="AT532" s="77"/>
      <c r="AU532" s="77"/>
      <c r="AV532" s="77"/>
      <c r="AX532" s="84"/>
      <c r="AY532" s="84"/>
      <c r="AZ532" s="84"/>
      <c r="BA532" s="75"/>
      <c r="BB532" s="75" t="s">
        <v>62</v>
      </c>
      <c r="BC532" s="75" t="s">
        <v>63</v>
      </c>
      <c r="BD532" s="75" t="s">
        <v>64</v>
      </c>
      <c r="BE532" s="75" t="s">
        <v>65</v>
      </c>
      <c r="BF532" s="75" t="s">
        <v>66</v>
      </c>
    </row>
    <row r="533" spans="1:58" s="38" customFormat="1" ht="16.5" customHeight="1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  <c r="AG533" s="77"/>
      <c r="AH533" s="77"/>
      <c r="AI533" s="77"/>
      <c r="AJ533" s="77"/>
      <c r="AK533" s="77"/>
      <c r="AL533" s="77"/>
      <c r="AM533" s="77"/>
      <c r="AN533" s="77"/>
      <c r="AO533" s="77"/>
      <c r="AP533" s="77"/>
      <c r="AQ533" s="77"/>
      <c r="AR533" s="77"/>
      <c r="AS533" s="77"/>
      <c r="AT533" s="77"/>
      <c r="AU533" s="77"/>
      <c r="AV533" s="77"/>
      <c r="AX533" s="84"/>
      <c r="AY533" s="84"/>
      <c r="BA533" s="75" t="s">
        <v>59</v>
      </c>
      <c r="BB533" s="87" t="e">
        <v>#DIV/0!</v>
      </c>
      <c r="BC533" s="87" t="e">
        <v>#DIV/0!</v>
      </c>
      <c r="BD533" s="87" t="e">
        <v>#DIV/0!</v>
      </c>
      <c r="BE533" s="87" t="e">
        <v>#DIV/0!</v>
      </c>
      <c r="BF533" s="87" t="e">
        <v>#DIV/0!</v>
      </c>
    </row>
    <row r="534" spans="1:58" s="38" customFormat="1" ht="16.5" customHeight="1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  <c r="AG534" s="77"/>
      <c r="AH534" s="77"/>
      <c r="AI534" s="77"/>
      <c r="AJ534" s="77"/>
      <c r="AK534" s="77"/>
      <c r="AL534" s="77"/>
      <c r="AM534" s="77"/>
      <c r="AN534" s="77"/>
      <c r="AO534" s="77"/>
      <c r="AP534" s="77"/>
      <c r="AQ534" s="77"/>
      <c r="AR534" s="77"/>
      <c r="AS534" s="77"/>
      <c r="AT534" s="77"/>
      <c r="AU534" s="77"/>
      <c r="AV534" s="77"/>
      <c r="AX534" s="84"/>
      <c r="AY534" s="84"/>
      <c r="BA534" s="75" t="s">
        <v>60</v>
      </c>
      <c r="BB534" s="87" t="e">
        <v>#DIV/0!</v>
      </c>
      <c r="BC534" s="87" t="e">
        <v>#DIV/0!</v>
      </c>
      <c r="BD534" s="87" t="e">
        <v>#DIV/0!</v>
      </c>
      <c r="BE534" s="87" t="e">
        <v>#DIV/0!</v>
      </c>
      <c r="BF534" s="87" t="e">
        <v>#DIV/0!</v>
      </c>
    </row>
    <row r="535" spans="1:58" s="38" customFormat="1" ht="16.5" customHeight="1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  <c r="AG535" s="77"/>
      <c r="AH535" s="77"/>
      <c r="AI535" s="77"/>
      <c r="AJ535" s="77"/>
      <c r="AK535" s="77"/>
      <c r="AL535" s="77"/>
      <c r="AM535" s="77"/>
      <c r="AN535" s="77"/>
      <c r="AO535" s="77"/>
      <c r="AP535" s="77"/>
      <c r="AQ535" s="77"/>
      <c r="AR535" s="77"/>
      <c r="AS535" s="77"/>
      <c r="AT535" s="77"/>
      <c r="AU535" s="77"/>
      <c r="AV535" s="77"/>
      <c r="AX535" s="84"/>
      <c r="AY535" s="84"/>
      <c r="BA535" s="75" t="s">
        <v>66</v>
      </c>
      <c r="BB535" s="87" t="e">
        <v>#DIV/0!</v>
      </c>
      <c r="BC535" s="87" t="e">
        <v>#DIV/0!</v>
      </c>
      <c r="BD535" s="87" t="e">
        <v>#DIV/0!</v>
      </c>
      <c r="BE535" s="87" t="e">
        <v>#DIV/0!</v>
      </c>
      <c r="BF535" s="87" t="e">
        <v>#DIV/0!</v>
      </c>
    </row>
    <row r="536" spans="1:58" s="38" customFormat="1" ht="16.5" customHeight="1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  <c r="AG536" s="77"/>
      <c r="AH536" s="77"/>
      <c r="AI536" s="77"/>
      <c r="AJ536" s="77"/>
      <c r="AK536" s="77"/>
      <c r="AL536" s="77"/>
      <c r="AM536" s="77"/>
      <c r="AN536" s="77"/>
      <c r="AO536" s="77"/>
      <c r="AP536" s="77"/>
      <c r="AQ536" s="77"/>
      <c r="AR536" s="77"/>
      <c r="AS536" s="77"/>
      <c r="AT536" s="77"/>
      <c r="AU536" s="77"/>
      <c r="AV536" s="77"/>
      <c r="AX536" s="84"/>
      <c r="AY536" s="84"/>
    </row>
    <row r="537" spans="1:58" s="38" customFormat="1" ht="16.5" customHeight="1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  <c r="AG537" s="77"/>
      <c r="AH537" s="77"/>
      <c r="AI537" s="77"/>
      <c r="AJ537" s="77"/>
      <c r="AK537" s="77"/>
      <c r="AL537" s="77"/>
      <c r="AM537" s="77"/>
      <c r="AN537" s="77"/>
      <c r="AO537" s="77"/>
      <c r="AP537" s="77"/>
      <c r="AQ537" s="77"/>
      <c r="AR537" s="77"/>
      <c r="AS537" s="77"/>
      <c r="AT537" s="77"/>
      <c r="AU537" s="77"/>
      <c r="AV537" s="77"/>
      <c r="AX537" s="84"/>
      <c r="AY537" s="84"/>
    </row>
    <row r="538" spans="1:58" s="38" customFormat="1" ht="16.5" customHeight="1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  <c r="AG538" s="77"/>
      <c r="AH538" s="77"/>
      <c r="AI538" s="77"/>
      <c r="AJ538" s="77"/>
      <c r="AK538" s="77"/>
      <c r="AL538" s="77"/>
      <c r="AM538" s="77"/>
      <c r="AN538" s="77"/>
      <c r="AO538" s="77"/>
      <c r="AP538" s="77"/>
      <c r="AQ538" s="77"/>
      <c r="AR538" s="77"/>
      <c r="AS538" s="77"/>
      <c r="AT538" s="77"/>
      <c r="AU538" s="77"/>
      <c r="AV538" s="77"/>
      <c r="AX538" s="84"/>
      <c r="AY538" s="84"/>
    </row>
    <row r="539" spans="1:58" s="38" customFormat="1" ht="16.5" customHeight="1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  <c r="AG539" s="77"/>
      <c r="AH539" s="77"/>
      <c r="AI539" s="77"/>
      <c r="AJ539" s="77"/>
      <c r="AK539" s="77"/>
      <c r="AL539" s="77"/>
      <c r="AM539" s="77"/>
      <c r="AN539" s="77"/>
      <c r="AO539" s="77"/>
      <c r="AP539" s="77"/>
      <c r="AQ539" s="77"/>
      <c r="AR539" s="77"/>
      <c r="AS539" s="77"/>
      <c r="AT539" s="77"/>
      <c r="AU539" s="77"/>
      <c r="AV539" s="77"/>
      <c r="AX539" s="84"/>
      <c r="AY539" s="84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563" priority="71830" operator="lessThan">
      <formula>15.1</formula>
    </cfRule>
    <cfRule type="cellIs" dxfId="2562" priority="71831" operator="lessThan">
      <formula>18.1</formula>
    </cfRule>
    <cfRule type="cellIs" dxfId="2561" priority="71832" operator="lessThan">
      <formula>21.1</formula>
    </cfRule>
    <cfRule type="cellIs" dxfId="2560" priority="71833" operator="lessThan">
      <formula>24.1</formula>
    </cfRule>
    <cfRule type="cellIs" dxfId="2559" priority="71834" operator="lessThan">
      <formula>30</formula>
    </cfRule>
    <cfRule type="cellIs" dxfId="2558" priority="71835" operator="lessThan">
      <formula>34.1</formula>
    </cfRule>
  </conditionalFormatting>
  <conditionalFormatting sqref="Z3">
    <cfRule type="colorScale" priority="7182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557" priority="71827" operator="greaterThan">
      <formula>0.9</formula>
    </cfRule>
    <cfRule type="cellIs" dxfId="2556" priority="71828" operator="greaterThan">
      <formula>0.85</formula>
    </cfRule>
  </conditionalFormatting>
  <conditionalFormatting sqref="N2">
    <cfRule type="cellIs" dxfId="2555" priority="71825" operator="greaterThan">
      <formula>0.9</formula>
    </cfRule>
    <cfRule type="cellIs" dxfId="2554" priority="71826" operator="greaterThan">
      <formula>0.85</formula>
    </cfRule>
  </conditionalFormatting>
  <conditionalFormatting sqref="AV4">
    <cfRule type="expression" dxfId="2553" priority="1097">
      <formula>AV4="X"</formula>
    </cfRule>
    <cfRule type="expression" dxfId="2552" priority="1098">
      <formula>AV4="후보"</formula>
    </cfRule>
  </conditionalFormatting>
  <conditionalFormatting sqref="AC4">
    <cfRule type="cellIs" dxfId="2551" priority="1095" operator="greaterThan">
      <formula>0.9</formula>
    </cfRule>
    <cfRule type="cellIs" dxfId="2550" priority="1096" operator="greaterThan">
      <formula>0.85</formula>
    </cfRule>
  </conditionalFormatting>
  <conditionalFormatting sqref="N4">
    <cfRule type="cellIs" dxfId="2549" priority="1093" operator="greaterThan">
      <formula>0.9</formula>
    </cfRule>
    <cfRule type="cellIs" dxfId="2548" priority="1094" operator="greaterThan">
      <formula>0.85</formula>
    </cfRule>
  </conditionalFormatting>
  <conditionalFormatting sqref="E4">
    <cfRule type="expression" dxfId="2547" priority="1089">
      <formula>AND(IF(OR($Q4=1,$Q4=2),1,0),IF($X4&lt;=20,1,0))</formula>
    </cfRule>
    <cfRule type="expression" dxfId="2546" priority="1090">
      <formula>AND(IF($Q4=2,1,0),IF($X4&lt;30,1,0))</formula>
    </cfRule>
    <cfRule type="expression" dxfId="2545" priority="1091">
      <formula>AND(IF($Q4=3,1,0),IF($X4&lt;30,1,0))</formula>
    </cfRule>
    <cfRule type="expression" dxfId="2544" priority="1092">
      <formula>AND(IF($Q4=3,1,IF($Q4=4,1,0)),IF($F4&lt;=85,1,0))</formula>
    </cfRule>
  </conditionalFormatting>
  <conditionalFormatting sqref="X4">
    <cfRule type="expression" dxfId="2543" priority="1085">
      <formula>AND(IF(OR($Q4=1,$Q4=2),1,0),IF($X4&lt;=20,1,0))</formula>
    </cfRule>
    <cfRule type="expression" dxfId="2542" priority="1086">
      <formula>AND(IF($Q4=2,1,0),IF($X4&lt;30,1,0))</formula>
    </cfRule>
    <cfRule type="expression" dxfId="2541" priority="1087">
      <formula>AND(IF($Q4=3,1,0),IF($X4&lt;30,1,0))</formula>
    </cfRule>
    <cfRule type="expression" dxfId="2540" priority="1088">
      <formula>AND(IF($Q4=3,1,IF($Q4=4,1,0)),IF($F4&lt;=85,1,0))</formula>
    </cfRule>
  </conditionalFormatting>
  <conditionalFormatting sqref="AI4">
    <cfRule type="expression" dxfId="2539" priority="1081">
      <formula>AND(IF(OR($Q4=1,$Q4=2),1,0),IF($X4&lt;=20,1,0))</formula>
    </cfRule>
    <cfRule type="expression" dxfId="2538" priority="1082">
      <formula>AND(IF($Q4=2,1,0),IF($X4&lt;30,1,0))</formula>
    </cfRule>
    <cfRule type="expression" dxfId="2537" priority="1083">
      <formula>AND(IF($Q4=3,1,0),IF($X4&lt;30,1,0))</formula>
    </cfRule>
    <cfRule type="expression" dxfId="2536" priority="1084">
      <formula>AND(IF($Q4=3,1,IF($Q4=4,1,0)),IF($F4&lt;=85,1,0))</formula>
    </cfRule>
  </conditionalFormatting>
  <conditionalFormatting sqref="AV5">
    <cfRule type="expression" dxfId="2535" priority="1079">
      <formula>AV5="X"</formula>
    </cfRule>
    <cfRule type="expression" dxfId="2534" priority="1080">
      <formula>AV5="후보"</formula>
    </cfRule>
  </conditionalFormatting>
  <conditionalFormatting sqref="AC5">
    <cfRule type="cellIs" dxfId="2533" priority="1077" operator="greaterThan">
      <formula>0.9</formula>
    </cfRule>
    <cfRule type="cellIs" dxfId="2532" priority="1078" operator="greaterThan">
      <formula>0.85</formula>
    </cfRule>
  </conditionalFormatting>
  <conditionalFormatting sqref="N5">
    <cfRule type="cellIs" dxfId="2531" priority="1075" operator="greaterThan">
      <formula>0.9</formula>
    </cfRule>
    <cfRule type="cellIs" dxfId="2530" priority="1076" operator="greaterThan">
      <formula>0.85</formula>
    </cfRule>
  </conditionalFormatting>
  <conditionalFormatting sqref="E5">
    <cfRule type="expression" dxfId="2529" priority="1071">
      <formula>AND(IF(OR($Q5=1,$Q5=2),1,0),IF($X5&lt;=20,1,0))</formula>
    </cfRule>
    <cfRule type="expression" dxfId="2528" priority="1072">
      <formula>AND(IF($Q5=2,1,0),IF($X5&lt;30,1,0))</formula>
    </cfRule>
    <cfRule type="expression" dxfId="2527" priority="1073">
      <formula>AND(IF($Q5=3,1,0),IF($X5&lt;30,1,0))</formula>
    </cfRule>
    <cfRule type="expression" dxfId="2526" priority="1074">
      <formula>AND(IF($Q5=3,1,IF($Q5=4,1,0)),IF($F5&lt;=85,1,0))</formula>
    </cfRule>
  </conditionalFormatting>
  <conditionalFormatting sqref="X5">
    <cfRule type="expression" dxfId="2525" priority="1067">
      <formula>AND(IF(OR($Q5=1,$Q5=2),1,0),IF($X5&lt;=20,1,0))</formula>
    </cfRule>
    <cfRule type="expression" dxfId="2524" priority="1068">
      <formula>AND(IF($Q5=2,1,0),IF($X5&lt;30,1,0))</formula>
    </cfRule>
    <cfRule type="expression" dxfId="2523" priority="1069">
      <formula>AND(IF($Q5=3,1,0),IF($X5&lt;30,1,0))</formula>
    </cfRule>
    <cfRule type="expression" dxfId="2522" priority="1070">
      <formula>AND(IF($Q5=3,1,IF($Q5=4,1,0)),IF($F5&lt;=85,1,0))</formula>
    </cfRule>
  </conditionalFormatting>
  <conditionalFormatting sqref="AI5">
    <cfRule type="expression" dxfId="2521" priority="1063">
      <formula>AND(IF(OR($Q5=1,$Q5=2),1,0),IF($X5&lt;=20,1,0))</formula>
    </cfRule>
    <cfRule type="expression" dxfId="2520" priority="1064">
      <formula>AND(IF($Q5=2,1,0),IF($X5&lt;30,1,0))</formula>
    </cfRule>
    <cfRule type="expression" dxfId="2519" priority="1065">
      <formula>AND(IF($Q5=3,1,0),IF($X5&lt;30,1,0))</formula>
    </cfRule>
    <cfRule type="expression" dxfId="2518" priority="1066">
      <formula>AND(IF($Q5=3,1,IF($Q5=4,1,0)),IF($F5&lt;=85,1,0))</formula>
    </cfRule>
  </conditionalFormatting>
  <conditionalFormatting sqref="AV6">
    <cfRule type="expression" dxfId="2517" priority="1061">
      <formula>AV6="X"</formula>
    </cfRule>
    <cfRule type="expression" dxfId="2516" priority="1062">
      <formula>AV6="후보"</formula>
    </cfRule>
  </conditionalFormatting>
  <conditionalFormatting sqref="AC6">
    <cfRule type="cellIs" dxfId="2515" priority="1059" operator="greaterThan">
      <formula>0.9</formula>
    </cfRule>
    <cfRule type="cellIs" dxfId="2514" priority="1060" operator="greaterThan">
      <formula>0.85</formula>
    </cfRule>
  </conditionalFormatting>
  <conditionalFormatting sqref="N6">
    <cfRule type="cellIs" dxfId="2513" priority="1057" operator="greaterThan">
      <formula>0.9</formula>
    </cfRule>
    <cfRule type="cellIs" dxfId="2512" priority="1058" operator="greaterThan">
      <formula>0.85</formula>
    </cfRule>
  </conditionalFormatting>
  <conditionalFormatting sqref="E6">
    <cfRule type="expression" dxfId="2511" priority="1053">
      <formula>AND(IF(OR($Q6=1,$Q6=2),1,0),IF($X6&lt;=20,1,0))</formula>
    </cfRule>
    <cfRule type="expression" dxfId="2510" priority="1054">
      <formula>AND(IF($Q6=2,1,0),IF($X6&lt;30,1,0))</formula>
    </cfRule>
    <cfRule type="expression" dxfId="2509" priority="1055">
      <formula>AND(IF($Q6=3,1,0),IF($X6&lt;30,1,0))</formula>
    </cfRule>
    <cfRule type="expression" dxfId="2508" priority="1056">
      <formula>AND(IF($Q6=3,1,IF($Q6=4,1,0)),IF($F6&lt;=85,1,0))</formula>
    </cfRule>
  </conditionalFormatting>
  <conditionalFormatting sqref="X6">
    <cfRule type="expression" dxfId="2507" priority="1049">
      <formula>AND(IF(OR($Q6=1,$Q6=2),1,0),IF($X6&lt;=20,1,0))</formula>
    </cfRule>
    <cfRule type="expression" dxfId="2506" priority="1050">
      <formula>AND(IF($Q6=2,1,0),IF($X6&lt;30,1,0))</formula>
    </cfRule>
    <cfRule type="expression" dxfId="2505" priority="1051">
      <formula>AND(IF($Q6=3,1,0),IF($X6&lt;30,1,0))</formula>
    </cfRule>
    <cfRule type="expression" dxfId="2504" priority="1052">
      <formula>AND(IF($Q6=3,1,IF($Q6=4,1,0)),IF($F6&lt;=85,1,0))</formula>
    </cfRule>
  </conditionalFormatting>
  <conditionalFormatting sqref="AI6">
    <cfRule type="expression" dxfId="2503" priority="1045">
      <formula>AND(IF(OR($Q6=1,$Q6=2),1,0),IF($X6&lt;=20,1,0))</formula>
    </cfRule>
    <cfRule type="expression" dxfId="2502" priority="1046">
      <formula>AND(IF($Q6=2,1,0),IF($X6&lt;30,1,0))</formula>
    </cfRule>
    <cfRule type="expression" dxfId="2501" priority="1047">
      <formula>AND(IF($Q6=3,1,0),IF($X6&lt;30,1,0))</formula>
    </cfRule>
    <cfRule type="expression" dxfId="2500" priority="1048">
      <formula>AND(IF($Q6=3,1,IF($Q6=4,1,0)),IF($F6&lt;=85,1,0))</formula>
    </cfRule>
  </conditionalFormatting>
  <conditionalFormatting sqref="AV7">
    <cfRule type="expression" dxfId="2499" priority="1043">
      <formula>AV7="X"</formula>
    </cfRule>
    <cfRule type="expression" dxfId="2498" priority="1044">
      <formula>AV7="후보"</formula>
    </cfRule>
  </conditionalFormatting>
  <conditionalFormatting sqref="AC7">
    <cfRule type="cellIs" dxfId="2497" priority="1041" operator="greaterThan">
      <formula>0.9</formula>
    </cfRule>
    <cfRule type="cellIs" dxfId="2496" priority="1042" operator="greaterThan">
      <formula>0.85</formula>
    </cfRule>
  </conditionalFormatting>
  <conditionalFormatting sqref="N7">
    <cfRule type="cellIs" dxfId="2495" priority="1039" operator="greaterThan">
      <formula>0.9</formula>
    </cfRule>
    <cfRule type="cellIs" dxfId="2494" priority="1040" operator="greaterThan">
      <formula>0.85</formula>
    </cfRule>
  </conditionalFormatting>
  <conditionalFormatting sqref="E7">
    <cfRule type="expression" dxfId="2493" priority="1035">
      <formula>AND(IF(OR($Q7=1,$Q7=2),1,0),IF($X7&lt;=20,1,0))</formula>
    </cfRule>
    <cfRule type="expression" dxfId="2492" priority="1036">
      <formula>AND(IF($Q7=2,1,0),IF($X7&lt;30,1,0))</formula>
    </cfRule>
    <cfRule type="expression" dxfId="2491" priority="1037">
      <formula>AND(IF($Q7=3,1,0),IF($X7&lt;30,1,0))</formula>
    </cfRule>
    <cfRule type="expression" dxfId="2490" priority="1038">
      <formula>AND(IF($Q7=3,1,IF($Q7=4,1,0)),IF($F7&lt;=85,1,0))</formula>
    </cfRule>
  </conditionalFormatting>
  <conditionalFormatting sqref="X7">
    <cfRule type="expression" dxfId="2489" priority="1031">
      <formula>AND(IF(OR($Q7=1,$Q7=2),1,0),IF($X7&lt;=20,1,0))</formula>
    </cfRule>
    <cfRule type="expression" dxfId="2488" priority="1032">
      <formula>AND(IF($Q7=2,1,0),IF($X7&lt;30,1,0))</formula>
    </cfRule>
    <cfRule type="expression" dxfId="2487" priority="1033">
      <formula>AND(IF($Q7=3,1,0),IF($X7&lt;30,1,0))</formula>
    </cfRule>
    <cfRule type="expression" dxfId="2486" priority="1034">
      <formula>AND(IF($Q7=3,1,IF($Q7=4,1,0)),IF($F7&lt;=85,1,0))</formula>
    </cfRule>
  </conditionalFormatting>
  <conditionalFormatting sqref="AI7">
    <cfRule type="expression" dxfId="2485" priority="1027">
      <formula>AND(IF(OR($Q7=1,$Q7=2),1,0),IF($X7&lt;=20,1,0))</formula>
    </cfRule>
    <cfRule type="expression" dxfId="2484" priority="1028">
      <formula>AND(IF($Q7=2,1,0),IF($X7&lt;30,1,0))</formula>
    </cfRule>
    <cfRule type="expression" dxfId="2483" priority="1029">
      <formula>AND(IF($Q7=3,1,0),IF($X7&lt;30,1,0))</formula>
    </cfRule>
    <cfRule type="expression" dxfId="2482" priority="1030">
      <formula>AND(IF($Q7=3,1,IF($Q7=4,1,0)),IF($F7&lt;=85,1,0))</formula>
    </cfRule>
  </conditionalFormatting>
  <conditionalFormatting sqref="AV8">
    <cfRule type="expression" dxfId="2481" priority="1025">
      <formula>AV8="X"</formula>
    </cfRule>
    <cfRule type="expression" dxfId="2480" priority="1026">
      <formula>AV8="후보"</formula>
    </cfRule>
  </conditionalFormatting>
  <conditionalFormatting sqref="AC8">
    <cfRule type="cellIs" dxfId="2479" priority="1023" operator="greaterThan">
      <formula>0.9</formula>
    </cfRule>
    <cfRule type="cellIs" dxfId="2478" priority="1024" operator="greaterThan">
      <formula>0.85</formula>
    </cfRule>
  </conditionalFormatting>
  <conditionalFormatting sqref="N8">
    <cfRule type="cellIs" dxfId="2477" priority="1021" operator="greaterThan">
      <formula>0.9</formula>
    </cfRule>
    <cfRule type="cellIs" dxfId="2476" priority="1022" operator="greaterThan">
      <formula>0.85</formula>
    </cfRule>
  </conditionalFormatting>
  <conditionalFormatting sqref="E8">
    <cfRule type="expression" dxfId="2475" priority="1017">
      <formula>AND(IF(OR($Q8=1,$Q8=2),1,0),IF($X8&lt;=20,1,0))</formula>
    </cfRule>
    <cfRule type="expression" dxfId="2474" priority="1018">
      <formula>AND(IF($Q8=2,1,0),IF($X8&lt;30,1,0))</formula>
    </cfRule>
    <cfRule type="expression" dxfId="2473" priority="1019">
      <formula>AND(IF($Q8=3,1,0),IF($X8&lt;30,1,0))</formula>
    </cfRule>
    <cfRule type="expression" dxfId="2472" priority="1020">
      <formula>AND(IF($Q8=3,1,IF($Q8=4,1,0)),IF($F8&lt;=85,1,0))</formula>
    </cfRule>
  </conditionalFormatting>
  <conditionalFormatting sqref="X8">
    <cfRule type="expression" dxfId="2471" priority="1013">
      <formula>AND(IF(OR($Q8=1,$Q8=2),1,0),IF($X8&lt;=20,1,0))</formula>
    </cfRule>
    <cfRule type="expression" dxfId="2470" priority="1014">
      <formula>AND(IF($Q8=2,1,0),IF($X8&lt;30,1,0))</formula>
    </cfRule>
    <cfRule type="expression" dxfId="2469" priority="1015">
      <formula>AND(IF($Q8=3,1,0),IF($X8&lt;30,1,0))</formula>
    </cfRule>
    <cfRule type="expression" dxfId="2468" priority="1016">
      <formula>AND(IF($Q8=3,1,IF($Q8=4,1,0)),IF($F8&lt;=85,1,0))</formula>
    </cfRule>
  </conditionalFormatting>
  <conditionalFormatting sqref="AI8">
    <cfRule type="expression" dxfId="2467" priority="1009">
      <formula>AND(IF(OR($Q8=1,$Q8=2),1,0),IF($X8&lt;=20,1,0))</formula>
    </cfRule>
    <cfRule type="expression" dxfId="2466" priority="1010">
      <formula>AND(IF($Q8=2,1,0),IF($X8&lt;30,1,0))</formula>
    </cfRule>
    <cfRule type="expression" dxfId="2465" priority="1011">
      <formula>AND(IF($Q8=3,1,0),IF($X8&lt;30,1,0))</formula>
    </cfRule>
    <cfRule type="expression" dxfId="2464" priority="1012">
      <formula>AND(IF($Q8=3,1,IF($Q8=4,1,0)),IF($F8&lt;=85,1,0))</formula>
    </cfRule>
  </conditionalFormatting>
  <conditionalFormatting sqref="AV9">
    <cfRule type="expression" dxfId="2463" priority="1007">
      <formula>AV9="X"</formula>
    </cfRule>
    <cfRule type="expression" dxfId="2462" priority="1008">
      <formula>AV9="후보"</formula>
    </cfRule>
  </conditionalFormatting>
  <conditionalFormatting sqref="AC9">
    <cfRule type="cellIs" dxfId="2461" priority="1005" operator="greaterThan">
      <formula>0.9</formula>
    </cfRule>
    <cfRule type="cellIs" dxfId="2460" priority="1006" operator="greaterThan">
      <formula>0.85</formula>
    </cfRule>
  </conditionalFormatting>
  <conditionalFormatting sqref="N9">
    <cfRule type="cellIs" dxfId="2459" priority="1003" operator="greaterThan">
      <formula>0.9</formula>
    </cfRule>
    <cfRule type="cellIs" dxfId="2458" priority="1004" operator="greaterThan">
      <formula>0.85</formula>
    </cfRule>
  </conditionalFormatting>
  <conditionalFormatting sqref="E9">
    <cfRule type="expression" dxfId="2457" priority="999">
      <formula>AND(IF(OR($Q9=1,$Q9=2),1,0),IF($X9&lt;=20,1,0))</formula>
    </cfRule>
    <cfRule type="expression" dxfId="2456" priority="1000">
      <formula>AND(IF($Q9=2,1,0),IF($X9&lt;30,1,0))</formula>
    </cfRule>
    <cfRule type="expression" dxfId="2455" priority="1001">
      <formula>AND(IF($Q9=3,1,0),IF($X9&lt;30,1,0))</formula>
    </cfRule>
    <cfRule type="expression" dxfId="2454" priority="1002">
      <formula>AND(IF($Q9=3,1,IF($Q9=4,1,0)),IF($F9&lt;=85,1,0))</formula>
    </cfRule>
  </conditionalFormatting>
  <conditionalFormatting sqref="X9">
    <cfRule type="expression" dxfId="2453" priority="995">
      <formula>AND(IF(OR($Q9=1,$Q9=2),1,0),IF($X9&lt;=20,1,0))</formula>
    </cfRule>
    <cfRule type="expression" dxfId="2452" priority="996">
      <formula>AND(IF($Q9=2,1,0),IF($X9&lt;30,1,0))</formula>
    </cfRule>
    <cfRule type="expression" dxfId="2451" priority="997">
      <formula>AND(IF($Q9=3,1,0),IF($X9&lt;30,1,0))</formula>
    </cfRule>
    <cfRule type="expression" dxfId="2450" priority="998">
      <formula>AND(IF($Q9=3,1,IF($Q9=4,1,0)),IF($F9&lt;=85,1,0))</formula>
    </cfRule>
  </conditionalFormatting>
  <conditionalFormatting sqref="AI9">
    <cfRule type="expression" dxfId="2449" priority="991">
      <formula>AND(IF(OR($Q9=1,$Q9=2),1,0),IF($X9&lt;=20,1,0))</formula>
    </cfRule>
    <cfRule type="expression" dxfId="2448" priority="992">
      <formula>AND(IF($Q9=2,1,0),IF($X9&lt;30,1,0))</formula>
    </cfRule>
    <cfRule type="expression" dxfId="2447" priority="993">
      <formula>AND(IF($Q9=3,1,0),IF($X9&lt;30,1,0))</formula>
    </cfRule>
    <cfRule type="expression" dxfId="2446" priority="994">
      <formula>AND(IF($Q9=3,1,IF($Q9=4,1,0)),IF($F9&lt;=85,1,0))</formula>
    </cfRule>
  </conditionalFormatting>
  <conditionalFormatting sqref="AV10">
    <cfRule type="expression" dxfId="2445" priority="989">
      <formula>AV10="X"</formula>
    </cfRule>
    <cfRule type="expression" dxfId="2444" priority="990">
      <formula>AV10="후보"</formula>
    </cfRule>
  </conditionalFormatting>
  <conditionalFormatting sqref="AC10">
    <cfRule type="cellIs" dxfId="2443" priority="987" operator="greaterThan">
      <formula>0.9</formula>
    </cfRule>
    <cfRule type="cellIs" dxfId="2442" priority="988" operator="greaterThan">
      <formula>0.85</formula>
    </cfRule>
  </conditionalFormatting>
  <conditionalFormatting sqref="N10">
    <cfRule type="cellIs" dxfId="2441" priority="985" operator="greaterThan">
      <formula>0.9</formula>
    </cfRule>
    <cfRule type="cellIs" dxfId="2440" priority="986" operator="greaterThan">
      <formula>0.85</formula>
    </cfRule>
  </conditionalFormatting>
  <conditionalFormatting sqref="E10">
    <cfRule type="expression" dxfId="2439" priority="981">
      <formula>AND(IF(OR($Q10=1,$Q10=2),1,0),IF($X10&lt;=20,1,0))</formula>
    </cfRule>
    <cfRule type="expression" dxfId="2438" priority="982">
      <formula>AND(IF($Q10=2,1,0),IF($X10&lt;30,1,0))</formula>
    </cfRule>
    <cfRule type="expression" dxfId="2437" priority="983">
      <formula>AND(IF($Q10=3,1,0),IF($X10&lt;30,1,0))</formula>
    </cfRule>
    <cfRule type="expression" dxfId="2436" priority="984">
      <formula>AND(IF($Q10=3,1,IF($Q10=4,1,0)),IF($F10&lt;=85,1,0))</formula>
    </cfRule>
  </conditionalFormatting>
  <conditionalFormatting sqref="X10">
    <cfRule type="expression" dxfId="2435" priority="977">
      <formula>AND(IF(OR($Q10=1,$Q10=2),1,0),IF($X10&lt;=20,1,0))</formula>
    </cfRule>
    <cfRule type="expression" dxfId="2434" priority="978">
      <formula>AND(IF($Q10=2,1,0),IF($X10&lt;30,1,0))</formula>
    </cfRule>
    <cfRule type="expression" dxfId="2433" priority="979">
      <formula>AND(IF($Q10=3,1,0),IF($X10&lt;30,1,0))</formula>
    </cfRule>
    <cfRule type="expression" dxfId="2432" priority="980">
      <formula>AND(IF($Q10=3,1,IF($Q10=4,1,0)),IF($F10&lt;=85,1,0))</formula>
    </cfRule>
  </conditionalFormatting>
  <conditionalFormatting sqref="AI10">
    <cfRule type="expression" dxfId="2431" priority="973">
      <formula>AND(IF(OR($Q10=1,$Q10=2),1,0),IF($X10&lt;=20,1,0))</formula>
    </cfRule>
    <cfRule type="expression" dxfId="2430" priority="974">
      <formula>AND(IF($Q10=2,1,0),IF($X10&lt;30,1,0))</formula>
    </cfRule>
    <cfRule type="expression" dxfId="2429" priority="975">
      <formula>AND(IF($Q10=3,1,0),IF($X10&lt;30,1,0))</formula>
    </cfRule>
    <cfRule type="expression" dxfId="2428" priority="976">
      <formula>AND(IF($Q10=3,1,IF($Q10=4,1,0)),IF($F10&lt;=85,1,0))</formula>
    </cfRule>
  </conditionalFormatting>
  <conditionalFormatting sqref="AV11">
    <cfRule type="expression" dxfId="2427" priority="971">
      <formula>AV11="X"</formula>
    </cfRule>
    <cfRule type="expression" dxfId="2426" priority="972">
      <formula>AV11="후보"</formula>
    </cfRule>
  </conditionalFormatting>
  <conditionalFormatting sqref="AC11">
    <cfRule type="cellIs" dxfId="2425" priority="969" operator="greaterThan">
      <formula>0.9</formula>
    </cfRule>
    <cfRule type="cellIs" dxfId="2424" priority="970" operator="greaterThan">
      <formula>0.85</formula>
    </cfRule>
  </conditionalFormatting>
  <conditionalFormatting sqref="N11">
    <cfRule type="cellIs" dxfId="2423" priority="967" operator="greaterThan">
      <formula>0.9</formula>
    </cfRule>
    <cfRule type="cellIs" dxfId="2422" priority="968" operator="greaterThan">
      <formula>0.85</formula>
    </cfRule>
  </conditionalFormatting>
  <conditionalFormatting sqref="E11">
    <cfRule type="expression" dxfId="2421" priority="963">
      <formula>AND(IF(OR($Q11=1,$Q11=2),1,0),IF($X11&lt;=20,1,0))</formula>
    </cfRule>
    <cfRule type="expression" dxfId="2420" priority="964">
      <formula>AND(IF($Q11=2,1,0),IF($X11&lt;30,1,0))</formula>
    </cfRule>
    <cfRule type="expression" dxfId="2419" priority="965">
      <formula>AND(IF($Q11=3,1,0),IF($X11&lt;30,1,0))</formula>
    </cfRule>
    <cfRule type="expression" dxfId="2418" priority="966">
      <formula>AND(IF($Q11=3,1,IF($Q11=4,1,0)),IF($F11&lt;=85,1,0))</formula>
    </cfRule>
  </conditionalFormatting>
  <conditionalFormatting sqref="X11">
    <cfRule type="expression" dxfId="2417" priority="959">
      <formula>AND(IF(OR($Q11=1,$Q11=2),1,0),IF($X11&lt;=20,1,0))</formula>
    </cfRule>
    <cfRule type="expression" dxfId="2416" priority="960">
      <formula>AND(IF($Q11=2,1,0),IF($X11&lt;30,1,0))</formula>
    </cfRule>
    <cfRule type="expression" dxfId="2415" priority="961">
      <formula>AND(IF($Q11=3,1,0),IF($X11&lt;30,1,0))</formula>
    </cfRule>
    <cfRule type="expression" dxfId="2414" priority="962">
      <formula>AND(IF($Q11=3,1,IF($Q11=4,1,0)),IF($F11&lt;=85,1,0))</formula>
    </cfRule>
  </conditionalFormatting>
  <conditionalFormatting sqref="AI11">
    <cfRule type="expression" dxfId="2413" priority="955">
      <formula>AND(IF(OR($Q11=1,$Q11=2),1,0),IF($X11&lt;=20,1,0))</formula>
    </cfRule>
    <cfRule type="expression" dxfId="2412" priority="956">
      <formula>AND(IF($Q11=2,1,0),IF($X11&lt;30,1,0))</formula>
    </cfRule>
    <cfRule type="expression" dxfId="2411" priority="957">
      <formula>AND(IF($Q11=3,1,0),IF($X11&lt;30,1,0))</formula>
    </cfRule>
    <cfRule type="expression" dxfId="2410" priority="958">
      <formula>AND(IF($Q11=3,1,IF($Q11=4,1,0)),IF($F11&lt;=85,1,0))</formula>
    </cfRule>
  </conditionalFormatting>
  <conditionalFormatting sqref="AV12">
    <cfRule type="expression" dxfId="2409" priority="953">
      <formula>AV12="X"</formula>
    </cfRule>
    <cfRule type="expression" dxfId="2408" priority="954">
      <formula>AV12="후보"</formula>
    </cfRule>
  </conditionalFormatting>
  <conditionalFormatting sqref="AC12">
    <cfRule type="cellIs" dxfId="2407" priority="951" operator="greaterThan">
      <formula>0.9</formula>
    </cfRule>
    <cfRule type="cellIs" dxfId="2406" priority="952" operator="greaterThan">
      <formula>0.85</formula>
    </cfRule>
  </conditionalFormatting>
  <conditionalFormatting sqref="N12">
    <cfRule type="cellIs" dxfId="2405" priority="949" operator="greaterThan">
      <formula>0.9</formula>
    </cfRule>
    <cfRule type="cellIs" dxfId="2404" priority="950" operator="greaterThan">
      <formula>0.85</formula>
    </cfRule>
  </conditionalFormatting>
  <conditionalFormatting sqref="E12">
    <cfRule type="expression" dxfId="2403" priority="945">
      <formula>AND(IF(OR($Q12=1,$Q12=2),1,0),IF($X12&lt;=20,1,0))</formula>
    </cfRule>
    <cfRule type="expression" dxfId="2402" priority="946">
      <formula>AND(IF($Q12=2,1,0),IF($X12&lt;30,1,0))</formula>
    </cfRule>
    <cfRule type="expression" dxfId="2401" priority="947">
      <formula>AND(IF($Q12=3,1,0),IF($X12&lt;30,1,0))</formula>
    </cfRule>
    <cfRule type="expression" dxfId="2400" priority="948">
      <formula>AND(IF($Q12=3,1,IF($Q12=4,1,0)),IF($F12&lt;=85,1,0))</formula>
    </cfRule>
  </conditionalFormatting>
  <conditionalFormatting sqref="X12">
    <cfRule type="expression" dxfId="2399" priority="941">
      <formula>AND(IF(OR($Q12=1,$Q12=2),1,0),IF($X12&lt;=20,1,0))</formula>
    </cfRule>
    <cfRule type="expression" dxfId="2398" priority="942">
      <formula>AND(IF($Q12=2,1,0),IF($X12&lt;30,1,0))</formula>
    </cfRule>
    <cfRule type="expression" dxfId="2397" priority="943">
      <formula>AND(IF($Q12=3,1,0),IF($X12&lt;30,1,0))</formula>
    </cfRule>
    <cfRule type="expression" dxfId="2396" priority="944">
      <formula>AND(IF($Q12=3,1,IF($Q12=4,1,0)),IF($F12&lt;=85,1,0))</formula>
    </cfRule>
  </conditionalFormatting>
  <conditionalFormatting sqref="AI12">
    <cfRule type="expression" dxfId="2395" priority="937">
      <formula>AND(IF(OR($Q12=1,$Q12=2),1,0),IF($X12&lt;=20,1,0))</formula>
    </cfRule>
    <cfRule type="expression" dxfId="2394" priority="938">
      <formula>AND(IF($Q12=2,1,0),IF($X12&lt;30,1,0))</formula>
    </cfRule>
    <cfRule type="expression" dxfId="2393" priority="939">
      <formula>AND(IF($Q12=3,1,0),IF($X12&lt;30,1,0))</formula>
    </cfRule>
    <cfRule type="expression" dxfId="2392" priority="940">
      <formula>AND(IF($Q12=3,1,IF($Q12=4,1,0)),IF($F12&lt;=85,1,0))</formula>
    </cfRule>
  </conditionalFormatting>
  <conditionalFormatting sqref="AV13">
    <cfRule type="expression" dxfId="2391" priority="935">
      <formula>AV13="X"</formula>
    </cfRule>
    <cfRule type="expression" dxfId="2390" priority="936">
      <formula>AV13="후보"</formula>
    </cfRule>
  </conditionalFormatting>
  <conditionalFormatting sqref="AC13">
    <cfRule type="cellIs" dxfId="2389" priority="933" operator="greaterThan">
      <formula>0.9</formula>
    </cfRule>
    <cfRule type="cellIs" dxfId="2388" priority="934" operator="greaterThan">
      <formula>0.85</formula>
    </cfRule>
  </conditionalFormatting>
  <conditionalFormatting sqref="N13">
    <cfRule type="cellIs" dxfId="2387" priority="931" operator="greaterThan">
      <formula>0.9</formula>
    </cfRule>
    <cfRule type="cellIs" dxfId="2386" priority="932" operator="greaterThan">
      <formula>0.85</formula>
    </cfRule>
  </conditionalFormatting>
  <conditionalFormatting sqref="E13">
    <cfRule type="expression" dxfId="2385" priority="927">
      <formula>AND(IF(OR($Q13=1,$Q13=2),1,0),IF($X13&lt;=20,1,0))</formula>
    </cfRule>
    <cfRule type="expression" dxfId="2384" priority="928">
      <formula>AND(IF($Q13=2,1,0),IF($X13&lt;30,1,0))</formula>
    </cfRule>
    <cfRule type="expression" dxfId="2383" priority="929">
      <formula>AND(IF($Q13=3,1,0),IF($X13&lt;30,1,0))</formula>
    </cfRule>
    <cfRule type="expression" dxfId="2382" priority="930">
      <formula>AND(IF($Q13=3,1,IF($Q13=4,1,0)),IF($F13&lt;=85,1,0))</formula>
    </cfRule>
  </conditionalFormatting>
  <conditionalFormatting sqref="X13">
    <cfRule type="expression" dxfId="2381" priority="923">
      <formula>AND(IF(OR($Q13=1,$Q13=2),1,0),IF($X13&lt;=20,1,0))</formula>
    </cfRule>
    <cfRule type="expression" dxfId="2380" priority="924">
      <formula>AND(IF($Q13=2,1,0),IF($X13&lt;30,1,0))</formula>
    </cfRule>
    <cfRule type="expression" dxfId="2379" priority="925">
      <formula>AND(IF($Q13=3,1,0),IF($X13&lt;30,1,0))</formula>
    </cfRule>
    <cfRule type="expression" dxfId="2378" priority="926">
      <formula>AND(IF($Q13=3,1,IF($Q13=4,1,0)),IF($F13&lt;=85,1,0))</formula>
    </cfRule>
  </conditionalFormatting>
  <conditionalFormatting sqref="AI13">
    <cfRule type="expression" dxfId="2377" priority="919">
      <formula>AND(IF(OR($Q13=1,$Q13=2),1,0),IF($X13&lt;=20,1,0))</formula>
    </cfRule>
    <cfRule type="expression" dxfId="2376" priority="920">
      <formula>AND(IF($Q13=2,1,0),IF($X13&lt;30,1,0))</formula>
    </cfRule>
    <cfRule type="expression" dxfId="2375" priority="921">
      <formula>AND(IF($Q13=3,1,0),IF($X13&lt;30,1,0))</formula>
    </cfRule>
    <cfRule type="expression" dxfId="2374" priority="922">
      <formula>AND(IF($Q13=3,1,IF($Q13=4,1,0)),IF($F13&lt;=85,1,0))</formula>
    </cfRule>
  </conditionalFormatting>
  <conditionalFormatting sqref="AV14">
    <cfRule type="expression" dxfId="2373" priority="917">
      <formula>AV14="X"</formula>
    </cfRule>
    <cfRule type="expression" dxfId="2372" priority="918">
      <formula>AV14="후보"</formula>
    </cfRule>
  </conditionalFormatting>
  <conditionalFormatting sqref="AC14">
    <cfRule type="cellIs" dxfId="2371" priority="915" operator="greaterThan">
      <formula>0.9</formula>
    </cfRule>
    <cfRule type="cellIs" dxfId="2370" priority="916" operator="greaterThan">
      <formula>0.85</formula>
    </cfRule>
  </conditionalFormatting>
  <conditionalFormatting sqref="N14">
    <cfRule type="cellIs" dxfId="2369" priority="913" operator="greaterThan">
      <formula>0.9</formula>
    </cfRule>
    <cfRule type="cellIs" dxfId="2368" priority="914" operator="greaterThan">
      <formula>0.85</formula>
    </cfRule>
  </conditionalFormatting>
  <conditionalFormatting sqref="E14">
    <cfRule type="expression" dxfId="2367" priority="909">
      <formula>AND(IF(OR($Q14=1,$Q14=2),1,0),IF($X14&lt;=20,1,0))</formula>
    </cfRule>
    <cfRule type="expression" dxfId="2366" priority="910">
      <formula>AND(IF($Q14=2,1,0),IF($X14&lt;30,1,0))</formula>
    </cfRule>
    <cfRule type="expression" dxfId="2365" priority="911">
      <formula>AND(IF($Q14=3,1,0),IF($X14&lt;30,1,0))</formula>
    </cfRule>
    <cfRule type="expression" dxfId="2364" priority="912">
      <formula>AND(IF($Q14=3,1,IF($Q14=4,1,0)),IF($F14&lt;=85,1,0))</formula>
    </cfRule>
  </conditionalFormatting>
  <conditionalFormatting sqref="X14">
    <cfRule type="expression" dxfId="2363" priority="905">
      <formula>AND(IF(OR($Q14=1,$Q14=2),1,0),IF($X14&lt;=20,1,0))</formula>
    </cfRule>
    <cfRule type="expression" dxfId="2362" priority="906">
      <formula>AND(IF($Q14=2,1,0),IF($X14&lt;30,1,0))</formula>
    </cfRule>
    <cfRule type="expression" dxfId="2361" priority="907">
      <formula>AND(IF($Q14=3,1,0),IF($X14&lt;30,1,0))</formula>
    </cfRule>
    <cfRule type="expression" dxfId="2360" priority="908">
      <formula>AND(IF($Q14=3,1,IF($Q14=4,1,0)),IF($F14&lt;=85,1,0))</formula>
    </cfRule>
  </conditionalFormatting>
  <conditionalFormatting sqref="AI14">
    <cfRule type="expression" dxfId="2359" priority="901">
      <formula>AND(IF(OR($Q14=1,$Q14=2),1,0),IF($X14&lt;=20,1,0))</formula>
    </cfRule>
    <cfRule type="expression" dxfId="2358" priority="902">
      <formula>AND(IF($Q14=2,1,0),IF($X14&lt;30,1,0))</formula>
    </cfRule>
    <cfRule type="expression" dxfId="2357" priority="903">
      <formula>AND(IF($Q14=3,1,0),IF($X14&lt;30,1,0))</formula>
    </cfRule>
    <cfRule type="expression" dxfId="2356" priority="904">
      <formula>AND(IF($Q14=3,1,IF($Q14=4,1,0)),IF($F14&lt;=85,1,0))</formula>
    </cfRule>
  </conditionalFormatting>
  <conditionalFormatting sqref="AV15">
    <cfRule type="expression" dxfId="2355" priority="899">
      <formula>AV15="X"</formula>
    </cfRule>
    <cfRule type="expression" dxfId="2354" priority="900">
      <formula>AV15="후보"</formula>
    </cfRule>
  </conditionalFormatting>
  <conditionalFormatting sqref="AC15">
    <cfRule type="cellIs" dxfId="2353" priority="897" operator="greaterThan">
      <formula>0.9</formula>
    </cfRule>
    <cfRule type="cellIs" dxfId="2352" priority="898" operator="greaterThan">
      <formula>0.85</formula>
    </cfRule>
  </conditionalFormatting>
  <conditionalFormatting sqref="N15">
    <cfRule type="cellIs" dxfId="2351" priority="895" operator="greaterThan">
      <formula>0.9</formula>
    </cfRule>
    <cfRule type="cellIs" dxfId="2350" priority="896" operator="greaterThan">
      <formula>0.85</formula>
    </cfRule>
  </conditionalFormatting>
  <conditionalFormatting sqref="E15">
    <cfRule type="expression" dxfId="2349" priority="891">
      <formula>AND(IF(OR($Q15=1,$Q15=2),1,0),IF($X15&lt;=20,1,0))</formula>
    </cfRule>
    <cfRule type="expression" dxfId="2348" priority="892">
      <formula>AND(IF($Q15=2,1,0),IF($X15&lt;30,1,0))</formula>
    </cfRule>
    <cfRule type="expression" dxfId="2347" priority="893">
      <formula>AND(IF($Q15=3,1,0),IF($X15&lt;30,1,0))</formula>
    </cfRule>
    <cfRule type="expression" dxfId="2346" priority="894">
      <formula>AND(IF($Q15=3,1,IF($Q15=4,1,0)),IF($F15&lt;=85,1,0))</formula>
    </cfRule>
  </conditionalFormatting>
  <conditionalFormatting sqref="X15">
    <cfRule type="expression" dxfId="2345" priority="887">
      <formula>AND(IF(OR($Q15=1,$Q15=2),1,0),IF($X15&lt;=20,1,0))</formula>
    </cfRule>
    <cfRule type="expression" dxfId="2344" priority="888">
      <formula>AND(IF($Q15=2,1,0),IF($X15&lt;30,1,0))</formula>
    </cfRule>
    <cfRule type="expression" dxfId="2343" priority="889">
      <formula>AND(IF($Q15=3,1,0),IF($X15&lt;30,1,0))</formula>
    </cfRule>
    <cfRule type="expression" dxfId="2342" priority="890">
      <formula>AND(IF($Q15=3,1,IF($Q15=4,1,0)),IF($F15&lt;=85,1,0))</formula>
    </cfRule>
  </conditionalFormatting>
  <conditionalFormatting sqref="AI15">
    <cfRule type="expression" dxfId="2341" priority="883">
      <formula>AND(IF(OR($Q15=1,$Q15=2),1,0),IF($X15&lt;=20,1,0))</formula>
    </cfRule>
    <cfRule type="expression" dxfId="2340" priority="884">
      <formula>AND(IF($Q15=2,1,0),IF($X15&lt;30,1,0))</formula>
    </cfRule>
    <cfRule type="expression" dxfId="2339" priority="885">
      <formula>AND(IF($Q15=3,1,0),IF($X15&lt;30,1,0))</formula>
    </cfRule>
    <cfRule type="expression" dxfId="2338" priority="886">
      <formula>AND(IF($Q15=3,1,IF($Q15=4,1,0)),IF($F15&lt;=85,1,0))</formula>
    </cfRule>
  </conditionalFormatting>
  <conditionalFormatting sqref="AV16">
    <cfRule type="expression" dxfId="2337" priority="881">
      <formula>AV16="X"</formula>
    </cfRule>
    <cfRule type="expression" dxfId="2336" priority="882">
      <formula>AV16="후보"</formula>
    </cfRule>
  </conditionalFormatting>
  <conditionalFormatting sqref="AC16">
    <cfRule type="cellIs" dxfId="2335" priority="879" operator="greaterThan">
      <formula>0.9</formula>
    </cfRule>
    <cfRule type="cellIs" dxfId="2334" priority="880" operator="greaterThan">
      <formula>0.85</formula>
    </cfRule>
  </conditionalFormatting>
  <conditionalFormatting sqref="N16">
    <cfRule type="cellIs" dxfId="2333" priority="877" operator="greaterThan">
      <formula>0.9</formula>
    </cfRule>
    <cfRule type="cellIs" dxfId="2332" priority="878" operator="greaterThan">
      <formula>0.85</formula>
    </cfRule>
  </conditionalFormatting>
  <conditionalFormatting sqref="E16">
    <cfRule type="expression" dxfId="2331" priority="873">
      <formula>AND(IF(OR($Q16=1,$Q16=2),1,0),IF($X16&lt;=20,1,0))</formula>
    </cfRule>
    <cfRule type="expression" dxfId="2330" priority="874">
      <formula>AND(IF($Q16=2,1,0),IF($X16&lt;30,1,0))</formula>
    </cfRule>
    <cfRule type="expression" dxfId="2329" priority="875">
      <formula>AND(IF($Q16=3,1,0),IF($X16&lt;30,1,0))</formula>
    </cfRule>
    <cfRule type="expression" dxfId="2328" priority="876">
      <formula>AND(IF($Q16=3,1,IF($Q16=4,1,0)),IF($F16&lt;=85,1,0))</formula>
    </cfRule>
  </conditionalFormatting>
  <conditionalFormatting sqref="X16">
    <cfRule type="expression" dxfId="2327" priority="869">
      <formula>AND(IF(OR($Q16=1,$Q16=2),1,0),IF($X16&lt;=20,1,0))</formula>
    </cfRule>
    <cfRule type="expression" dxfId="2326" priority="870">
      <formula>AND(IF($Q16=2,1,0),IF($X16&lt;30,1,0))</formula>
    </cfRule>
    <cfRule type="expression" dxfId="2325" priority="871">
      <formula>AND(IF($Q16=3,1,0),IF($X16&lt;30,1,0))</formula>
    </cfRule>
    <cfRule type="expression" dxfId="2324" priority="872">
      <formula>AND(IF($Q16=3,1,IF($Q16=4,1,0)),IF($F16&lt;=85,1,0))</formula>
    </cfRule>
  </conditionalFormatting>
  <conditionalFormatting sqref="AI16">
    <cfRule type="expression" dxfId="2323" priority="865">
      <formula>AND(IF(OR($Q16=1,$Q16=2),1,0),IF($X16&lt;=20,1,0))</formula>
    </cfRule>
    <cfRule type="expression" dxfId="2322" priority="866">
      <formula>AND(IF($Q16=2,1,0),IF($X16&lt;30,1,0))</formula>
    </cfRule>
    <cfRule type="expression" dxfId="2321" priority="867">
      <formula>AND(IF($Q16=3,1,0),IF($X16&lt;30,1,0))</formula>
    </cfRule>
    <cfRule type="expression" dxfId="2320" priority="868">
      <formula>AND(IF($Q16=3,1,IF($Q16=4,1,0)),IF($F16&lt;=85,1,0))</formula>
    </cfRule>
  </conditionalFormatting>
  <conditionalFormatting sqref="AV17">
    <cfRule type="expression" dxfId="2319" priority="863">
      <formula>AV17="X"</formula>
    </cfRule>
    <cfRule type="expression" dxfId="2318" priority="864">
      <formula>AV17="후보"</formula>
    </cfRule>
  </conditionalFormatting>
  <conditionalFormatting sqref="AC17">
    <cfRule type="cellIs" dxfId="2317" priority="861" operator="greaterThan">
      <formula>0.9</formula>
    </cfRule>
    <cfRule type="cellIs" dxfId="2316" priority="862" operator="greaterThan">
      <formula>0.85</formula>
    </cfRule>
  </conditionalFormatting>
  <conditionalFormatting sqref="N17">
    <cfRule type="cellIs" dxfId="2315" priority="859" operator="greaterThan">
      <formula>0.9</formula>
    </cfRule>
    <cfRule type="cellIs" dxfId="2314" priority="860" operator="greaterThan">
      <formula>0.85</formula>
    </cfRule>
  </conditionalFormatting>
  <conditionalFormatting sqref="E17">
    <cfRule type="expression" dxfId="2313" priority="855">
      <formula>AND(IF(OR($Q17=1,$Q17=2),1,0),IF($X17&lt;=20,1,0))</formula>
    </cfRule>
    <cfRule type="expression" dxfId="2312" priority="856">
      <formula>AND(IF($Q17=2,1,0),IF($X17&lt;30,1,0))</formula>
    </cfRule>
    <cfRule type="expression" dxfId="2311" priority="857">
      <formula>AND(IF($Q17=3,1,0),IF($X17&lt;30,1,0))</formula>
    </cfRule>
    <cfRule type="expression" dxfId="2310" priority="858">
      <formula>AND(IF($Q17=3,1,IF($Q17=4,1,0)),IF($F17&lt;=85,1,0))</formula>
    </cfRule>
  </conditionalFormatting>
  <conditionalFormatting sqref="X17">
    <cfRule type="expression" dxfId="2309" priority="851">
      <formula>AND(IF(OR($Q17=1,$Q17=2),1,0),IF($X17&lt;=20,1,0))</formula>
    </cfRule>
    <cfRule type="expression" dxfId="2308" priority="852">
      <formula>AND(IF($Q17=2,1,0),IF($X17&lt;30,1,0))</formula>
    </cfRule>
    <cfRule type="expression" dxfId="2307" priority="853">
      <formula>AND(IF($Q17=3,1,0),IF($X17&lt;30,1,0))</formula>
    </cfRule>
    <cfRule type="expression" dxfId="2306" priority="854">
      <formula>AND(IF($Q17=3,1,IF($Q17=4,1,0)),IF($F17&lt;=85,1,0))</formula>
    </cfRule>
  </conditionalFormatting>
  <conditionalFormatting sqref="AI17">
    <cfRule type="expression" dxfId="2305" priority="847">
      <formula>AND(IF(OR($Q17=1,$Q17=2),1,0),IF($X17&lt;=20,1,0))</formula>
    </cfRule>
    <cfRule type="expression" dxfId="2304" priority="848">
      <formula>AND(IF($Q17=2,1,0),IF($X17&lt;30,1,0))</formula>
    </cfRule>
    <cfRule type="expression" dxfId="2303" priority="849">
      <formula>AND(IF($Q17=3,1,0),IF($X17&lt;30,1,0))</formula>
    </cfRule>
    <cfRule type="expression" dxfId="2302" priority="850">
      <formula>AND(IF($Q17=3,1,IF($Q17=4,1,0)),IF($F17&lt;=85,1,0))</formula>
    </cfRule>
  </conditionalFormatting>
  <conditionalFormatting sqref="AV18">
    <cfRule type="expression" dxfId="2301" priority="845">
      <formula>AV18="X"</formula>
    </cfRule>
    <cfRule type="expression" dxfId="2300" priority="846">
      <formula>AV18="후보"</formula>
    </cfRule>
  </conditionalFormatting>
  <conditionalFormatting sqref="AC18">
    <cfRule type="cellIs" dxfId="2299" priority="843" operator="greaterThan">
      <formula>0.9</formula>
    </cfRule>
    <cfRule type="cellIs" dxfId="2298" priority="844" operator="greaterThan">
      <formula>0.85</formula>
    </cfRule>
  </conditionalFormatting>
  <conditionalFormatting sqref="N18">
    <cfRule type="cellIs" dxfId="2297" priority="841" operator="greaterThan">
      <formula>0.9</formula>
    </cfRule>
    <cfRule type="cellIs" dxfId="2296" priority="842" operator="greaterThan">
      <formula>0.85</formula>
    </cfRule>
  </conditionalFormatting>
  <conditionalFormatting sqref="E18">
    <cfRule type="expression" dxfId="2295" priority="837">
      <formula>AND(IF(OR($Q18=1,$Q18=2),1,0),IF($X18&lt;=20,1,0))</formula>
    </cfRule>
    <cfRule type="expression" dxfId="2294" priority="838">
      <formula>AND(IF($Q18=2,1,0),IF($X18&lt;30,1,0))</formula>
    </cfRule>
    <cfRule type="expression" dxfId="2293" priority="839">
      <formula>AND(IF($Q18=3,1,0),IF($X18&lt;30,1,0))</formula>
    </cfRule>
    <cfRule type="expression" dxfId="2292" priority="840">
      <formula>AND(IF($Q18=3,1,IF($Q18=4,1,0)),IF($F18&lt;=85,1,0))</formula>
    </cfRule>
  </conditionalFormatting>
  <conditionalFormatting sqref="X18">
    <cfRule type="expression" dxfId="2291" priority="833">
      <formula>AND(IF(OR($Q18=1,$Q18=2),1,0),IF($X18&lt;=20,1,0))</formula>
    </cfRule>
    <cfRule type="expression" dxfId="2290" priority="834">
      <formula>AND(IF($Q18=2,1,0),IF($X18&lt;30,1,0))</formula>
    </cfRule>
    <cfRule type="expression" dxfId="2289" priority="835">
      <formula>AND(IF($Q18=3,1,0),IF($X18&lt;30,1,0))</formula>
    </cfRule>
    <cfRule type="expression" dxfId="2288" priority="836">
      <formula>AND(IF($Q18=3,1,IF($Q18=4,1,0)),IF($F18&lt;=85,1,0))</formula>
    </cfRule>
  </conditionalFormatting>
  <conditionalFormatting sqref="AI18">
    <cfRule type="expression" dxfId="2287" priority="829">
      <formula>AND(IF(OR($Q18=1,$Q18=2),1,0),IF($X18&lt;=20,1,0))</formula>
    </cfRule>
    <cfRule type="expression" dxfId="2286" priority="830">
      <formula>AND(IF($Q18=2,1,0),IF($X18&lt;30,1,0))</formula>
    </cfRule>
    <cfRule type="expression" dxfId="2285" priority="831">
      <formula>AND(IF($Q18=3,1,0),IF($X18&lt;30,1,0))</formula>
    </cfRule>
    <cfRule type="expression" dxfId="2284" priority="832">
      <formula>AND(IF($Q18=3,1,IF($Q18=4,1,0)),IF($F18&lt;=85,1,0))</formula>
    </cfRule>
  </conditionalFormatting>
  <conditionalFormatting sqref="AV19">
    <cfRule type="expression" dxfId="2283" priority="827">
      <formula>AV19="X"</formula>
    </cfRule>
    <cfRule type="expression" dxfId="2282" priority="828">
      <formula>AV19="후보"</formula>
    </cfRule>
  </conditionalFormatting>
  <conditionalFormatting sqref="AC19">
    <cfRule type="cellIs" dxfId="2281" priority="825" operator="greaterThan">
      <formula>0.9</formula>
    </cfRule>
    <cfRule type="cellIs" dxfId="2280" priority="826" operator="greaterThan">
      <formula>0.85</formula>
    </cfRule>
  </conditionalFormatting>
  <conditionalFormatting sqref="N19">
    <cfRule type="cellIs" dxfId="2279" priority="823" operator="greaterThan">
      <formula>0.9</formula>
    </cfRule>
    <cfRule type="cellIs" dxfId="2278" priority="824" operator="greaterThan">
      <formula>0.85</formula>
    </cfRule>
  </conditionalFormatting>
  <conditionalFormatting sqref="E19">
    <cfRule type="expression" dxfId="2277" priority="819">
      <formula>AND(IF(OR($Q19=1,$Q19=2),1,0),IF($X19&lt;=20,1,0))</formula>
    </cfRule>
    <cfRule type="expression" dxfId="2276" priority="820">
      <formula>AND(IF($Q19=2,1,0),IF($X19&lt;30,1,0))</formula>
    </cfRule>
    <cfRule type="expression" dxfId="2275" priority="821">
      <formula>AND(IF($Q19=3,1,0),IF($X19&lt;30,1,0))</formula>
    </cfRule>
    <cfRule type="expression" dxfId="2274" priority="822">
      <formula>AND(IF($Q19=3,1,IF($Q19=4,1,0)),IF($F19&lt;=85,1,0))</formula>
    </cfRule>
  </conditionalFormatting>
  <conditionalFormatting sqref="X19">
    <cfRule type="expression" dxfId="2273" priority="815">
      <formula>AND(IF(OR($Q19=1,$Q19=2),1,0),IF($X19&lt;=20,1,0))</formula>
    </cfRule>
    <cfRule type="expression" dxfId="2272" priority="816">
      <formula>AND(IF($Q19=2,1,0),IF($X19&lt;30,1,0))</formula>
    </cfRule>
    <cfRule type="expression" dxfId="2271" priority="817">
      <formula>AND(IF($Q19=3,1,0),IF($X19&lt;30,1,0))</formula>
    </cfRule>
    <cfRule type="expression" dxfId="2270" priority="818">
      <formula>AND(IF($Q19=3,1,IF($Q19=4,1,0)),IF($F19&lt;=85,1,0))</formula>
    </cfRule>
  </conditionalFormatting>
  <conditionalFormatting sqref="AI19">
    <cfRule type="expression" dxfId="2269" priority="811">
      <formula>AND(IF(OR($Q19=1,$Q19=2),1,0),IF($X19&lt;=20,1,0))</formula>
    </cfRule>
    <cfRule type="expression" dxfId="2268" priority="812">
      <formula>AND(IF($Q19=2,1,0),IF($X19&lt;30,1,0))</formula>
    </cfRule>
    <cfRule type="expression" dxfId="2267" priority="813">
      <formula>AND(IF($Q19=3,1,0),IF($X19&lt;30,1,0))</formula>
    </cfRule>
    <cfRule type="expression" dxfId="2266" priority="814">
      <formula>AND(IF($Q19=3,1,IF($Q19=4,1,0)),IF($F19&lt;=85,1,0))</formula>
    </cfRule>
  </conditionalFormatting>
  <conditionalFormatting sqref="AV20">
    <cfRule type="expression" dxfId="2265" priority="809">
      <formula>AV20="X"</formula>
    </cfRule>
    <cfRule type="expression" dxfId="2264" priority="810">
      <formula>AV20="후보"</formula>
    </cfRule>
  </conditionalFormatting>
  <conditionalFormatting sqref="AC20">
    <cfRule type="cellIs" dxfId="2263" priority="807" operator="greaterThan">
      <formula>0.9</formula>
    </cfRule>
    <cfRule type="cellIs" dxfId="2262" priority="808" operator="greaterThan">
      <formula>0.85</formula>
    </cfRule>
  </conditionalFormatting>
  <conditionalFormatting sqref="N20">
    <cfRule type="cellIs" dxfId="2261" priority="805" operator="greaterThan">
      <formula>0.9</formula>
    </cfRule>
    <cfRule type="cellIs" dxfId="2260" priority="806" operator="greaterThan">
      <formula>0.85</formula>
    </cfRule>
  </conditionalFormatting>
  <conditionalFormatting sqref="E20">
    <cfRule type="expression" dxfId="2259" priority="801">
      <formula>AND(IF(OR($Q20=1,$Q20=2),1,0),IF($X20&lt;=20,1,0))</formula>
    </cfRule>
    <cfRule type="expression" dxfId="2258" priority="802">
      <formula>AND(IF($Q20=2,1,0),IF($X20&lt;30,1,0))</formula>
    </cfRule>
    <cfRule type="expression" dxfId="2257" priority="803">
      <formula>AND(IF($Q20=3,1,0),IF($X20&lt;30,1,0))</formula>
    </cfRule>
    <cfRule type="expression" dxfId="2256" priority="804">
      <formula>AND(IF($Q20=3,1,IF($Q20=4,1,0)),IF($F20&lt;=85,1,0))</formula>
    </cfRule>
  </conditionalFormatting>
  <conditionalFormatting sqref="X20">
    <cfRule type="expression" dxfId="2255" priority="797">
      <formula>AND(IF(OR($Q20=1,$Q20=2),1,0),IF($X20&lt;=20,1,0))</formula>
    </cfRule>
    <cfRule type="expression" dxfId="2254" priority="798">
      <formula>AND(IF($Q20=2,1,0),IF($X20&lt;30,1,0))</formula>
    </cfRule>
    <cfRule type="expression" dxfId="2253" priority="799">
      <formula>AND(IF($Q20=3,1,0),IF($X20&lt;30,1,0))</formula>
    </cfRule>
    <cfRule type="expression" dxfId="2252" priority="800">
      <formula>AND(IF($Q20=3,1,IF($Q20=4,1,0)),IF($F20&lt;=85,1,0))</formula>
    </cfRule>
  </conditionalFormatting>
  <conditionalFormatting sqref="AI20">
    <cfRule type="expression" dxfId="2251" priority="793">
      <formula>AND(IF(OR($Q20=1,$Q20=2),1,0),IF($X20&lt;=20,1,0))</formula>
    </cfRule>
    <cfRule type="expression" dxfId="2250" priority="794">
      <formula>AND(IF($Q20=2,1,0),IF($X20&lt;30,1,0))</formula>
    </cfRule>
    <cfRule type="expression" dxfId="2249" priority="795">
      <formula>AND(IF($Q20=3,1,0),IF($X20&lt;30,1,0))</formula>
    </cfRule>
    <cfRule type="expression" dxfId="2248" priority="796">
      <formula>AND(IF($Q20=3,1,IF($Q20=4,1,0)),IF($F20&lt;=85,1,0))</formula>
    </cfRule>
  </conditionalFormatting>
  <conditionalFormatting sqref="AV21">
    <cfRule type="expression" dxfId="2247" priority="791">
      <formula>AV21="X"</formula>
    </cfRule>
    <cfRule type="expression" dxfId="2246" priority="792">
      <formula>AV21="후보"</formula>
    </cfRule>
  </conditionalFormatting>
  <conditionalFormatting sqref="AC21">
    <cfRule type="cellIs" dxfId="2245" priority="789" operator="greaterThan">
      <formula>0.9</formula>
    </cfRule>
    <cfRule type="cellIs" dxfId="2244" priority="790" operator="greaterThan">
      <formula>0.85</formula>
    </cfRule>
  </conditionalFormatting>
  <conditionalFormatting sqref="N21">
    <cfRule type="cellIs" dxfId="2243" priority="787" operator="greaterThan">
      <formula>0.9</formula>
    </cfRule>
    <cfRule type="cellIs" dxfId="2242" priority="788" operator="greaterThan">
      <formula>0.85</formula>
    </cfRule>
  </conditionalFormatting>
  <conditionalFormatting sqref="E21">
    <cfRule type="expression" dxfId="2241" priority="783">
      <formula>AND(IF(OR($Q21=1,$Q21=2),1,0),IF($X21&lt;=20,1,0))</formula>
    </cfRule>
    <cfRule type="expression" dxfId="2240" priority="784">
      <formula>AND(IF($Q21=2,1,0),IF($X21&lt;30,1,0))</formula>
    </cfRule>
    <cfRule type="expression" dxfId="2239" priority="785">
      <formula>AND(IF($Q21=3,1,0),IF($X21&lt;30,1,0))</formula>
    </cfRule>
    <cfRule type="expression" dxfId="2238" priority="786">
      <formula>AND(IF($Q21=3,1,IF($Q21=4,1,0)),IF($F21&lt;=85,1,0))</formula>
    </cfRule>
  </conditionalFormatting>
  <conditionalFormatting sqref="X21">
    <cfRule type="expression" dxfId="2237" priority="779">
      <formula>AND(IF(OR($Q21=1,$Q21=2),1,0),IF($X21&lt;=20,1,0))</formula>
    </cfRule>
    <cfRule type="expression" dxfId="2236" priority="780">
      <formula>AND(IF($Q21=2,1,0),IF($X21&lt;30,1,0))</formula>
    </cfRule>
    <cfRule type="expression" dxfId="2235" priority="781">
      <formula>AND(IF($Q21=3,1,0),IF($X21&lt;30,1,0))</formula>
    </cfRule>
    <cfRule type="expression" dxfId="2234" priority="782">
      <formula>AND(IF($Q21=3,1,IF($Q21=4,1,0)),IF($F21&lt;=85,1,0))</formula>
    </cfRule>
  </conditionalFormatting>
  <conditionalFormatting sqref="AI21">
    <cfRule type="expression" dxfId="2233" priority="775">
      <formula>AND(IF(OR($Q21=1,$Q21=2),1,0),IF($X21&lt;=20,1,0))</formula>
    </cfRule>
    <cfRule type="expression" dxfId="2232" priority="776">
      <formula>AND(IF($Q21=2,1,0),IF($X21&lt;30,1,0))</formula>
    </cfRule>
    <cfRule type="expression" dxfId="2231" priority="777">
      <formula>AND(IF($Q21=3,1,0),IF($X21&lt;30,1,0))</formula>
    </cfRule>
    <cfRule type="expression" dxfId="2230" priority="778">
      <formula>AND(IF($Q21=3,1,IF($Q21=4,1,0)),IF($F21&lt;=85,1,0))</formula>
    </cfRule>
  </conditionalFormatting>
  <conditionalFormatting sqref="AV22">
    <cfRule type="expression" dxfId="2229" priority="773">
      <formula>AV22="X"</formula>
    </cfRule>
    <cfRule type="expression" dxfId="2228" priority="774">
      <formula>AV22="후보"</formula>
    </cfRule>
  </conditionalFormatting>
  <conditionalFormatting sqref="AC22">
    <cfRule type="cellIs" dxfId="2227" priority="771" operator="greaterThan">
      <formula>0.9</formula>
    </cfRule>
    <cfRule type="cellIs" dxfId="2226" priority="772" operator="greaterThan">
      <formula>0.85</formula>
    </cfRule>
  </conditionalFormatting>
  <conditionalFormatting sqref="N22">
    <cfRule type="cellIs" dxfId="2225" priority="769" operator="greaterThan">
      <formula>0.9</formula>
    </cfRule>
    <cfRule type="cellIs" dxfId="2224" priority="770" operator="greaterThan">
      <formula>0.85</formula>
    </cfRule>
  </conditionalFormatting>
  <conditionalFormatting sqref="E22">
    <cfRule type="expression" dxfId="2223" priority="765">
      <formula>AND(IF(OR($Q22=1,$Q22=2),1,0),IF($X22&lt;=20,1,0))</formula>
    </cfRule>
    <cfRule type="expression" dxfId="2222" priority="766">
      <formula>AND(IF($Q22=2,1,0),IF($X22&lt;30,1,0))</formula>
    </cfRule>
    <cfRule type="expression" dxfId="2221" priority="767">
      <formula>AND(IF($Q22=3,1,0),IF($X22&lt;30,1,0))</formula>
    </cfRule>
    <cfRule type="expression" dxfId="2220" priority="768">
      <formula>AND(IF($Q22=3,1,IF($Q22=4,1,0)),IF($F22&lt;=85,1,0))</formula>
    </cfRule>
  </conditionalFormatting>
  <conditionalFormatting sqref="X22">
    <cfRule type="expression" dxfId="2219" priority="761">
      <formula>AND(IF(OR($Q22=1,$Q22=2),1,0),IF($X22&lt;=20,1,0))</formula>
    </cfRule>
    <cfRule type="expression" dxfId="2218" priority="762">
      <formula>AND(IF($Q22=2,1,0),IF($X22&lt;30,1,0))</formula>
    </cfRule>
    <cfRule type="expression" dxfId="2217" priority="763">
      <formula>AND(IF($Q22=3,1,0),IF($X22&lt;30,1,0))</formula>
    </cfRule>
    <cfRule type="expression" dxfId="2216" priority="764">
      <formula>AND(IF($Q22=3,1,IF($Q22=4,1,0)),IF($F22&lt;=85,1,0))</formula>
    </cfRule>
  </conditionalFormatting>
  <conditionalFormatting sqref="AI22">
    <cfRule type="expression" dxfId="2215" priority="757">
      <formula>AND(IF(OR($Q22=1,$Q22=2),1,0),IF($X22&lt;=20,1,0))</formula>
    </cfRule>
    <cfRule type="expression" dxfId="2214" priority="758">
      <formula>AND(IF($Q22=2,1,0),IF($X22&lt;30,1,0))</formula>
    </cfRule>
    <cfRule type="expression" dxfId="2213" priority="759">
      <formula>AND(IF($Q22=3,1,0),IF($X22&lt;30,1,0))</formula>
    </cfRule>
    <cfRule type="expression" dxfId="2212" priority="760">
      <formula>AND(IF($Q22=3,1,IF($Q22=4,1,0)),IF($F22&lt;=85,1,0))</formula>
    </cfRule>
  </conditionalFormatting>
  <conditionalFormatting sqref="AV23">
    <cfRule type="expression" dxfId="2211" priority="755">
      <formula>AV23="X"</formula>
    </cfRule>
    <cfRule type="expression" dxfId="2210" priority="756">
      <formula>AV23="후보"</formula>
    </cfRule>
  </conditionalFormatting>
  <conditionalFormatting sqref="AC23">
    <cfRule type="cellIs" dxfId="2209" priority="753" operator="greaterThan">
      <formula>0.9</formula>
    </cfRule>
    <cfRule type="cellIs" dxfId="2208" priority="754" operator="greaterThan">
      <formula>0.85</formula>
    </cfRule>
  </conditionalFormatting>
  <conditionalFormatting sqref="N23">
    <cfRule type="cellIs" dxfId="2207" priority="751" operator="greaterThan">
      <formula>0.9</formula>
    </cfRule>
    <cfRule type="cellIs" dxfId="2206" priority="752" operator="greaterThan">
      <formula>0.85</formula>
    </cfRule>
  </conditionalFormatting>
  <conditionalFormatting sqref="E23">
    <cfRule type="expression" dxfId="2205" priority="747">
      <formula>AND(IF(OR($Q23=1,$Q23=2),1,0),IF($X23&lt;=20,1,0))</formula>
    </cfRule>
    <cfRule type="expression" dxfId="2204" priority="748">
      <formula>AND(IF($Q23=2,1,0),IF($X23&lt;30,1,0))</formula>
    </cfRule>
    <cfRule type="expression" dxfId="2203" priority="749">
      <formula>AND(IF($Q23=3,1,0),IF($X23&lt;30,1,0))</formula>
    </cfRule>
    <cfRule type="expression" dxfId="2202" priority="750">
      <formula>AND(IF($Q23=3,1,IF($Q23=4,1,0)),IF($F23&lt;=85,1,0))</formula>
    </cfRule>
  </conditionalFormatting>
  <conditionalFormatting sqref="X23">
    <cfRule type="expression" dxfId="2201" priority="743">
      <formula>AND(IF(OR($Q23=1,$Q23=2),1,0),IF($X23&lt;=20,1,0))</formula>
    </cfRule>
    <cfRule type="expression" dxfId="2200" priority="744">
      <formula>AND(IF($Q23=2,1,0),IF($X23&lt;30,1,0))</formula>
    </cfRule>
    <cfRule type="expression" dxfId="2199" priority="745">
      <formula>AND(IF($Q23=3,1,0),IF($X23&lt;30,1,0))</formula>
    </cfRule>
    <cfRule type="expression" dxfId="2198" priority="746">
      <formula>AND(IF($Q23=3,1,IF($Q23=4,1,0)),IF($F23&lt;=85,1,0))</formula>
    </cfRule>
  </conditionalFormatting>
  <conditionalFormatting sqref="AI23">
    <cfRule type="expression" dxfId="2197" priority="739">
      <formula>AND(IF(OR($Q23=1,$Q23=2),1,0),IF($X23&lt;=20,1,0))</formula>
    </cfRule>
    <cfRule type="expression" dxfId="2196" priority="740">
      <formula>AND(IF($Q23=2,1,0),IF($X23&lt;30,1,0))</formula>
    </cfRule>
    <cfRule type="expression" dxfId="2195" priority="741">
      <formula>AND(IF($Q23=3,1,0),IF($X23&lt;30,1,0))</formula>
    </cfRule>
    <cfRule type="expression" dxfId="2194" priority="742">
      <formula>AND(IF($Q23=3,1,IF($Q23=4,1,0)),IF($F23&lt;=85,1,0))</formula>
    </cfRule>
  </conditionalFormatting>
  <conditionalFormatting sqref="AV24">
    <cfRule type="expression" dxfId="2193" priority="737">
      <formula>AV24="X"</formula>
    </cfRule>
    <cfRule type="expression" dxfId="2192" priority="738">
      <formula>AV24="후보"</formula>
    </cfRule>
  </conditionalFormatting>
  <conditionalFormatting sqref="AC24">
    <cfRule type="cellIs" dxfId="2191" priority="735" operator="greaterThan">
      <formula>0.9</formula>
    </cfRule>
    <cfRule type="cellIs" dxfId="2190" priority="736" operator="greaterThan">
      <formula>0.85</formula>
    </cfRule>
  </conditionalFormatting>
  <conditionalFormatting sqref="N24">
    <cfRule type="cellIs" dxfId="2189" priority="733" operator="greaterThan">
      <formula>0.9</formula>
    </cfRule>
    <cfRule type="cellIs" dxfId="2188" priority="734" operator="greaterThan">
      <formula>0.85</formula>
    </cfRule>
  </conditionalFormatting>
  <conditionalFormatting sqref="E24">
    <cfRule type="expression" dxfId="2187" priority="729">
      <formula>AND(IF(OR($Q24=1,$Q24=2),1,0),IF($X24&lt;=20,1,0))</formula>
    </cfRule>
    <cfRule type="expression" dxfId="2186" priority="730">
      <formula>AND(IF($Q24=2,1,0),IF($X24&lt;30,1,0))</formula>
    </cfRule>
    <cfRule type="expression" dxfId="2185" priority="731">
      <formula>AND(IF($Q24=3,1,0),IF($X24&lt;30,1,0))</formula>
    </cfRule>
    <cfRule type="expression" dxfId="2184" priority="732">
      <formula>AND(IF($Q24=3,1,IF($Q24=4,1,0)),IF($F24&lt;=85,1,0))</formula>
    </cfRule>
  </conditionalFormatting>
  <conditionalFormatting sqref="X24">
    <cfRule type="expression" dxfId="2183" priority="725">
      <formula>AND(IF(OR($Q24=1,$Q24=2),1,0),IF($X24&lt;=20,1,0))</formula>
    </cfRule>
    <cfRule type="expression" dxfId="2182" priority="726">
      <formula>AND(IF($Q24=2,1,0),IF($X24&lt;30,1,0))</formula>
    </cfRule>
    <cfRule type="expression" dxfId="2181" priority="727">
      <formula>AND(IF($Q24=3,1,0),IF($X24&lt;30,1,0))</formula>
    </cfRule>
    <cfRule type="expression" dxfId="2180" priority="728">
      <formula>AND(IF($Q24=3,1,IF($Q24=4,1,0)),IF($F24&lt;=85,1,0))</formula>
    </cfRule>
  </conditionalFormatting>
  <conditionalFormatting sqref="AI24">
    <cfRule type="expression" dxfId="2179" priority="721">
      <formula>AND(IF(OR($Q24=1,$Q24=2),1,0),IF($X24&lt;=20,1,0))</formula>
    </cfRule>
    <cfRule type="expression" dxfId="2178" priority="722">
      <formula>AND(IF($Q24=2,1,0),IF($X24&lt;30,1,0))</formula>
    </cfRule>
    <cfRule type="expression" dxfId="2177" priority="723">
      <formula>AND(IF($Q24=3,1,0),IF($X24&lt;30,1,0))</formula>
    </cfRule>
    <cfRule type="expression" dxfId="2176" priority="724">
      <formula>AND(IF($Q24=3,1,IF($Q24=4,1,0)),IF($F24&lt;=85,1,0))</formula>
    </cfRule>
  </conditionalFormatting>
  <conditionalFormatting sqref="AV25">
    <cfRule type="expression" dxfId="2175" priority="719">
      <formula>AV25="X"</formula>
    </cfRule>
    <cfRule type="expression" dxfId="2174" priority="720">
      <formula>AV25="후보"</formula>
    </cfRule>
  </conditionalFormatting>
  <conditionalFormatting sqref="AC25">
    <cfRule type="cellIs" dxfId="2173" priority="717" operator="greaterThan">
      <formula>0.9</formula>
    </cfRule>
    <cfRule type="cellIs" dxfId="2172" priority="718" operator="greaterThan">
      <formula>0.85</formula>
    </cfRule>
  </conditionalFormatting>
  <conditionalFormatting sqref="N25">
    <cfRule type="cellIs" dxfId="2171" priority="715" operator="greaterThan">
      <formula>0.9</formula>
    </cfRule>
    <cfRule type="cellIs" dxfId="2170" priority="716" operator="greaterThan">
      <formula>0.85</formula>
    </cfRule>
  </conditionalFormatting>
  <conditionalFormatting sqref="E25">
    <cfRule type="expression" dxfId="2169" priority="711">
      <formula>AND(IF(OR($Q25=1,$Q25=2),1,0),IF($X25&lt;=20,1,0))</formula>
    </cfRule>
    <cfRule type="expression" dxfId="2168" priority="712">
      <formula>AND(IF($Q25=2,1,0),IF($X25&lt;30,1,0))</formula>
    </cfRule>
    <cfRule type="expression" dxfId="2167" priority="713">
      <formula>AND(IF($Q25=3,1,0),IF($X25&lt;30,1,0))</formula>
    </cfRule>
    <cfRule type="expression" dxfId="2166" priority="714">
      <formula>AND(IF($Q25=3,1,IF($Q25=4,1,0)),IF($F25&lt;=85,1,0))</formula>
    </cfRule>
  </conditionalFormatting>
  <conditionalFormatting sqref="X25">
    <cfRule type="expression" dxfId="2165" priority="707">
      <formula>AND(IF(OR($Q25=1,$Q25=2),1,0),IF($X25&lt;=20,1,0))</formula>
    </cfRule>
    <cfRule type="expression" dxfId="2164" priority="708">
      <formula>AND(IF($Q25=2,1,0),IF($X25&lt;30,1,0))</formula>
    </cfRule>
    <cfRule type="expression" dxfId="2163" priority="709">
      <formula>AND(IF($Q25=3,1,0),IF($X25&lt;30,1,0))</formula>
    </cfRule>
    <cfRule type="expression" dxfId="2162" priority="710">
      <formula>AND(IF($Q25=3,1,IF($Q25=4,1,0)),IF($F25&lt;=85,1,0))</formula>
    </cfRule>
  </conditionalFormatting>
  <conditionalFormatting sqref="AI25">
    <cfRule type="expression" dxfId="2161" priority="703">
      <formula>AND(IF(OR($Q25=1,$Q25=2),1,0),IF($X25&lt;=20,1,0))</formula>
    </cfRule>
    <cfRule type="expression" dxfId="2160" priority="704">
      <formula>AND(IF($Q25=2,1,0),IF($X25&lt;30,1,0))</formula>
    </cfRule>
    <cfRule type="expression" dxfId="2159" priority="705">
      <formula>AND(IF($Q25=3,1,0),IF($X25&lt;30,1,0))</formula>
    </cfRule>
    <cfRule type="expression" dxfId="2158" priority="706">
      <formula>AND(IF($Q25=3,1,IF($Q25=4,1,0)),IF($F25&lt;=85,1,0))</formula>
    </cfRule>
  </conditionalFormatting>
  <conditionalFormatting sqref="AV26">
    <cfRule type="expression" dxfId="2157" priority="701">
      <formula>AV26="X"</formula>
    </cfRule>
    <cfRule type="expression" dxfId="2156" priority="702">
      <formula>AV26="후보"</formula>
    </cfRule>
  </conditionalFormatting>
  <conditionalFormatting sqref="AC26">
    <cfRule type="cellIs" dxfId="2155" priority="699" operator="greaterThan">
      <formula>0.9</formula>
    </cfRule>
    <cfRule type="cellIs" dxfId="2154" priority="700" operator="greaterThan">
      <formula>0.85</formula>
    </cfRule>
  </conditionalFormatting>
  <conditionalFormatting sqref="N26">
    <cfRule type="cellIs" dxfId="2153" priority="697" operator="greaterThan">
      <formula>0.9</formula>
    </cfRule>
    <cfRule type="cellIs" dxfId="2152" priority="698" operator="greaterThan">
      <formula>0.85</formula>
    </cfRule>
  </conditionalFormatting>
  <conditionalFormatting sqref="E26">
    <cfRule type="expression" dxfId="2151" priority="693">
      <formula>AND(IF(OR($Q26=1,$Q26=2),1,0),IF($X26&lt;=20,1,0))</formula>
    </cfRule>
    <cfRule type="expression" dxfId="2150" priority="694">
      <formula>AND(IF($Q26=2,1,0),IF($X26&lt;30,1,0))</formula>
    </cfRule>
    <cfRule type="expression" dxfId="2149" priority="695">
      <formula>AND(IF($Q26=3,1,0),IF($X26&lt;30,1,0))</formula>
    </cfRule>
    <cfRule type="expression" dxfId="2148" priority="696">
      <formula>AND(IF($Q26=3,1,IF($Q26=4,1,0)),IF($F26&lt;=85,1,0))</formula>
    </cfRule>
  </conditionalFormatting>
  <conditionalFormatting sqref="X26">
    <cfRule type="expression" dxfId="2147" priority="689">
      <formula>AND(IF(OR($Q26=1,$Q26=2),1,0),IF($X26&lt;=20,1,0))</formula>
    </cfRule>
    <cfRule type="expression" dxfId="2146" priority="690">
      <formula>AND(IF($Q26=2,1,0),IF($X26&lt;30,1,0))</formula>
    </cfRule>
    <cfRule type="expression" dxfId="2145" priority="691">
      <formula>AND(IF($Q26=3,1,0),IF($X26&lt;30,1,0))</formula>
    </cfRule>
    <cfRule type="expression" dxfId="2144" priority="692">
      <formula>AND(IF($Q26=3,1,IF($Q26=4,1,0)),IF($F26&lt;=85,1,0))</formula>
    </cfRule>
  </conditionalFormatting>
  <conditionalFormatting sqref="AI26">
    <cfRule type="expression" dxfId="2143" priority="685">
      <formula>AND(IF(OR($Q26=1,$Q26=2),1,0),IF($X26&lt;=20,1,0))</formula>
    </cfRule>
    <cfRule type="expression" dxfId="2142" priority="686">
      <formula>AND(IF($Q26=2,1,0),IF($X26&lt;30,1,0))</formula>
    </cfRule>
    <cfRule type="expression" dxfId="2141" priority="687">
      <formula>AND(IF($Q26=3,1,0),IF($X26&lt;30,1,0))</formula>
    </cfRule>
    <cfRule type="expression" dxfId="2140" priority="688">
      <formula>AND(IF($Q26=3,1,IF($Q26=4,1,0)),IF($F26&lt;=85,1,0))</formula>
    </cfRule>
  </conditionalFormatting>
  <conditionalFormatting sqref="AV27">
    <cfRule type="expression" dxfId="2139" priority="683">
      <formula>AV27="X"</formula>
    </cfRule>
    <cfRule type="expression" dxfId="2138" priority="684">
      <formula>AV27="후보"</formula>
    </cfRule>
  </conditionalFormatting>
  <conditionalFormatting sqref="AC27">
    <cfRule type="cellIs" dxfId="2137" priority="681" operator="greaterThan">
      <formula>0.9</formula>
    </cfRule>
    <cfRule type="cellIs" dxfId="2136" priority="682" operator="greaterThan">
      <formula>0.85</formula>
    </cfRule>
  </conditionalFormatting>
  <conditionalFormatting sqref="N27">
    <cfRule type="cellIs" dxfId="2135" priority="679" operator="greaterThan">
      <formula>0.9</formula>
    </cfRule>
    <cfRule type="cellIs" dxfId="2134" priority="680" operator="greaterThan">
      <formula>0.85</formula>
    </cfRule>
  </conditionalFormatting>
  <conditionalFormatting sqref="E27">
    <cfRule type="expression" dxfId="2133" priority="675">
      <formula>AND(IF(OR($Q27=1,$Q27=2),1,0),IF($X27&lt;=20,1,0))</formula>
    </cfRule>
    <cfRule type="expression" dxfId="2132" priority="676">
      <formula>AND(IF($Q27=2,1,0),IF($X27&lt;30,1,0))</formula>
    </cfRule>
    <cfRule type="expression" dxfId="2131" priority="677">
      <formula>AND(IF($Q27=3,1,0),IF($X27&lt;30,1,0))</formula>
    </cfRule>
    <cfRule type="expression" dxfId="2130" priority="678">
      <formula>AND(IF($Q27=3,1,IF($Q27=4,1,0)),IF($F27&lt;=85,1,0))</formula>
    </cfRule>
  </conditionalFormatting>
  <conditionalFormatting sqref="X27">
    <cfRule type="expression" dxfId="2129" priority="671">
      <formula>AND(IF(OR($Q27=1,$Q27=2),1,0),IF($X27&lt;=20,1,0))</formula>
    </cfRule>
    <cfRule type="expression" dxfId="2128" priority="672">
      <formula>AND(IF($Q27=2,1,0),IF($X27&lt;30,1,0))</formula>
    </cfRule>
    <cfRule type="expression" dxfId="2127" priority="673">
      <formula>AND(IF($Q27=3,1,0),IF($X27&lt;30,1,0))</formula>
    </cfRule>
    <cfRule type="expression" dxfId="2126" priority="674">
      <formula>AND(IF($Q27=3,1,IF($Q27=4,1,0)),IF($F27&lt;=85,1,0))</formula>
    </cfRule>
  </conditionalFormatting>
  <conditionalFormatting sqref="AI27">
    <cfRule type="expression" dxfId="2125" priority="667">
      <formula>AND(IF(OR($Q27=1,$Q27=2),1,0),IF($X27&lt;=20,1,0))</formula>
    </cfRule>
    <cfRule type="expression" dxfId="2124" priority="668">
      <formula>AND(IF($Q27=2,1,0),IF($X27&lt;30,1,0))</formula>
    </cfRule>
    <cfRule type="expression" dxfId="2123" priority="669">
      <formula>AND(IF($Q27=3,1,0),IF($X27&lt;30,1,0))</formula>
    </cfRule>
    <cfRule type="expression" dxfId="2122" priority="670">
      <formula>AND(IF($Q27=3,1,IF($Q27=4,1,0)),IF($F27&lt;=85,1,0))</formula>
    </cfRule>
  </conditionalFormatting>
  <conditionalFormatting sqref="AV28">
    <cfRule type="expression" dxfId="2121" priority="665">
      <formula>AV28="X"</formula>
    </cfRule>
    <cfRule type="expression" dxfId="2120" priority="666">
      <formula>AV28="후보"</formula>
    </cfRule>
  </conditionalFormatting>
  <conditionalFormatting sqref="AC28">
    <cfRule type="cellIs" dxfId="2119" priority="663" operator="greaterThan">
      <formula>0.9</formula>
    </cfRule>
    <cfRule type="cellIs" dxfId="2118" priority="664" operator="greaterThan">
      <formula>0.85</formula>
    </cfRule>
  </conditionalFormatting>
  <conditionalFormatting sqref="N28">
    <cfRule type="cellIs" dxfId="2117" priority="661" operator="greaterThan">
      <formula>0.9</formula>
    </cfRule>
    <cfRule type="cellIs" dxfId="2116" priority="662" operator="greaterThan">
      <formula>0.85</formula>
    </cfRule>
  </conditionalFormatting>
  <conditionalFormatting sqref="E28">
    <cfRule type="expression" dxfId="2115" priority="657">
      <formula>AND(IF(OR($Q28=1,$Q28=2),1,0),IF($X28&lt;=20,1,0))</formula>
    </cfRule>
    <cfRule type="expression" dxfId="2114" priority="658">
      <formula>AND(IF($Q28=2,1,0),IF($X28&lt;30,1,0))</formula>
    </cfRule>
    <cfRule type="expression" dxfId="2113" priority="659">
      <formula>AND(IF($Q28=3,1,0),IF($X28&lt;30,1,0))</formula>
    </cfRule>
    <cfRule type="expression" dxfId="2112" priority="660">
      <formula>AND(IF($Q28=3,1,IF($Q28=4,1,0)),IF($F28&lt;=85,1,0))</formula>
    </cfRule>
  </conditionalFormatting>
  <conditionalFormatting sqref="X28">
    <cfRule type="expression" dxfId="2111" priority="653">
      <formula>AND(IF(OR($Q28=1,$Q28=2),1,0),IF($X28&lt;=20,1,0))</formula>
    </cfRule>
    <cfRule type="expression" dxfId="2110" priority="654">
      <formula>AND(IF($Q28=2,1,0),IF($X28&lt;30,1,0))</formula>
    </cfRule>
    <cfRule type="expression" dxfId="2109" priority="655">
      <formula>AND(IF($Q28=3,1,0),IF($X28&lt;30,1,0))</formula>
    </cfRule>
    <cfRule type="expression" dxfId="2108" priority="656">
      <formula>AND(IF($Q28=3,1,IF($Q28=4,1,0)),IF($F28&lt;=85,1,0))</formula>
    </cfRule>
  </conditionalFormatting>
  <conditionalFormatting sqref="AI28">
    <cfRule type="expression" dxfId="2107" priority="649">
      <formula>AND(IF(OR($Q28=1,$Q28=2),1,0),IF($X28&lt;=20,1,0))</formula>
    </cfRule>
    <cfRule type="expression" dxfId="2106" priority="650">
      <formula>AND(IF($Q28=2,1,0),IF($X28&lt;30,1,0))</formula>
    </cfRule>
    <cfRule type="expression" dxfId="2105" priority="651">
      <formula>AND(IF($Q28=3,1,0),IF($X28&lt;30,1,0))</formula>
    </cfRule>
    <cfRule type="expression" dxfId="2104" priority="652">
      <formula>AND(IF($Q28=3,1,IF($Q28=4,1,0)),IF($F28&lt;=85,1,0))</formula>
    </cfRule>
  </conditionalFormatting>
  <conditionalFormatting sqref="AV29">
    <cfRule type="expression" dxfId="2103" priority="647">
      <formula>AV29="X"</formula>
    </cfRule>
    <cfRule type="expression" dxfId="2102" priority="648">
      <formula>AV29="후보"</formula>
    </cfRule>
  </conditionalFormatting>
  <conditionalFormatting sqref="AC29">
    <cfRule type="cellIs" dxfId="2101" priority="645" operator="greaterThan">
      <formula>0.9</formula>
    </cfRule>
    <cfRule type="cellIs" dxfId="2100" priority="646" operator="greaterThan">
      <formula>0.85</formula>
    </cfRule>
  </conditionalFormatting>
  <conditionalFormatting sqref="N29">
    <cfRule type="cellIs" dxfId="2099" priority="643" operator="greaterThan">
      <formula>0.9</formula>
    </cfRule>
    <cfRule type="cellIs" dxfId="2098" priority="644" operator="greaterThan">
      <formula>0.85</formula>
    </cfRule>
  </conditionalFormatting>
  <conditionalFormatting sqref="E29">
    <cfRule type="expression" dxfId="2097" priority="639">
      <formula>AND(IF(OR($Q29=1,$Q29=2),1,0),IF($X29&lt;=20,1,0))</formula>
    </cfRule>
    <cfRule type="expression" dxfId="2096" priority="640">
      <formula>AND(IF($Q29=2,1,0),IF($X29&lt;30,1,0))</formula>
    </cfRule>
    <cfRule type="expression" dxfId="2095" priority="641">
      <formula>AND(IF($Q29=3,1,0),IF($X29&lt;30,1,0))</formula>
    </cfRule>
    <cfRule type="expression" dxfId="2094" priority="642">
      <formula>AND(IF($Q29=3,1,IF($Q29=4,1,0)),IF($F29&lt;=85,1,0))</formula>
    </cfRule>
  </conditionalFormatting>
  <conditionalFormatting sqref="X29">
    <cfRule type="expression" dxfId="2093" priority="635">
      <formula>AND(IF(OR($Q29=1,$Q29=2),1,0),IF($X29&lt;=20,1,0))</formula>
    </cfRule>
    <cfRule type="expression" dxfId="2092" priority="636">
      <formula>AND(IF($Q29=2,1,0),IF($X29&lt;30,1,0))</formula>
    </cfRule>
    <cfRule type="expression" dxfId="2091" priority="637">
      <formula>AND(IF($Q29=3,1,0),IF($X29&lt;30,1,0))</formula>
    </cfRule>
    <cfRule type="expression" dxfId="2090" priority="638">
      <formula>AND(IF($Q29=3,1,IF($Q29=4,1,0)),IF($F29&lt;=85,1,0))</formula>
    </cfRule>
  </conditionalFormatting>
  <conditionalFormatting sqref="AI29">
    <cfRule type="expression" dxfId="2089" priority="631">
      <formula>AND(IF(OR($Q29=1,$Q29=2),1,0),IF($X29&lt;=20,1,0))</formula>
    </cfRule>
    <cfRule type="expression" dxfId="2088" priority="632">
      <formula>AND(IF($Q29=2,1,0),IF($X29&lt;30,1,0))</formula>
    </cfRule>
    <cfRule type="expression" dxfId="2087" priority="633">
      <formula>AND(IF($Q29=3,1,0),IF($X29&lt;30,1,0))</formula>
    </cfRule>
    <cfRule type="expression" dxfId="2086" priority="634">
      <formula>AND(IF($Q29=3,1,IF($Q29=4,1,0)),IF($F29&lt;=85,1,0))</formula>
    </cfRule>
  </conditionalFormatting>
  <conditionalFormatting sqref="AV30">
    <cfRule type="expression" dxfId="2085" priority="629">
      <formula>AV30="X"</formula>
    </cfRule>
    <cfRule type="expression" dxfId="2084" priority="630">
      <formula>AV30="후보"</formula>
    </cfRule>
  </conditionalFormatting>
  <conditionalFormatting sqref="AC30">
    <cfRule type="cellIs" dxfId="2083" priority="627" operator="greaterThan">
      <formula>0.9</formula>
    </cfRule>
    <cfRule type="cellIs" dxfId="2082" priority="628" operator="greaterThan">
      <formula>0.85</formula>
    </cfRule>
  </conditionalFormatting>
  <conditionalFormatting sqref="N30">
    <cfRule type="cellIs" dxfId="2081" priority="625" operator="greaterThan">
      <formula>0.9</formula>
    </cfRule>
    <cfRule type="cellIs" dxfId="2080" priority="626" operator="greaterThan">
      <formula>0.85</formula>
    </cfRule>
  </conditionalFormatting>
  <conditionalFormatting sqref="E30">
    <cfRule type="expression" dxfId="2079" priority="621">
      <formula>AND(IF(OR($Q30=1,$Q30=2),1,0),IF($X30&lt;=20,1,0))</formula>
    </cfRule>
    <cfRule type="expression" dxfId="2078" priority="622">
      <formula>AND(IF($Q30=2,1,0),IF($X30&lt;30,1,0))</formula>
    </cfRule>
    <cfRule type="expression" dxfId="2077" priority="623">
      <formula>AND(IF($Q30=3,1,0),IF($X30&lt;30,1,0))</formula>
    </cfRule>
    <cfRule type="expression" dxfId="2076" priority="624">
      <formula>AND(IF($Q30=3,1,IF($Q30=4,1,0)),IF($F30&lt;=85,1,0))</formula>
    </cfRule>
  </conditionalFormatting>
  <conditionalFormatting sqref="X30">
    <cfRule type="expression" dxfId="2075" priority="617">
      <formula>AND(IF(OR($Q30=1,$Q30=2),1,0),IF($X30&lt;=20,1,0))</formula>
    </cfRule>
    <cfRule type="expression" dxfId="2074" priority="618">
      <formula>AND(IF($Q30=2,1,0),IF($X30&lt;30,1,0))</formula>
    </cfRule>
    <cfRule type="expression" dxfId="2073" priority="619">
      <formula>AND(IF($Q30=3,1,0),IF($X30&lt;30,1,0))</formula>
    </cfRule>
    <cfRule type="expression" dxfId="2072" priority="620">
      <formula>AND(IF($Q30=3,1,IF($Q30=4,1,0)),IF($F30&lt;=85,1,0))</formula>
    </cfRule>
  </conditionalFormatting>
  <conditionalFormatting sqref="AI30">
    <cfRule type="expression" dxfId="2071" priority="613">
      <formula>AND(IF(OR($Q30=1,$Q30=2),1,0),IF($X30&lt;=20,1,0))</formula>
    </cfRule>
    <cfRule type="expression" dxfId="2070" priority="614">
      <formula>AND(IF($Q30=2,1,0),IF($X30&lt;30,1,0))</formula>
    </cfRule>
    <cfRule type="expression" dxfId="2069" priority="615">
      <formula>AND(IF($Q30=3,1,0),IF($X30&lt;30,1,0))</formula>
    </cfRule>
    <cfRule type="expression" dxfId="2068" priority="616">
      <formula>AND(IF($Q30=3,1,IF($Q30=4,1,0)),IF($F30&lt;=85,1,0))</formula>
    </cfRule>
  </conditionalFormatting>
  <conditionalFormatting sqref="AV31">
    <cfRule type="expression" dxfId="2067" priority="611">
      <formula>AV31="X"</formula>
    </cfRule>
    <cfRule type="expression" dxfId="2066" priority="612">
      <formula>AV31="후보"</formula>
    </cfRule>
  </conditionalFormatting>
  <conditionalFormatting sqref="AC31">
    <cfRule type="cellIs" dxfId="2065" priority="609" operator="greaterThan">
      <formula>0.9</formula>
    </cfRule>
    <cfRule type="cellIs" dxfId="2064" priority="610" operator="greaterThan">
      <formula>0.85</formula>
    </cfRule>
  </conditionalFormatting>
  <conditionalFormatting sqref="N31">
    <cfRule type="cellIs" dxfId="2063" priority="607" operator="greaterThan">
      <formula>0.9</formula>
    </cfRule>
    <cfRule type="cellIs" dxfId="2062" priority="608" operator="greaterThan">
      <formula>0.85</formula>
    </cfRule>
  </conditionalFormatting>
  <conditionalFormatting sqref="E31">
    <cfRule type="expression" dxfId="2061" priority="603">
      <formula>AND(IF(OR($Q31=1,$Q31=2),1,0),IF($X31&lt;=20,1,0))</formula>
    </cfRule>
    <cfRule type="expression" dxfId="2060" priority="604">
      <formula>AND(IF($Q31=2,1,0),IF($X31&lt;30,1,0))</formula>
    </cfRule>
    <cfRule type="expression" dxfId="2059" priority="605">
      <formula>AND(IF($Q31=3,1,0),IF($X31&lt;30,1,0))</formula>
    </cfRule>
    <cfRule type="expression" dxfId="2058" priority="606">
      <formula>AND(IF($Q31=3,1,IF($Q31=4,1,0)),IF($F31&lt;=85,1,0))</formula>
    </cfRule>
  </conditionalFormatting>
  <conditionalFormatting sqref="X31">
    <cfRule type="expression" dxfId="2057" priority="599">
      <formula>AND(IF(OR($Q31=1,$Q31=2),1,0),IF($X31&lt;=20,1,0))</formula>
    </cfRule>
    <cfRule type="expression" dxfId="2056" priority="600">
      <formula>AND(IF($Q31=2,1,0),IF($X31&lt;30,1,0))</formula>
    </cfRule>
    <cfRule type="expression" dxfId="2055" priority="601">
      <formula>AND(IF($Q31=3,1,0),IF($X31&lt;30,1,0))</formula>
    </cfRule>
    <cfRule type="expression" dxfId="2054" priority="602">
      <formula>AND(IF($Q31=3,1,IF($Q31=4,1,0)),IF($F31&lt;=85,1,0))</formula>
    </cfRule>
  </conditionalFormatting>
  <conditionalFormatting sqref="AI31">
    <cfRule type="expression" dxfId="2053" priority="595">
      <formula>AND(IF(OR($Q31=1,$Q31=2),1,0),IF($X31&lt;=20,1,0))</formula>
    </cfRule>
    <cfRule type="expression" dxfId="2052" priority="596">
      <formula>AND(IF($Q31=2,1,0),IF($X31&lt;30,1,0))</formula>
    </cfRule>
    <cfRule type="expression" dxfId="2051" priority="597">
      <formula>AND(IF($Q31=3,1,0),IF($X31&lt;30,1,0))</formula>
    </cfRule>
    <cfRule type="expression" dxfId="2050" priority="598">
      <formula>AND(IF($Q31=3,1,IF($Q31=4,1,0)),IF($F31&lt;=85,1,0))</formula>
    </cfRule>
  </conditionalFormatting>
  <conditionalFormatting sqref="AV32">
    <cfRule type="expression" dxfId="2049" priority="593">
      <formula>AV32="X"</formula>
    </cfRule>
    <cfRule type="expression" dxfId="2048" priority="594">
      <formula>AV32="후보"</formula>
    </cfRule>
  </conditionalFormatting>
  <conditionalFormatting sqref="AC32">
    <cfRule type="cellIs" dxfId="2047" priority="591" operator="greaterThan">
      <formula>0.9</formula>
    </cfRule>
    <cfRule type="cellIs" dxfId="2046" priority="592" operator="greaterThan">
      <formula>0.85</formula>
    </cfRule>
  </conditionalFormatting>
  <conditionalFormatting sqref="N32">
    <cfRule type="cellIs" dxfId="2045" priority="589" operator="greaterThan">
      <formula>0.9</formula>
    </cfRule>
    <cfRule type="cellIs" dxfId="2044" priority="590" operator="greaterThan">
      <formula>0.85</formula>
    </cfRule>
  </conditionalFormatting>
  <conditionalFormatting sqref="E32">
    <cfRule type="expression" dxfId="2043" priority="585">
      <formula>AND(IF(OR($Q32=1,$Q32=2),1,0),IF($X32&lt;=20,1,0))</formula>
    </cfRule>
    <cfRule type="expression" dxfId="2042" priority="586">
      <formula>AND(IF($Q32=2,1,0),IF($X32&lt;30,1,0))</formula>
    </cfRule>
    <cfRule type="expression" dxfId="2041" priority="587">
      <formula>AND(IF($Q32=3,1,0),IF($X32&lt;30,1,0))</formula>
    </cfRule>
    <cfRule type="expression" dxfId="2040" priority="588">
      <formula>AND(IF($Q32=3,1,IF($Q32=4,1,0)),IF($F32&lt;=85,1,0))</formula>
    </cfRule>
  </conditionalFormatting>
  <conditionalFormatting sqref="X32">
    <cfRule type="expression" dxfId="2039" priority="581">
      <formula>AND(IF(OR($Q32=1,$Q32=2),1,0),IF($X32&lt;=20,1,0))</formula>
    </cfRule>
    <cfRule type="expression" dxfId="2038" priority="582">
      <formula>AND(IF($Q32=2,1,0),IF($X32&lt;30,1,0))</formula>
    </cfRule>
    <cfRule type="expression" dxfId="2037" priority="583">
      <formula>AND(IF($Q32=3,1,0),IF($X32&lt;30,1,0))</formula>
    </cfRule>
    <cfRule type="expression" dxfId="2036" priority="584">
      <formula>AND(IF($Q32=3,1,IF($Q32=4,1,0)),IF($F32&lt;=85,1,0))</formula>
    </cfRule>
  </conditionalFormatting>
  <conditionalFormatting sqref="AI32">
    <cfRule type="expression" dxfId="2035" priority="577">
      <formula>AND(IF(OR($Q32=1,$Q32=2),1,0),IF($X32&lt;=20,1,0))</formula>
    </cfRule>
    <cfRule type="expression" dxfId="2034" priority="578">
      <formula>AND(IF($Q32=2,1,0),IF($X32&lt;30,1,0))</formula>
    </cfRule>
    <cfRule type="expression" dxfId="2033" priority="579">
      <formula>AND(IF($Q32=3,1,0),IF($X32&lt;30,1,0))</formula>
    </cfRule>
    <cfRule type="expression" dxfId="2032" priority="580">
      <formula>AND(IF($Q32=3,1,IF($Q32=4,1,0)),IF($F32&lt;=85,1,0))</formula>
    </cfRule>
  </conditionalFormatting>
  <conditionalFormatting sqref="AV33">
    <cfRule type="expression" dxfId="2031" priority="575">
      <formula>AV33="X"</formula>
    </cfRule>
    <cfRule type="expression" dxfId="2030" priority="576">
      <formula>AV33="후보"</formula>
    </cfRule>
  </conditionalFormatting>
  <conditionalFormatting sqref="AC33">
    <cfRule type="cellIs" dxfId="2029" priority="573" operator="greaterThan">
      <formula>0.9</formula>
    </cfRule>
    <cfRule type="cellIs" dxfId="2028" priority="574" operator="greaterThan">
      <formula>0.85</formula>
    </cfRule>
  </conditionalFormatting>
  <conditionalFormatting sqref="N33">
    <cfRule type="cellIs" dxfId="2027" priority="571" operator="greaterThan">
      <formula>0.9</formula>
    </cfRule>
    <cfRule type="cellIs" dxfId="2026" priority="572" operator="greaterThan">
      <formula>0.85</formula>
    </cfRule>
  </conditionalFormatting>
  <conditionalFormatting sqref="E33">
    <cfRule type="expression" dxfId="2025" priority="567">
      <formula>AND(IF(OR($Q33=1,$Q33=2),1,0),IF($X33&lt;=20,1,0))</formula>
    </cfRule>
    <cfRule type="expression" dxfId="2024" priority="568">
      <formula>AND(IF($Q33=2,1,0),IF($X33&lt;30,1,0))</formula>
    </cfRule>
    <cfRule type="expression" dxfId="2023" priority="569">
      <formula>AND(IF($Q33=3,1,0),IF($X33&lt;30,1,0))</formula>
    </cfRule>
    <cfRule type="expression" dxfId="2022" priority="570">
      <formula>AND(IF($Q33=3,1,IF($Q33=4,1,0)),IF($F33&lt;=85,1,0))</formula>
    </cfRule>
  </conditionalFormatting>
  <conditionalFormatting sqref="X33">
    <cfRule type="expression" dxfId="2021" priority="563">
      <formula>AND(IF(OR($Q33=1,$Q33=2),1,0),IF($X33&lt;=20,1,0))</formula>
    </cfRule>
    <cfRule type="expression" dxfId="2020" priority="564">
      <formula>AND(IF($Q33=2,1,0),IF($X33&lt;30,1,0))</formula>
    </cfRule>
    <cfRule type="expression" dxfId="2019" priority="565">
      <formula>AND(IF($Q33=3,1,0),IF($X33&lt;30,1,0))</formula>
    </cfRule>
    <cfRule type="expression" dxfId="2018" priority="566">
      <formula>AND(IF($Q33=3,1,IF($Q33=4,1,0)),IF($F33&lt;=85,1,0))</formula>
    </cfRule>
  </conditionalFormatting>
  <conditionalFormatting sqref="AI33">
    <cfRule type="expression" dxfId="2017" priority="559">
      <formula>AND(IF(OR($Q33=1,$Q33=2),1,0),IF($X33&lt;=20,1,0))</formula>
    </cfRule>
    <cfRule type="expression" dxfId="2016" priority="560">
      <formula>AND(IF($Q33=2,1,0),IF($X33&lt;30,1,0))</formula>
    </cfRule>
    <cfRule type="expression" dxfId="2015" priority="561">
      <formula>AND(IF($Q33=3,1,0),IF($X33&lt;30,1,0))</formula>
    </cfRule>
    <cfRule type="expression" dxfId="2014" priority="562">
      <formula>AND(IF($Q33=3,1,IF($Q33=4,1,0)),IF($F33&lt;=85,1,0))</formula>
    </cfRule>
  </conditionalFormatting>
  <conditionalFormatting sqref="AV34">
    <cfRule type="expression" dxfId="2013" priority="557">
      <formula>AV34="X"</formula>
    </cfRule>
    <cfRule type="expression" dxfId="2012" priority="558">
      <formula>AV34="후보"</formula>
    </cfRule>
  </conditionalFormatting>
  <conditionalFormatting sqref="AC34">
    <cfRule type="cellIs" dxfId="2011" priority="555" operator="greaterThan">
      <formula>0.9</formula>
    </cfRule>
    <cfRule type="cellIs" dxfId="2010" priority="556" operator="greaterThan">
      <formula>0.85</formula>
    </cfRule>
  </conditionalFormatting>
  <conditionalFormatting sqref="N34">
    <cfRule type="cellIs" dxfId="2009" priority="553" operator="greaterThan">
      <formula>0.9</formula>
    </cfRule>
    <cfRule type="cellIs" dxfId="2008" priority="554" operator="greaterThan">
      <formula>0.85</formula>
    </cfRule>
  </conditionalFormatting>
  <conditionalFormatting sqref="E34">
    <cfRule type="expression" dxfId="2007" priority="549">
      <formula>AND(IF(OR($Q34=1,$Q34=2),1,0),IF($X34&lt;=20,1,0))</formula>
    </cfRule>
    <cfRule type="expression" dxfId="2006" priority="550">
      <formula>AND(IF($Q34=2,1,0),IF($X34&lt;30,1,0))</formula>
    </cfRule>
    <cfRule type="expression" dxfId="2005" priority="551">
      <formula>AND(IF($Q34=3,1,0),IF($X34&lt;30,1,0))</formula>
    </cfRule>
    <cfRule type="expression" dxfId="2004" priority="552">
      <formula>AND(IF($Q34=3,1,IF($Q34=4,1,0)),IF($F34&lt;=85,1,0))</formula>
    </cfRule>
  </conditionalFormatting>
  <conditionalFormatting sqref="X34">
    <cfRule type="expression" dxfId="2003" priority="545">
      <formula>AND(IF(OR($Q34=1,$Q34=2),1,0),IF($X34&lt;=20,1,0))</formula>
    </cfRule>
    <cfRule type="expression" dxfId="2002" priority="546">
      <formula>AND(IF($Q34=2,1,0),IF($X34&lt;30,1,0))</formula>
    </cfRule>
    <cfRule type="expression" dxfId="2001" priority="547">
      <formula>AND(IF($Q34=3,1,0),IF($X34&lt;30,1,0))</formula>
    </cfRule>
    <cfRule type="expression" dxfId="2000" priority="548">
      <formula>AND(IF($Q34=3,1,IF($Q34=4,1,0)),IF($F34&lt;=85,1,0))</formula>
    </cfRule>
  </conditionalFormatting>
  <conditionalFormatting sqref="AI34">
    <cfRule type="expression" dxfId="1999" priority="541">
      <formula>AND(IF(OR($Q34=1,$Q34=2),1,0),IF($X34&lt;=20,1,0))</formula>
    </cfRule>
    <cfRule type="expression" dxfId="1998" priority="542">
      <formula>AND(IF($Q34=2,1,0),IF($X34&lt;30,1,0))</formula>
    </cfRule>
    <cfRule type="expression" dxfId="1997" priority="543">
      <formula>AND(IF($Q34=3,1,0),IF($X34&lt;30,1,0))</formula>
    </cfRule>
    <cfRule type="expression" dxfId="1996" priority="544">
      <formula>AND(IF($Q34=3,1,IF($Q34=4,1,0)),IF($F34&lt;=85,1,0))</formula>
    </cfRule>
  </conditionalFormatting>
  <conditionalFormatting sqref="AV35">
    <cfRule type="expression" dxfId="1995" priority="539">
      <formula>AV35="X"</formula>
    </cfRule>
    <cfRule type="expression" dxfId="1994" priority="540">
      <formula>AV35="후보"</formula>
    </cfRule>
  </conditionalFormatting>
  <conditionalFormatting sqref="AC35">
    <cfRule type="cellIs" dxfId="1993" priority="537" operator="greaterThan">
      <formula>0.9</formula>
    </cfRule>
    <cfRule type="cellIs" dxfId="1992" priority="538" operator="greaterThan">
      <formula>0.85</formula>
    </cfRule>
  </conditionalFormatting>
  <conditionalFormatting sqref="N35">
    <cfRule type="cellIs" dxfId="1991" priority="535" operator="greaterThan">
      <formula>0.9</formula>
    </cfRule>
    <cfRule type="cellIs" dxfId="1990" priority="536" operator="greaterThan">
      <formula>0.85</formula>
    </cfRule>
  </conditionalFormatting>
  <conditionalFormatting sqref="E35">
    <cfRule type="expression" dxfId="1989" priority="531">
      <formula>AND(IF(OR($Q35=1,$Q35=2),1,0),IF($X35&lt;=20,1,0))</formula>
    </cfRule>
    <cfRule type="expression" dxfId="1988" priority="532">
      <formula>AND(IF($Q35=2,1,0),IF($X35&lt;30,1,0))</formula>
    </cfRule>
    <cfRule type="expression" dxfId="1987" priority="533">
      <formula>AND(IF($Q35=3,1,0),IF($X35&lt;30,1,0))</formula>
    </cfRule>
    <cfRule type="expression" dxfId="1986" priority="534">
      <formula>AND(IF($Q35=3,1,IF($Q35=4,1,0)),IF($F35&lt;=85,1,0))</formula>
    </cfRule>
  </conditionalFormatting>
  <conditionalFormatting sqref="X35">
    <cfRule type="expression" dxfId="1985" priority="527">
      <formula>AND(IF(OR($Q35=1,$Q35=2),1,0),IF($X35&lt;=20,1,0))</formula>
    </cfRule>
    <cfRule type="expression" dxfId="1984" priority="528">
      <formula>AND(IF($Q35=2,1,0),IF($X35&lt;30,1,0))</formula>
    </cfRule>
    <cfRule type="expression" dxfId="1983" priority="529">
      <formula>AND(IF($Q35=3,1,0),IF($X35&lt;30,1,0))</formula>
    </cfRule>
    <cfRule type="expression" dxfId="1982" priority="530">
      <formula>AND(IF($Q35=3,1,IF($Q35=4,1,0)),IF($F35&lt;=85,1,0))</formula>
    </cfRule>
  </conditionalFormatting>
  <conditionalFormatting sqref="AI35">
    <cfRule type="expression" dxfId="1981" priority="523">
      <formula>AND(IF(OR($Q35=1,$Q35=2),1,0),IF($X35&lt;=20,1,0))</formula>
    </cfRule>
    <cfRule type="expression" dxfId="1980" priority="524">
      <formula>AND(IF($Q35=2,1,0),IF($X35&lt;30,1,0))</formula>
    </cfRule>
    <cfRule type="expression" dxfId="1979" priority="525">
      <formula>AND(IF($Q35=3,1,0),IF($X35&lt;30,1,0))</formula>
    </cfRule>
    <cfRule type="expression" dxfId="1978" priority="526">
      <formula>AND(IF($Q35=3,1,IF($Q35=4,1,0)),IF($F35&lt;=85,1,0))</formula>
    </cfRule>
  </conditionalFormatting>
  <conditionalFormatting sqref="AV36">
    <cfRule type="expression" dxfId="1977" priority="521">
      <formula>AV36="X"</formula>
    </cfRule>
    <cfRule type="expression" dxfId="1976" priority="522">
      <formula>AV36="후보"</formula>
    </cfRule>
  </conditionalFormatting>
  <conditionalFormatting sqref="AC36">
    <cfRule type="cellIs" dxfId="1975" priority="519" operator="greaterThan">
      <formula>0.9</formula>
    </cfRule>
    <cfRule type="cellIs" dxfId="1974" priority="520" operator="greaterThan">
      <formula>0.85</formula>
    </cfRule>
  </conditionalFormatting>
  <conditionalFormatting sqref="N36">
    <cfRule type="cellIs" dxfId="1973" priority="517" operator="greaterThan">
      <formula>0.9</formula>
    </cfRule>
    <cfRule type="cellIs" dxfId="1972" priority="518" operator="greaterThan">
      <formula>0.85</formula>
    </cfRule>
  </conditionalFormatting>
  <conditionalFormatting sqref="E36">
    <cfRule type="expression" dxfId="1971" priority="513">
      <formula>AND(IF(OR($Q36=1,$Q36=2),1,0),IF($X36&lt;=20,1,0))</formula>
    </cfRule>
    <cfRule type="expression" dxfId="1970" priority="514">
      <formula>AND(IF($Q36=2,1,0),IF($X36&lt;30,1,0))</formula>
    </cfRule>
    <cfRule type="expression" dxfId="1969" priority="515">
      <formula>AND(IF($Q36=3,1,0),IF($X36&lt;30,1,0))</formula>
    </cfRule>
    <cfRule type="expression" dxfId="1968" priority="516">
      <formula>AND(IF($Q36=3,1,IF($Q36=4,1,0)),IF($F36&lt;=85,1,0))</formula>
    </cfRule>
  </conditionalFormatting>
  <conditionalFormatting sqref="X36">
    <cfRule type="expression" dxfId="1967" priority="509">
      <formula>AND(IF(OR($Q36=1,$Q36=2),1,0),IF($X36&lt;=20,1,0))</formula>
    </cfRule>
    <cfRule type="expression" dxfId="1966" priority="510">
      <formula>AND(IF($Q36=2,1,0),IF($X36&lt;30,1,0))</formula>
    </cfRule>
    <cfRule type="expression" dxfId="1965" priority="511">
      <formula>AND(IF($Q36=3,1,0),IF($X36&lt;30,1,0))</formula>
    </cfRule>
    <cfRule type="expression" dxfId="1964" priority="512">
      <formula>AND(IF($Q36=3,1,IF($Q36=4,1,0)),IF($F36&lt;=85,1,0))</formula>
    </cfRule>
  </conditionalFormatting>
  <conditionalFormatting sqref="AI36">
    <cfRule type="expression" dxfId="1963" priority="505">
      <formula>AND(IF(OR($Q36=1,$Q36=2),1,0),IF($X36&lt;=20,1,0))</formula>
    </cfRule>
    <cfRule type="expression" dxfId="1962" priority="506">
      <formula>AND(IF($Q36=2,1,0),IF($X36&lt;30,1,0))</formula>
    </cfRule>
    <cfRule type="expression" dxfId="1961" priority="507">
      <formula>AND(IF($Q36=3,1,0),IF($X36&lt;30,1,0))</formula>
    </cfRule>
    <cfRule type="expression" dxfId="1960" priority="508">
      <formula>AND(IF($Q36=3,1,IF($Q36=4,1,0)),IF($F36&lt;=85,1,0))</formula>
    </cfRule>
  </conditionalFormatting>
  <conditionalFormatting sqref="AV37">
    <cfRule type="expression" dxfId="1959" priority="503">
      <formula>AV37="X"</formula>
    </cfRule>
    <cfRule type="expression" dxfId="1958" priority="504">
      <formula>AV37="후보"</formula>
    </cfRule>
  </conditionalFormatting>
  <conditionalFormatting sqref="AC37">
    <cfRule type="cellIs" dxfId="1957" priority="501" operator="greaterThan">
      <formula>0.9</formula>
    </cfRule>
    <cfRule type="cellIs" dxfId="1956" priority="502" operator="greaterThan">
      <formula>0.85</formula>
    </cfRule>
  </conditionalFormatting>
  <conditionalFormatting sqref="N37">
    <cfRule type="cellIs" dxfId="1955" priority="499" operator="greaterThan">
      <formula>0.9</formula>
    </cfRule>
    <cfRule type="cellIs" dxfId="1954" priority="500" operator="greaterThan">
      <formula>0.85</formula>
    </cfRule>
  </conditionalFormatting>
  <conditionalFormatting sqref="E37">
    <cfRule type="expression" dxfId="1953" priority="495">
      <formula>AND(IF(OR($Q37=1,$Q37=2),1,0),IF($X37&lt;=20,1,0))</formula>
    </cfRule>
    <cfRule type="expression" dxfId="1952" priority="496">
      <formula>AND(IF($Q37=2,1,0),IF($X37&lt;30,1,0))</formula>
    </cfRule>
    <cfRule type="expression" dxfId="1951" priority="497">
      <formula>AND(IF($Q37=3,1,0),IF($X37&lt;30,1,0))</formula>
    </cfRule>
    <cfRule type="expression" dxfId="1950" priority="498">
      <formula>AND(IF($Q37=3,1,IF($Q37=4,1,0)),IF($F37&lt;=85,1,0))</formula>
    </cfRule>
  </conditionalFormatting>
  <conditionalFormatting sqref="X37">
    <cfRule type="expression" dxfId="1949" priority="491">
      <formula>AND(IF(OR($Q37=1,$Q37=2),1,0),IF($X37&lt;=20,1,0))</formula>
    </cfRule>
    <cfRule type="expression" dxfId="1948" priority="492">
      <formula>AND(IF($Q37=2,1,0),IF($X37&lt;30,1,0))</formula>
    </cfRule>
    <cfRule type="expression" dxfId="1947" priority="493">
      <formula>AND(IF($Q37=3,1,0),IF($X37&lt;30,1,0))</formula>
    </cfRule>
    <cfRule type="expression" dxfId="1946" priority="494">
      <formula>AND(IF($Q37=3,1,IF($Q37=4,1,0)),IF($F37&lt;=85,1,0))</formula>
    </cfRule>
  </conditionalFormatting>
  <conditionalFormatting sqref="AI37">
    <cfRule type="expression" dxfId="1945" priority="487">
      <formula>AND(IF(OR($Q37=1,$Q37=2),1,0),IF($X37&lt;=20,1,0))</formula>
    </cfRule>
    <cfRule type="expression" dxfId="1944" priority="488">
      <formula>AND(IF($Q37=2,1,0),IF($X37&lt;30,1,0))</formula>
    </cfRule>
    <cfRule type="expression" dxfId="1943" priority="489">
      <formula>AND(IF($Q37=3,1,0),IF($X37&lt;30,1,0))</formula>
    </cfRule>
    <cfRule type="expression" dxfId="1942" priority="490">
      <formula>AND(IF($Q37=3,1,IF($Q37=4,1,0)),IF($F37&lt;=85,1,0))</formula>
    </cfRule>
  </conditionalFormatting>
  <conditionalFormatting sqref="AV38">
    <cfRule type="expression" dxfId="1941" priority="485">
      <formula>AV38="X"</formula>
    </cfRule>
    <cfRule type="expression" dxfId="1940" priority="486">
      <formula>AV38="후보"</formula>
    </cfRule>
  </conditionalFormatting>
  <conditionalFormatting sqref="AC38">
    <cfRule type="cellIs" dxfId="1939" priority="483" operator="greaterThan">
      <formula>0.9</formula>
    </cfRule>
    <cfRule type="cellIs" dxfId="1938" priority="484" operator="greaterThan">
      <formula>0.85</formula>
    </cfRule>
  </conditionalFormatting>
  <conditionalFormatting sqref="N38">
    <cfRule type="cellIs" dxfId="1937" priority="481" operator="greaterThan">
      <formula>0.9</formula>
    </cfRule>
    <cfRule type="cellIs" dxfId="1936" priority="482" operator="greaterThan">
      <formula>0.85</formula>
    </cfRule>
  </conditionalFormatting>
  <conditionalFormatting sqref="E38">
    <cfRule type="expression" dxfId="1935" priority="477">
      <formula>AND(IF(OR($Q38=1,$Q38=2),1,0),IF($X38&lt;=20,1,0))</formula>
    </cfRule>
    <cfRule type="expression" dxfId="1934" priority="478">
      <formula>AND(IF($Q38=2,1,0),IF($X38&lt;30,1,0))</formula>
    </cfRule>
    <cfRule type="expression" dxfId="1933" priority="479">
      <formula>AND(IF($Q38=3,1,0),IF($X38&lt;30,1,0))</formula>
    </cfRule>
    <cfRule type="expression" dxfId="1932" priority="480">
      <formula>AND(IF($Q38=3,1,IF($Q38=4,1,0)),IF($F38&lt;=85,1,0))</formula>
    </cfRule>
  </conditionalFormatting>
  <conditionalFormatting sqref="X38">
    <cfRule type="expression" dxfId="1931" priority="473">
      <formula>AND(IF(OR($Q38=1,$Q38=2),1,0),IF($X38&lt;=20,1,0))</formula>
    </cfRule>
    <cfRule type="expression" dxfId="1930" priority="474">
      <formula>AND(IF($Q38=2,1,0),IF($X38&lt;30,1,0))</formula>
    </cfRule>
    <cfRule type="expression" dxfId="1929" priority="475">
      <formula>AND(IF($Q38=3,1,0),IF($X38&lt;30,1,0))</formula>
    </cfRule>
    <cfRule type="expression" dxfId="1928" priority="476">
      <formula>AND(IF($Q38=3,1,IF($Q38=4,1,0)),IF($F38&lt;=85,1,0))</formula>
    </cfRule>
  </conditionalFormatting>
  <conditionalFormatting sqref="AI38">
    <cfRule type="expression" dxfId="1927" priority="469">
      <formula>AND(IF(OR($Q38=1,$Q38=2),1,0),IF($X38&lt;=20,1,0))</formula>
    </cfRule>
    <cfRule type="expression" dxfId="1926" priority="470">
      <formula>AND(IF($Q38=2,1,0),IF($X38&lt;30,1,0))</formula>
    </cfRule>
    <cfRule type="expression" dxfId="1925" priority="471">
      <formula>AND(IF($Q38=3,1,0),IF($X38&lt;30,1,0))</formula>
    </cfRule>
    <cfRule type="expression" dxfId="1924" priority="472">
      <formula>AND(IF($Q38=3,1,IF($Q38=4,1,0)),IF($F38&lt;=85,1,0))</formula>
    </cfRule>
  </conditionalFormatting>
  <conditionalFormatting sqref="AV39">
    <cfRule type="expression" dxfId="1923" priority="467">
      <formula>AV39="X"</formula>
    </cfRule>
    <cfRule type="expression" dxfId="1922" priority="468">
      <formula>AV39="후보"</formula>
    </cfRule>
  </conditionalFormatting>
  <conditionalFormatting sqref="AC39">
    <cfRule type="cellIs" dxfId="1921" priority="465" operator="greaterThan">
      <formula>0.9</formula>
    </cfRule>
    <cfRule type="cellIs" dxfId="1920" priority="466" operator="greaterThan">
      <formula>0.85</formula>
    </cfRule>
  </conditionalFormatting>
  <conditionalFormatting sqref="N39">
    <cfRule type="cellIs" dxfId="1919" priority="463" operator="greaterThan">
      <formula>0.9</formula>
    </cfRule>
    <cfRule type="cellIs" dxfId="1918" priority="464" operator="greaterThan">
      <formula>0.85</formula>
    </cfRule>
  </conditionalFormatting>
  <conditionalFormatting sqref="E39">
    <cfRule type="expression" dxfId="1917" priority="459">
      <formula>AND(IF(OR($Q39=1,$Q39=2),1,0),IF($X39&lt;=20,1,0))</formula>
    </cfRule>
    <cfRule type="expression" dxfId="1916" priority="460">
      <formula>AND(IF($Q39=2,1,0),IF($X39&lt;30,1,0))</formula>
    </cfRule>
    <cfRule type="expression" dxfId="1915" priority="461">
      <formula>AND(IF($Q39=3,1,0),IF($X39&lt;30,1,0))</formula>
    </cfRule>
    <cfRule type="expression" dxfId="1914" priority="462">
      <formula>AND(IF($Q39=3,1,IF($Q39=4,1,0)),IF($F39&lt;=85,1,0))</formula>
    </cfRule>
  </conditionalFormatting>
  <conditionalFormatting sqref="X39">
    <cfRule type="expression" dxfId="1913" priority="455">
      <formula>AND(IF(OR($Q39=1,$Q39=2),1,0),IF($X39&lt;=20,1,0))</formula>
    </cfRule>
    <cfRule type="expression" dxfId="1912" priority="456">
      <formula>AND(IF($Q39=2,1,0),IF($X39&lt;30,1,0))</formula>
    </cfRule>
    <cfRule type="expression" dxfId="1911" priority="457">
      <formula>AND(IF($Q39=3,1,0),IF($X39&lt;30,1,0))</formula>
    </cfRule>
    <cfRule type="expression" dxfId="1910" priority="458">
      <formula>AND(IF($Q39=3,1,IF($Q39=4,1,0)),IF($F39&lt;=85,1,0))</formula>
    </cfRule>
  </conditionalFormatting>
  <conditionalFormatting sqref="AI39">
    <cfRule type="expression" dxfId="1909" priority="451">
      <formula>AND(IF(OR($Q39=1,$Q39=2),1,0),IF($X39&lt;=20,1,0))</formula>
    </cfRule>
    <cfRule type="expression" dxfId="1908" priority="452">
      <formula>AND(IF($Q39=2,1,0),IF($X39&lt;30,1,0))</formula>
    </cfRule>
    <cfRule type="expression" dxfId="1907" priority="453">
      <formula>AND(IF($Q39=3,1,0),IF($X39&lt;30,1,0))</formula>
    </cfRule>
    <cfRule type="expression" dxfId="1906" priority="454">
      <formula>AND(IF($Q39=3,1,IF($Q39=4,1,0)),IF($F39&lt;=85,1,0))</formula>
    </cfRule>
  </conditionalFormatting>
  <conditionalFormatting sqref="AV40">
    <cfRule type="expression" dxfId="1905" priority="449">
      <formula>AV40="X"</formula>
    </cfRule>
    <cfRule type="expression" dxfId="1904" priority="450">
      <formula>AV40="후보"</formula>
    </cfRule>
  </conditionalFormatting>
  <conditionalFormatting sqref="AC40">
    <cfRule type="cellIs" dxfId="1903" priority="447" operator="greaterThan">
      <formula>0.9</formula>
    </cfRule>
    <cfRule type="cellIs" dxfId="1902" priority="448" operator="greaterThan">
      <formula>0.85</formula>
    </cfRule>
  </conditionalFormatting>
  <conditionalFormatting sqref="N40">
    <cfRule type="cellIs" dxfId="1901" priority="445" operator="greaterThan">
      <formula>0.9</formula>
    </cfRule>
    <cfRule type="cellIs" dxfId="1900" priority="446" operator="greaterThan">
      <formula>0.85</formula>
    </cfRule>
  </conditionalFormatting>
  <conditionalFormatting sqref="E40">
    <cfRule type="expression" dxfId="1899" priority="441">
      <formula>AND(IF(OR($Q40=1,$Q40=2),1,0),IF($X40&lt;=20,1,0))</formula>
    </cfRule>
    <cfRule type="expression" dxfId="1898" priority="442">
      <formula>AND(IF($Q40=2,1,0),IF($X40&lt;30,1,0))</formula>
    </cfRule>
    <cfRule type="expression" dxfId="1897" priority="443">
      <formula>AND(IF($Q40=3,1,0),IF($X40&lt;30,1,0))</formula>
    </cfRule>
    <cfRule type="expression" dxfId="1896" priority="444">
      <formula>AND(IF($Q40=3,1,IF($Q40=4,1,0)),IF($F40&lt;=85,1,0))</formula>
    </cfRule>
  </conditionalFormatting>
  <conditionalFormatting sqref="X40">
    <cfRule type="expression" dxfId="1895" priority="437">
      <formula>AND(IF(OR($Q40=1,$Q40=2),1,0),IF($X40&lt;=20,1,0))</formula>
    </cfRule>
    <cfRule type="expression" dxfId="1894" priority="438">
      <formula>AND(IF($Q40=2,1,0),IF($X40&lt;30,1,0))</formula>
    </cfRule>
    <cfRule type="expression" dxfId="1893" priority="439">
      <formula>AND(IF($Q40=3,1,0),IF($X40&lt;30,1,0))</formula>
    </cfRule>
    <cfRule type="expression" dxfId="1892" priority="440">
      <formula>AND(IF($Q40=3,1,IF($Q40=4,1,0)),IF($F40&lt;=85,1,0))</formula>
    </cfRule>
  </conditionalFormatting>
  <conditionalFormatting sqref="AI40">
    <cfRule type="expression" dxfId="1891" priority="433">
      <formula>AND(IF(OR($Q40=1,$Q40=2),1,0),IF($X40&lt;=20,1,0))</formula>
    </cfRule>
    <cfRule type="expression" dxfId="1890" priority="434">
      <formula>AND(IF($Q40=2,1,0),IF($X40&lt;30,1,0))</formula>
    </cfRule>
    <cfRule type="expression" dxfId="1889" priority="435">
      <formula>AND(IF($Q40=3,1,0),IF($X40&lt;30,1,0))</formula>
    </cfRule>
    <cfRule type="expression" dxfId="1888" priority="436">
      <formula>AND(IF($Q40=3,1,IF($Q40=4,1,0)),IF($F40&lt;=85,1,0))</formula>
    </cfRule>
  </conditionalFormatting>
  <conditionalFormatting sqref="AV41">
    <cfRule type="expression" dxfId="1887" priority="431">
      <formula>AV41="X"</formula>
    </cfRule>
    <cfRule type="expression" dxfId="1886" priority="432">
      <formula>AV41="후보"</formula>
    </cfRule>
  </conditionalFormatting>
  <conditionalFormatting sqref="AC41">
    <cfRule type="cellIs" dxfId="1885" priority="429" operator="greaterThan">
      <formula>0.9</formula>
    </cfRule>
    <cfRule type="cellIs" dxfId="1884" priority="430" operator="greaterThan">
      <formula>0.85</formula>
    </cfRule>
  </conditionalFormatting>
  <conditionalFormatting sqref="N41">
    <cfRule type="cellIs" dxfId="1883" priority="427" operator="greaterThan">
      <formula>0.9</formula>
    </cfRule>
    <cfRule type="cellIs" dxfId="1882" priority="428" operator="greaterThan">
      <formula>0.85</formula>
    </cfRule>
  </conditionalFormatting>
  <conditionalFormatting sqref="E41">
    <cfRule type="expression" dxfId="1881" priority="423">
      <formula>AND(IF(OR($Q41=1,$Q41=2),1,0),IF($X41&lt;=20,1,0))</formula>
    </cfRule>
    <cfRule type="expression" dxfId="1880" priority="424">
      <formula>AND(IF($Q41=2,1,0),IF($X41&lt;30,1,0))</formula>
    </cfRule>
    <cfRule type="expression" dxfId="1879" priority="425">
      <formula>AND(IF($Q41=3,1,0),IF($X41&lt;30,1,0))</formula>
    </cfRule>
    <cfRule type="expression" dxfId="1878" priority="426">
      <formula>AND(IF($Q41=3,1,IF($Q41=4,1,0)),IF($F41&lt;=85,1,0))</formula>
    </cfRule>
  </conditionalFormatting>
  <conditionalFormatting sqref="X41">
    <cfRule type="expression" dxfId="1877" priority="419">
      <formula>AND(IF(OR($Q41=1,$Q41=2),1,0),IF($X41&lt;=20,1,0))</formula>
    </cfRule>
    <cfRule type="expression" dxfId="1876" priority="420">
      <formula>AND(IF($Q41=2,1,0),IF($X41&lt;30,1,0))</formula>
    </cfRule>
    <cfRule type="expression" dxfId="1875" priority="421">
      <formula>AND(IF($Q41=3,1,0),IF($X41&lt;30,1,0))</formula>
    </cfRule>
    <cfRule type="expression" dxfId="1874" priority="422">
      <formula>AND(IF($Q41=3,1,IF($Q41=4,1,0)),IF($F41&lt;=85,1,0))</formula>
    </cfRule>
  </conditionalFormatting>
  <conditionalFormatting sqref="AI41">
    <cfRule type="expression" dxfId="1873" priority="415">
      <formula>AND(IF(OR($Q41=1,$Q41=2),1,0),IF($X41&lt;=20,1,0))</formula>
    </cfRule>
    <cfRule type="expression" dxfId="1872" priority="416">
      <formula>AND(IF($Q41=2,1,0),IF($X41&lt;30,1,0))</formula>
    </cfRule>
    <cfRule type="expression" dxfId="1871" priority="417">
      <formula>AND(IF($Q41=3,1,0),IF($X41&lt;30,1,0))</formula>
    </cfRule>
    <cfRule type="expression" dxfId="1870" priority="418">
      <formula>AND(IF($Q41=3,1,IF($Q41=4,1,0)),IF($F41&lt;=85,1,0))</formula>
    </cfRule>
  </conditionalFormatting>
  <conditionalFormatting sqref="AV42">
    <cfRule type="expression" dxfId="1869" priority="413">
      <formula>AV42="X"</formula>
    </cfRule>
    <cfRule type="expression" dxfId="1868" priority="414">
      <formula>AV42="후보"</formula>
    </cfRule>
  </conditionalFormatting>
  <conditionalFormatting sqref="AC42">
    <cfRule type="cellIs" dxfId="1867" priority="411" operator="greaterThan">
      <formula>0.9</formula>
    </cfRule>
    <cfRule type="cellIs" dxfId="1866" priority="412" operator="greaterThan">
      <formula>0.85</formula>
    </cfRule>
  </conditionalFormatting>
  <conditionalFormatting sqref="N42">
    <cfRule type="cellIs" dxfId="1865" priority="409" operator="greaterThan">
      <formula>0.9</formula>
    </cfRule>
    <cfRule type="cellIs" dxfId="1864" priority="410" operator="greaterThan">
      <formula>0.85</formula>
    </cfRule>
  </conditionalFormatting>
  <conditionalFormatting sqref="E42">
    <cfRule type="expression" dxfId="1863" priority="405">
      <formula>AND(IF(OR($Q42=1,$Q42=2),1,0),IF($X42&lt;=20,1,0))</formula>
    </cfRule>
    <cfRule type="expression" dxfId="1862" priority="406">
      <formula>AND(IF($Q42=2,1,0),IF($X42&lt;30,1,0))</formula>
    </cfRule>
    <cfRule type="expression" dxfId="1861" priority="407">
      <formula>AND(IF($Q42=3,1,0),IF($X42&lt;30,1,0))</formula>
    </cfRule>
    <cfRule type="expression" dxfId="1860" priority="408">
      <formula>AND(IF($Q42=3,1,IF($Q42=4,1,0)),IF($F42&lt;=85,1,0))</formula>
    </cfRule>
  </conditionalFormatting>
  <conditionalFormatting sqref="X42">
    <cfRule type="expression" dxfId="1859" priority="401">
      <formula>AND(IF(OR($Q42=1,$Q42=2),1,0),IF($X42&lt;=20,1,0))</formula>
    </cfRule>
    <cfRule type="expression" dxfId="1858" priority="402">
      <formula>AND(IF($Q42=2,1,0),IF($X42&lt;30,1,0))</formula>
    </cfRule>
    <cfRule type="expression" dxfId="1857" priority="403">
      <formula>AND(IF($Q42=3,1,0),IF($X42&lt;30,1,0))</formula>
    </cfRule>
    <cfRule type="expression" dxfId="1856" priority="404">
      <formula>AND(IF($Q42=3,1,IF($Q42=4,1,0)),IF($F42&lt;=85,1,0))</formula>
    </cfRule>
  </conditionalFormatting>
  <conditionalFormatting sqref="AI42">
    <cfRule type="expression" dxfId="1855" priority="397">
      <formula>AND(IF(OR($Q42=1,$Q42=2),1,0),IF($X42&lt;=20,1,0))</formula>
    </cfRule>
    <cfRule type="expression" dxfId="1854" priority="398">
      <formula>AND(IF($Q42=2,1,0),IF($X42&lt;30,1,0))</formula>
    </cfRule>
    <cfRule type="expression" dxfId="1853" priority="399">
      <formula>AND(IF($Q42=3,1,0),IF($X42&lt;30,1,0))</formula>
    </cfRule>
    <cfRule type="expression" dxfId="1852" priority="400">
      <formula>AND(IF($Q42=3,1,IF($Q42=4,1,0)),IF($F42&lt;=85,1,0))</formula>
    </cfRule>
  </conditionalFormatting>
  <conditionalFormatting sqref="AV43">
    <cfRule type="expression" dxfId="1851" priority="395">
      <formula>AV43="X"</formula>
    </cfRule>
    <cfRule type="expression" dxfId="1850" priority="396">
      <formula>AV43="후보"</formula>
    </cfRule>
  </conditionalFormatting>
  <conditionalFormatting sqref="AC43">
    <cfRule type="cellIs" dxfId="1849" priority="393" operator="greaterThan">
      <formula>0.9</formula>
    </cfRule>
    <cfRule type="cellIs" dxfId="1848" priority="394" operator="greaterThan">
      <formula>0.85</formula>
    </cfRule>
  </conditionalFormatting>
  <conditionalFormatting sqref="N43">
    <cfRule type="cellIs" dxfId="1847" priority="391" operator="greaterThan">
      <formula>0.9</formula>
    </cfRule>
    <cfRule type="cellIs" dxfId="1846" priority="392" operator="greaterThan">
      <formula>0.85</formula>
    </cfRule>
  </conditionalFormatting>
  <conditionalFormatting sqref="E43">
    <cfRule type="expression" dxfId="1845" priority="387">
      <formula>AND(IF(OR($Q43=1,$Q43=2),1,0),IF($X43&lt;=20,1,0))</formula>
    </cfRule>
    <cfRule type="expression" dxfId="1844" priority="388">
      <formula>AND(IF($Q43=2,1,0),IF($X43&lt;30,1,0))</formula>
    </cfRule>
    <cfRule type="expression" dxfId="1843" priority="389">
      <formula>AND(IF($Q43=3,1,0),IF($X43&lt;30,1,0))</formula>
    </cfRule>
    <cfRule type="expression" dxfId="1842" priority="390">
      <formula>AND(IF($Q43=3,1,IF($Q43=4,1,0)),IF($F43&lt;=85,1,0))</formula>
    </cfRule>
  </conditionalFormatting>
  <conditionalFormatting sqref="X43">
    <cfRule type="expression" dxfId="1841" priority="383">
      <formula>AND(IF(OR($Q43=1,$Q43=2),1,0),IF($X43&lt;=20,1,0))</formula>
    </cfRule>
    <cfRule type="expression" dxfId="1840" priority="384">
      <formula>AND(IF($Q43=2,1,0),IF($X43&lt;30,1,0))</formula>
    </cfRule>
    <cfRule type="expression" dxfId="1839" priority="385">
      <formula>AND(IF($Q43=3,1,0),IF($X43&lt;30,1,0))</formula>
    </cfRule>
    <cfRule type="expression" dxfId="1838" priority="386">
      <formula>AND(IF($Q43=3,1,IF($Q43=4,1,0)),IF($F43&lt;=85,1,0))</formula>
    </cfRule>
  </conditionalFormatting>
  <conditionalFormatting sqref="AI43">
    <cfRule type="expression" dxfId="1837" priority="379">
      <formula>AND(IF(OR($Q43=1,$Q43=2),1,0),IF($X43&lt;=20,1,0))</formula>
    </cfRule>
    <cfRule type="expression" dxfId="1836" priority="380">
      <formula>AND(IF($Q43=2,1,0),IF($X43&lt;30,1,0))</formula>
    </cfRule>
    <cfRule type="expression" dxfId="1835" priority="381">
      <formula>AND(IF($Q43=3,1,0),IF($X43&lt;30,1,0))</formula>
    </cfRule>
    <cfRule type="expression" dxfId="1834" priority="382">
      <formula>AND(IF($Q43=3,1,IF($Q43=4,1,0)),IF($F43&lt;=85,1,0))</formula>
    </cfRule>
  </conditionalFormatting>
  <conditionalFormatting sqref="AV44">
    <cfRule type="expression" dxfId="1833" priority="377">
      <formula>AV44="X"</formula>
    </cfRule>
    <cfRule type="expression" dxfId="1832" priority="378">
      <formula>AV44="후보"</formula>
    </cfRule>
  </conditionalFormatting>
  <conditionalFormatting sqref="AC44">
    <cfRule type="cellIs" dxfId="1831" priority="375" operator="greaterThan">
      <formula>0.9</formula>
    </cfRule>
    <cfRule type="cellIs" dxfId="1830" priority="376" operator="greaterThan">
      <formula>0.85</formula>
    </cfRule>
  </conditionalFormatting>
  <conditionalFormatting sqref="N44">
    <cfRule type="cellIs" dxfId="1829" priority="373" operator="greaterThan">
      <formula>0.9</formula>
    </cfRule>
    <cfRule type="cellIs" dxfId="1828" priority="374" operator="greaterThan">
      <formula>0.85</formula>
    </cfRule>
  </conditionalFormatting>
  <conditionalFormatting sqref="E44">
    <cfRule type="expression" dxfId="1827" priority="369">
      <formula>AND(IF(OR($Q44=1,$Q44=2),1,0),IF($X44&lt;=20,1,0))</formula>
    </cfRule>
    <cfRule type="expression" dxfId="1826" priority="370">
      <formula>AND(IF($Q44=2,1,0),IF($X44&lt;30,1,0))</formula>
    </cfRule>
    <cfRule type="expression" dxfId="1825" priority="371">
      <formula>AND(IF($Q44=3,1,0),IF($X44&lt;30,1,0))</formula>
    </cfRule>
    <cfRule type="expression" dxfId="1824" priority="372">
      <formula>AND(IF($Q44=3,1,IF($Q44=4,1,0)),IF($F44&lt;=85,1,0))</formula>
    </cfRule>
  </conditionalFormatting>
  <conditionalFormatting sqref="X44">
    <cfRule type="expression" dxfId="1823" priority="365">
      <formula>AND(IF(OR($Q44=1,$Q44=2),1,0),IF($X44&lt;=20,1,0))</formula>
    </cfRule>
    <cfRule type="expression" dxfId="1822" priority="366">
      <formula>AND(IF($Q44=2,1,0),IF($X44&lt;30,1,0))</formula>
    </cfRule>
    <cfRule type="expression" dxfId="1821" priority="367">
      <formula>AND(IF($Q44=3,1,0),IF($X44&lt;30,1,0))</formula>
    </cfRule>
    <cfRule type="expression" dxfId="1820" priority="368">
      <formula>AND(IF($Q44=3,1,IF($Q44=4,1,0)),IF($F44&lt;=85,1,0))</formula>
    </cfRule>
  </conditionalFormatting>
  <conditionalFormatting sqref="AI44">
    <cfRule type="expression" dxfId="1819" priority="361">
      <formula>AND(IF(OR($Q44=1,$Q44=2),1,0),IF($X44&lt;=20,1,0))</formula>
    </cfRule>
    <cfRule type="expression" dxfId="1818" priority="362">
      <formula>AND(IF($Q44=2,1,0),IF($X44&lt;30,1,0))</formula>
    </cfRule>
    <cfRule type="expression" dxfId="1817" priority="363">
      <formula>AND(IF($Q44=3,1,0),IF($X44&lt;30,1,0))</formula>
    </cfRule>
    <cfRule type="expression" dxfId="1816" priority="364">
      <formula>AND(IF($Q44=3,1,IF($Q44=4,1,0)),IF($F44&lt;=85,1,0))</formula>
    </cfRule>
  </conditionalFormatting>
  <conditionalFormatting sqref="AV45">
    <cfRule type="expression" dxfId="1815" priority="359">
      <formula>AV45="X"</formula>
    </cfRule>
    <cfRule type="expression" dxfId="1814" priority="360">
      <formula>AV45="후보"</formula>
    </cfRule>
  </conditionalFormatting>
  <conditionalFormatting sqref="AC45">
    <cfRule type="cellIs" dxfId="1813" priority="357" operator="greaterThan">
      <formula>0.9</formula>
    </cfRule>
    <cfRule type="cellIs" dxfId="1812" priority="358" operator="greaterThan">
      <formula>0.85</formula>
    </cfRule>
  </conditionalFormatting>
  <conditionalFormatting sqref="N45">
    <cfRule type="cellIs" dxfId="1811" priority="355" operator="greaterThan">
      <formula>0.9</formula>
    </cfRule>
    <cfRule type="cellIs" dxfId="1810" priority="356" operator="greaterThan">
      <formula>0.85</formula>
    </cfRule>
  </conditionalFormatting>
  <conditionalFormatting sqref="E45">
    <cfRule type="expression" dxfId="1809" priority="351">
      <formula>AND(IF(OR($Q45=1,$Q45=2),1,0),IF($X45&lt;=20,1,0))</formula>
    </cfRule>
    <cfRule type="expression" dxfId="1808" priority="352">
      <formula>AND(IF($Q45=2,1,0),IF($X45&lt;30,1,0))</formula>
    </cfRule>
    <cfRule type="expression" dxfId="1807" priority="353">
      <formula>AND(IF($Q45=3,1,0),IF($X45&lt;30,1,0))</formula>
    </cfRule>
    <cfRule type="expression" dxfId="1806" priority="354">
      <formula>AND(IF($Q45=3,1,IF($Q45=4,1,0)),IF($F45&lt;=85,1,0))</formula>
    </cfRule>
  </conditionalFormatting>
  <conditionalFormatting sqref="X45">
    <cfRule type="expression" dxfId="1805" priority="347">
      <formula>AND(IF(OR($Q45=1,$Q45=2),1,0),IF($X45&lt;=20,1,0))</formula>
    </cfRule>
    <cfRule type="expression" dxfId="1804" priority="348">
      <formula>AND(IF($Q45=2,1,0),IF($X45&lt;30,1,0))</formula>
    </cfRule>
    <cfRule type="expression" dxfId="1803" priority="349">
      <formula>AND(IF($Q45=3,1,0),IF($X45&lt;30,1,0))</formula>
    </cfRule>
    <cfRule type="expression" dxfId="1802" priority="350">
      <formula>AND(IF($Q45=3,1,IF($Q45=4,1,0)),IF($F45&lt;=85,1,0))</formula>
    </cfRule>
  </conditionalFormatting>
  <conditionalFormatting sqref="AI45">
    <cfRule type="expression" dxfId="1801" priority="343">
      <formula>AND(IF(OR($Q45=1,$Q45=2),1,0),IF($X45&lt;=20,1,0))</formula>
    </cfRule>
    <cfRule type="expression" dxfId="1800" priority="344">
      <formula>AND(IF($Q45=2,1,0),IF($X45&lt;30,1,0))</formula>
    </cfRule>
    <cfRule type="expression" dxfId="1799" priority="345">
      <formula>AND(IF($Q45=3,1,0),IF($X45&lt;30,1,0))</formula>
    </cfRule>
    <cfRule type="expression" dxfId="1798" priority="346">
      <formula>AND(IF($Q45=3,1,IF($Q45=4,1,0)),IF($F45&lt;=85,1,0))</formula>
    </cfRule>
  </conditionalFormatting>
  <conditionalFormatting sqref="AV46">
    <cfRule type="expression" dxfId="1797" priority="341">
      <formula>AV46="X"</formula>
    </cfRule>
    <cfRule type="expression" dxfId="1796" priority="342">
      <formula>AV46="후보"</formula>
    </cfRule>
  </conditionalFormatting>
  <conditionalFormatting sqref="AC46">
    <cfRule type="cellIs" dxfId="1795" priority="339" operator="greaterThan">
      <formula>0.9</formula>
    </cfRule>
    <cfRule type="cellIs" dxfId="1794" priority="340" operator="greaterThan">
      <formula>0.85</formula>
    </cfRule>
  </conditionalFormatting>
  <conditionalFormatting sqref="N46">
    <cfRule type="cellIs" dxfId="1793" priority="337" operator="greaterThan">
      <formula>0.9</formula>
    </cfRule>
    <cfRule type="cellIs" dxfId="1792" priority="338" operator="greaterThan">
      <formula>0.85</formula>
    </cfRule>
  </conditionalFormatting>
  <conditionalFormatting sqref="E46">
    <cfRule type="expression" dxfId="1791" priority="333">
      <formula>AND(IF(OR($Q46=1,$Q46=2),1,0),IF($X46&lt;=20,1,0))</formula>
    </cfRule>
    <cfRule type="expression" dxfId="1790" priority="334">
      <formula>AND(IF($Q46=2,1,0),IF($X46&lt;30,1,0))</formula>
    </cfRule>
    <cfRule type="expression" dxfId="1789" priority="335">
      <formula>AND(IF($Q46=3,1,0),IF($X46&lt;30,1,0))</formula>
    </cfRule>
    <cfRule type="expression" dxfId="1788" priority="336">
      <formula>AND(IF($Q46=3,1,IF($Q46=4,1,0)),IF($F46&lt;=85,1,0))</formula>
    </cfRule>
  </conditionalFormatting>
  <conditionalFormatting sqref="X46">
    <cfRule type="expression" dxfId="1787" priority="329">
      <formula>AND(IF(OR($Q46=1,$Q46=2),1,0),IF($X46&lt;=20,1,0))</formula>
    </cfRule>
    <cfRule type="expression" dxfId="1786" priority="330">
      <formula>AND(IF($Q46=2,1,0),IF($X46&lt;30,1,0))</formula>
    </cfRule>
    <cfRule type="expression" dxfId="1785" priority="331">
      <formula>AND(IF($Q46=3,1,0),IF($X46&lt;30,1,0))</formula>
    </cfRule>
    <cfRule type="expression" dxfId="1784" priority="332">
      <formula>AND(IF($Q46=3,1,IF($Q46=4,1,0)),IF($F46&lt;=85,1,0))</formula>
    </cfRule>
  </conditionalFormatting>
  <conditionalFormatting sqref="AI46">
    <cfRule type="expression" dxfId="1783" priority="325">
      <formula>AND(IF(OR($Q46=1,$Q46=2),1,0),IF($X46&lt;=20,1,0))</formula>
    </cfRule>
    <cfRule type="expression" dxfId="1782" priority="326">
      <formula>AND(IF($Q46=2,1,0),IF($X46&lt;30,1,0))</formula>
    </cfRule>
    <cfRule type="expression" dxfId="1781" priority="327">
      <formula>AND(IF($Q46=3,1,0),IF($X46&lt;30,1,0))</formula>
    </cfRule>
    <cfRule type="expression" dxfId="1780" priority="328">
      <formula>AND(IF($Q46=3,1,IF($Q46=4,1,0)),IF($F46&lt;=85,1,0))</formula>
    </cfRule>
  </conditionalFormatting>
  <conditionalFormatting sqref="AV47">
    <cfRule type="expression" dxfId="1779" priority="323">
      <formula>AV47="X"</formula>
    </cfRule>
    <cfRule type="expression" dxfId="1778" priority="324">
      <formula>AV47="후보"</formula>
    </cfRule>
  </conditionalFormatting>
  <conditionalFormatting sqref="AC47">
    <cfRule type="cellIs" dxfId="1777" priority="321" operator="greaterThan">
      <formula>0.9</formula>
    </cfRule>
    <cfRule type="cellIs" dxfId="1776" priority="322" operator="greaterThan">
      <formula>0.85</formula>
    </cfRule>
  </conditionalFormatting>
  <conditionalFormatting sqref="N47">
    <cfRule type="cellIs" dxfId="1775" priority="319" operator="greaterThan">
      <formula>0.9</formula>
    </cfRule>
    <cfRule type="cellIs" dxfId="1774" priority="320" operator="greaterThan">
      <formula>0.85</formula>
    </cfRule>
  </conditionalFormatting>
  <conditionalFormatting sqref="E47">
    <cfRule type="expression" dxfId="1773" priority="315">
      <formula>AND(IF(OR($Q47=1,$Q47=2),1,0),IF($X47&lt;=20,1,0))</formula>
    </cfRule>
    <cfRule type="expression" dxfId="1772" priority="316">
      <formula>AND(IF($Q47=2,1,0),IF($X47&lt;30,1,0))</formula>
    </cfRule>
    <cfRule type="expression" dxfId="1771" priority="317">
      <formula>AND(IF($Q47=3,1,0),IF($X47&lt;30,1,0))</formula>
    </cfRule>
    <cfRule type="expression" dxfId="1770" priority="318">
      <formula>AND(IF($Q47=3,1,IF($Q47=4,1,0)),IF($F47&lt;=85,1,0))</formula>
    </cfRule>
  </conditionalFormatting>
  <conditionalFormatting sqref="X47">
    <cfRule type="expression" dxfId="1769" priority="311">
      <formula>AND(IF(OR($Q47=1,$Q47=2),1,0),IF($X47&lt;=20,1,0))</formula>
    </cfRule>
    <cfRule type="expression" dxfId="1768" priority="312">
      <formula>AND(IF($Q47=2,1,0),IF($X47&lt;30,1,0))</formula>
    </cfRule>
    <cfRule type="expression" dxfId="1767" priority="313">
      <formula>AND(IF($Q47=3,1,0),IF($X47&lt;30,1,0))</formula>
    </cfRule>
    <cfRule type="expression" dxfId="1766" priority="314">
      <formula>AND(IF($Q47=3,1,IF($Q47=4,1,0)),IF($F47&lt;=85,1,0))</formula>
    </cfRule>
  </conditionalFormatting>
  <conditionalFormatting sqref="AI47">
    <cfRule type="expression" dxfId="1765" priority="307">
      <formula>AND(IF(OR($Q47=1,$Q47=2),1,0),IF($X47&lt;=20,1,0))</formula>
    </cfRule>
    <cfRule type="expression" dxfId="1764" priority="308">
      <formula>AND(IF($Q47=2,1,0),IF($X47&lt;30,1,0))</formula>
    </cfRule>
    <cfRule type="expression" dxfId="1763" priority="309">
      <formula>AND(IF($Q47=3,1,0),IF($X47&lt;30,1,0))</formula>
    </cfRule>
    <cfRule type="expression" dxfId="1762" priority="310">
      <formula>AND(IF($Q47=3,1,IF($Q47=4,1,0)),IF($F47&lt;=85,1,0))</formula>
    </cfRule>
  </conditionalFormatting>
  <conditionalFormatting sqref="AV48">
    <cfRule type="expression" dxfId="1761" priority="305">
      <formula>AV48="X"</formula>
    </cfRule>
    <cfRule type="expression" dxfId="1760" priority="306">
      <formula>AV48="후보"</formula>
    </cfRule>
  </conditionalFormatting>
  <conditionalFormatting sqref="AC48">
    <cfRule type="cellIs" dxfId="1759" priority="303" operator="greaterThan">
      <formula>0.9</formula>
    </cfRule>
    <cfRule type="cellIs" dxfId="1758" priority="304" operator="greaterThan">
      <formula>0.85</formula>
    </cfRule>
  </conditionalFormatting>
  <conditionalFormatting sqref="N48">
    <cfRule type="cellIs" dxfId="1757" priority="301" operator="greaterThan">
      <formula>0.9</formula>
    </cfRule>
    <cfRule type="cellIs" dxfId="1756" priority="302" operator="greaterThan">
      <formula>0.85</formula>
    </cfRule>
  </conditionalFormatting>
  <conditionalFormatting sqref="E48">
    <cfRule type="expression" dxfId="1755" priority="297">
      <formula>AND(IF(OR($Q48=1,$Q48=2),1,0),IF($X48&lt;=20,1,0))</formula>
    </cfRule>
    <cfRule type="expression" dxfId="1754" priority="298">
      <formula>AND(IF($Q48=2,1,0),IF($X48&lt;30,1,0))</formula>
    </cfRule>
    <cfRule type="expression" dxfId="1753" priority="299">
      <formula>AND(IF($Q48=3,1,0),IF($X48&lt;30,1,0))</formula>
    </cfRule>
    <cfRule type="expression" dxfId="1752" priority="300">
      <formula>AND(IF($Q48=3,1,IF($Q48=4,1,0)),IF($F48&lt;=85,1,0))</formula>
    </cfRule>
  </conditionalFormatting>
  <conditionalFormatting sqref="X48">
    <cfRule type="expression" dxfId="1751" priority="293">
      <formula>AND(IF(OR($Q48=1,$Q48=2),1,0),IF($X48&lt;=20,1,0))</formula>
    </cfRule>
    <cfRule type="expression" dxfId="1750" priority="294">
      <formula>AND(IF($Q48=2,1,0),IF($X48&lt;30,1,0))</formula>
    </cfRule>
    <cfRule type="expression" dxfId="1749" priority="295">
      <formula>AND(IF($Q48=3,1,0),IF($X48&lt;30,1,0))</formula>
    </cfRule>
    <cfRule type="expression" dxfId="1748" priority="296">
      <formula>AND(IF($Q48=3,1,IF($Q48=4,1,0)),IF($F48&lt;=85,1,0))</formula>
    </cfRule>
  </conditionalFormatting>
  <conditionalFormatting sqref="AI48">
    <cfRule type="expression" dxfId="1747" priority="289">
      <formula>AND(IF(OR($Q48=1,$Q48=2),1,0),IF($X48&lt;=20,1,0))</formula>
    </cfRule>
    <cfRule type="expression" dxfId="1746" priority="290">
      <formula>AND(IF($Q48=2,1,0),IF($X48&lt;30,1,0))</formula>
    </cfRule>
    <cfRule type="expression" dxfId="1745" priority="291">
      <formula>AND(IF($Q48=3,1,0),IF($X48&lt;30,1,0))</formula>
    </cfRule>
    <cfRule type="expression" dxfId="1744" priority="292">
      <formula>AND(IF($Q48=3,1,IF($Q48=4,1,0)),IF($F48&lt;=85,1,0))</formula>
    </cfRule>
  </conditionalFormatting>
  <conditionalFormatting sqref="AV49">
    <cfRule type="expression" dxfId="1743" priority="287">
      <formula>AV49="X"</formula>
    </cfRule>
    <cfRule type="expression" dxfId="1742" priority="288">
      <formula>AV49="후보"</formula>
    </cfRule>
  </conditionalFormatting>
  <conditionalFormatting sqref="AC49">
    <cfRule type="cellIs" dxfId="1741" priority="285" operator="greaterThan">
      <formula>0.9</formula>
    </cfRule>
    <cfRule type="cellIs" dxfId="1740" priority="286" operator="greaterThan">
      <formula>0.85</formula>
    </cfRule>
  </conditionalFormatting>
  <conditionalFormatting sqref="N49">
    <cfRule type="cellIs" dxfId="1739" priority="283" operator="greaterThan">
      <formula>0.9</formula>
    </cfRule>
    <cfRule type="cellIs" dxfId="1738" priority="284" operator="greaterThan">
      <formula>0.85</formula>
    </cfRule>
  </conditionalFormatting>
  <conditionalFormatting sqref="E49">
    <cfRule type="expression" dxfId="1737" priority="279">
      <formula>AND(IF(OR($Q49=1,$Q49=2),1,0),IF($X49&lt;=20,1,0))</formula>
    </cfRule>
    <cfRule type="expression" dxfId="1736" priority="280">
      <formula>AND(IF($Q49=2,1,0),IF($X49&lt;30,1,0))</formula>
    </cfRule>
    <cfRule type="expression" dxfId="1735" priority="281">
      <formula>AND(IF($Q49=3,1,0),IF($X49&lt;30,1,0))</formula>
    </cfRule>
    <cfRule type="expression" dxfId="1734" priority="282">
      <formula>AND(IF($Q49=3,1,IF($Q49=4,1,0)),IF($F49&lt;=85,1,0))</formula>
    </cfRule>
  </conditionalFormatting>
  <conditionalFormatting sqref="X49">
    <cfRule type="expression" dxfId="1733" priority="275">
      <formula>AND(IF(OR($Q49=1,$Q49=2),1,0),IF($X49&lt;=20,1,0))</formula>
    </cfRule>
    <cfRule type="expression" dxfId="1732" priority="276">
      <formula>AND(IF($Q49=2,1,0),IF($X49&lt;30,1,0))</formula>
    </cfRule>
    <cfRule type="expression" dxfId="1731" priority="277">
      <formula>AND(IF($Q49=3,1,0),IF($X49&lt;30,1,0))</formula>
    </cfRule>
    <cfRule type="expression" dxfId="1730" priority="278">
      <formula>AND(IF($Q49=3,1,IF($Q49=4,1,0)),IF($F49&lt;=85,1,0))</formula>
    </cfRule>
  </conditionalFormatting>
  <conditionalFormatting sqref="AI49">
    <cfRule type="expression" dxfId="1729" priority="271">
      <formula>AND(IF(OR($Q49=1,$Q49=2),1,0),IF($X49&lt;=20,1,0))</formula>
    </cfRule>
    <cfRule type="expression" dxfId="1728" priority="272">
      <formula>AND(IF($Q49=2,1,0),IF($X49&lt;30,1,0))</formula>
    </cfRule>
    <cfRule type="expression" dxfId="1727" priority="273">
      <formula>AND(IF($Q49=3,1,0),IF($X49&lt;30,1,0))</formula>
    </cfRule>
    <cfRule type="expression" dxfId="1726" priority="274">
      <formula>AND(IF($Q49=3,1,IF($Q49=4,1,0)),IF($F49&lt;=85,1,0))</formula>
    </cfRule>
  </conditionalFormatting>
  <conditionalFormatting sqref="AV50">
    <cfRule type="expression" dxfId="1725" priority="269">
      <formula>AV50="X"</formula>
    </cfRule>
    <cfRule type="expression" dxfId="1724" priority="270">
      <formula>AV50="후보"</formula>
    </cfRule>
  </conditionalFormatting>
  <conditionalFormatting sqref="AC50">
    <cfRule type="cellIs" dxfId="1723" priority="267" operator="greaterThan">
      <formula>0.9</formula>
    </cfRule>
    <cfRule type="cellIs" dxfId="1722" priority="268" operator="greaterThan">
      <formula>0.85</formula>
    </cfRule>
  </conditionalFormatting>
  <conditionalFormatting sqref="N50">
    <cfRule type="cellIs" dxfId="1721" priority="265" operator="greaterThan">
      <formula>0.9</formula>
    </cfRule>
    <cfRule type="cellIs" dxfId="1720" priority="266" operator="greaterThan">
      <formula>0.85</formula>
    </cfRule>
  </conditionalFormatting>
  <conditionalFormatting sqref="E50">
    <cfRule type="expression" dxfId="1719" priority="261">
      <formula>AND(IF(OR($Q50=1,$Q50=2),1,0),IF($X50&lt;=20,1,0))</formula>
    </cfRule>
    <cfRule type="expression" dxfId="1718" priority="262">
      <formula>AND(IF($Q50=2,1,0),IF($X50&lt;30,1,0))</formula>
    </cfRule>
    <cfRule type="expression" dxfId="1717" priority="263">
      <formula>AND(IF($Q50=3,1,0),IF($X50&lt;30,1,0))</formula>
    </cfRule>
    <cfRule type="expression" dxfId="1716" priority="264">
      <formula>AND(IF($Q50=3,1,IF($Q50=4,1,0)),IF($F50&lt;=85,1,0))</formula>
    </cfRule>
  </conditionalFormatting>
  <conditionalFormatting sqref="X50">
    <cfRule type="expression" dxfId="1715" priority="257">
      <formula>AND(IF(OR($Q50=1,$Q50=2),1,0),IF($X50&lt;=20,1,0))</formula>
    </cfRule>
    <cfRule type="expression" dxfId="1714" priority="258">
      <formula>AND(IF($Q50=2,1,0),IF($X50&lt;30,1,0))</formula>
    </cfRule>
    <cfRule type="expression" dxfId="1713" priority="259">
      <formula>AND(IF($Q50=3,1,0),IF($X50&lt;30,1,0))</formula>
    </cfRule>
    <cfRule type="expression" dxfId="1712" priority="260">
      <formula>AND(IF($Q50=3,1,IF($Q50=4,1,0)),IF($F50&lt;=85,1,0))</formula>
    </cfRule>
  </conditionalFormatting>
  <conditionalFormatting sqref="AI50">
    <cfRule type="expression" dxfId="1711" priority="253">
      <formula>AND(IF(OR($Q50=1,$Q50=2),1,0),IF($X50&lt;=20,1,0))</formula>
    </cfRule>
    <cfRule type="expression" dxfId="1710" priority="254">
      <formula>AND(IF($Q50=2,1,0),IF($X50&lt;30,1,0))</formula>
    </cfRule>
    <cfRule type="expression" dxfId="1709" priority="255">
      <formula>AND(IF($Q50=3,1,0),IF($X50&lt;30,1,0))</formula>
    </cfRule>
    <cfRule type="expression" dxfId="1708" priority="256">
      <formula>AND(IF($Q50=3,1,IF($Q50=4,1,0)),IF($F50&lt;=85,1,0))</formula>
    </cfRule>
  </conditionalFormatting>
  <conditionalFormatting sqref="AV51">
    <cfRule type="expression" dxfId="1707" priority="251">
      <formula>AV51="X"</formula>
    </cfRule>
    <cfRule type="expression" dxfId="1706" priority="252">
      <formula>AV51="후보"</formula>
    </cfRule>
  </conditionalFormatting>
  <conditionalFormatting sqref="AC51">
    <cfRule type="cellIs" dxfId="1705" priority="249" operator="greaterThan">
      <formula>0.9</formula>
    </cfRule>
    <cfRule type="cellIs" dxfId="1704" priority="250" operator="greaterThan">
      <formula>0.85</formula>
    </cfRule>
  </conditionalFormatting>
  <conditionalFormatting sqref="N51">
    <cfRule type="cellIs" dxfId="1703" priority="247" operator="greaterThan">
      <formula>0.9</formula>
    </cfRule>
    <cfRule type="cellIs" dxfId="1702" priority="248" operator="greaterThan">
      <formula>0.85</formula>
    </cfRule>
  </conditionalFormatting>
  <conditionalFormatting sqref="E51">
    <cfRule type="expression" dxfId="1701" priority="243">
      <formula>AND(IF(OR($Q51=1,$Q51=2),1,0),IF($X51&lt;=20,1,0))</formula>
    </cfRule>
    <cfRule type="expression" dxfId="1700" priority="244">
      <formula>AND(IF($Q51=2,1,0),IF($X51&lt;30,1,0))</formula>
    </cfRule>
    <cfRule type="expression" dxfId="1699" priority="245">
      <formula>AND(IF($Q51=3,1,0),IF($X51&lt;30,1,0))</formula>
    </cfRule>
    <cfRule type="expression" dxfId="1698" priority="246">
      <formula>AND(IF($Q51=3,1,IF($Q51=4,1,0)),IF($F51&lt;=85,1,0))</formula>
    </cfRule>
  </conditionalFormatting>
  <conditionalFormatting sqref="X51">
    <cfRule type="expression" dxfId="1697" priority="239">
      <formula>AND(IF(OR($Q51=1,$Q51=2),1,0),IF($X51&lt;=20,1,0))</formula>
    </cfRule>
    <cfRule type="expression" dxfId="1696" priority="240">
      <formula>AND(IF($Q51=2,1,0),IF($X51&lt;30,1,0))</formula>
    </cfRule>
    <cfRule type="expression" dxfId="1695" priority="241">
      <formula>AND(IF($Q51=3,1,0),IF($X51&lt;30,1,0))</formula>
    </cfRule>
    <cfRule type="expression" dxfId="1694" priority="242">
      <formula>AND(IF($Q51=3,1,IF($Q51=4,1,0)),IF($F51&lt;=85,1,0))</formula>
    </cfRule>
  </conditionalFormatting>
  <conditionalFormatting sqref="AI51">
    <cfRule type="expression" dxfId="1693" priority="235">
      <formula>AND(IF(OR($Q51=1,$Q51=2),1,0),IF($X51&lt;=20,1,0))</formula>
    </cfRule>
    <cfRule type="expression" dxfId="1692" priority="236">
      <formula>AND(IF($Q51=2,1,0),IF($X51&lt;30,1,0))</formula>
    </cfRule>
    <cfRule type="expression" dxfId="1691" priority="237">
      <formula>AND(IF($Q51=3,1,0),IF($X51&lt;30,1,0))</formula>
    </cfRule>
    <cfRule type="expression" dxfId="1690" priority="238">
      <formula>AND(IF($Q51=3,1,IF($Q51=4,1,0)),IF($F51&lt;=85,1,0))</formula>
    </cfRule>
  </conditionalFormatting>
  <conditionalFormatting sqref="AV52">
    <cfRule type="expression" dxfId="1689" priority="233">
      <formula>AV52="X"</formula>
    </cfRule>
    <cfRule type="expression" dxfId="1688" priority="234">
      <formula>AV52="후보"</formula>
    </cfRule>
  </conditionalFormatting>
  <conditionalFormatting sqref="AC52">
    <cfRule type="cellIs" dxfId="1687" priority="231" operator="greaterThan">
      <formula>0.9</formula>
    </cfRule>
    <cfRule type="cellIs" dxfId="1686" priority="232" operator="greaterThan">
      <formula>0.85</formula>
    </cfRule>
  </conditionalFormatting>
  <conditionalFormatting sqref="N52">
    <cfRule type="cellIs" dxfId="1685" priority="229" operator="greaterThan">
      <formula>0.9</formula>
    </cfRule>
    <cfRule type="cellIs" dxfId="1684" priority="230" operator="greaterThan">
      <formula>0.85</formula>
    </cfRule>
  </conditionalFormatting>
  <conditionalFormatting sqref="E52">
    <cfRule type="expression" dxfId="1683" priority="225">
      <formula>AND(IF(OR($Q52=1,$Q52=2),1,0),IF($X52&lt;=20,1,0))</formula>
    </cfRule>
    <cfRule type="expression" dxfId="1682" priority="226">
      <formula>AND(IF($Q52=2,1,0),IF($X52&lt;30,1,0))</formula>
    </cfRule>
    <cfRule type="expression" dxfId="1681" priority="227">
      <formula>AND(IF($Q52=3,1,0),IF($X52&lt;30,1,0))</formula>
    </cfRule>
    <cfRule type="expression" dxfId="1680" priority="228">
      <formula>AND(IF($Q52=3,1,IF($Q52=4,1,0)),IF($F52&lt;=85,1,0))</formula>
    </cfRule>
  </conditionalFormatting>
  <conditionalFormatting sqref="X52">
    <cfRule type="expression" dxfId="1679" priority="221">
      <formula>AND(IF(OR($Q52=1,$Q52=2),1,0),IF($X52&lt;=20,1,0))</formula>
    </cfRule>
    <cfRule type="expression" dxfId="1678" priority="222">
      <formula>AND(IF($Q52=2,1,0),IF($X52&lt;30,1,0))</formula>
    </cfRule>
    <cfRule type="expression" dxfId="1677" priority="223">
      <formula>AND(IF($Q52=3,1,0),IF($X52&lt;30,1,0))</formula>
    </cfRule>
    <cfRule type="expression" dxfId="1676" priority="224">
      <formula>AND(IF($Q52=3,1,IF($Q52=4,1,0)),IF($F52&lt;=85,1,0))</formula>
    </cfRule>
  </conditionalFormatting>
  <conditionalFormatting sqref="AI52">
    <cfRule type="expression" dxfId="1675" priority="217">
      <formula>AND(IF(OR($Q52=1,$Q52=2),1,0),IF($X52&lt;=20,1,0))</formula>
    </cfRule>
    <cfRule type="expression" dxfId="1674" priority="218">
      <formula>AND(IF($Q52=2,1,0),IF($X52&lt;30,1,0))</formula>
    </cfRule>
    <cfRule type="expression" dxfId="1673" priority="219">
      <formula>AND(IF($Q52=3,1,0),IF($X52&lt;30,1,0))</formula>
    </cfRule>
    <cfRule type="expression" dxfId="1672" priority="220">
      <formula>AND(IF($Q52=3,1,IF($Q52=4,1,0)),IF($F52&lt;=85,1,0))</formula>
    </cfRule>
  </conditionalFormatting>
  <conditionalFormatting sqref="AV53">
    <cfRule type="expression" dxfId="1671" priority="215">
      <formula>AV53="X"</formula>
    </cfRule>
    <cfRule type="expression" dxfId="1670" priority="216">
      <formula>AV53="후보"</formula>
    </cfRule>
  </conditionalFormatting>
  <conditionalFormatting sqref="AC53">
    <cfRule type="cellIs" dxfId="1669" priority="213" operator="greaterThan">
      <formula>0.9</formula>
    </cfRule>
    <cfRule type="cellIs" dxfId="1668" priority="214" operator="greaterThan">
      <formula>0.85</formula>
    </cfRule>
  </conditionalFormatting>
  <conditionalFormatting sqref="N53">
    <cfRule type="cellIs" dxfId="1667" priority="211" operator="greaterThan">
      <formula>0.9</formula>
    </cfRule>
    <cfRule type="cellIs" dxfId="1666" priority="212" operator="greaterThan">
      <formula>0.85</formula>
    </cfRule>
  </conditionalFormatting>
  <conditionalFormatting sqref="E53">
    <cfRule type="expression" dxfId="1665" priority="207">
      <formula>AND(IF(OR($Q53=1,$Q53=2),1,0),IF($X53&lt;=20,1,0))</formula>
    </cfRule>
    <cfRule type="expression" dxfId="1664" priority="208">
      <formula>AND(IF($Q53=2,1,0),IF($X53&lt;30,1,0))</formula>
    </cfRule>
    <cfRule type="expression" dxfId="1663" priority="209">
      <formula>AND(IF($Q53=3,1,0),IF($X53&lt;30,1,0))</formula>
    </cfRule>
    <cfRule type="expression" dxfId="1662" priority="210">
      <formula>AND(IF($Q53=3,1,IF($Q53=4,1,0)),IF($F53&lt;=85,1,0))</formula>
    </cfRule>
  </conditionalFormatting>
  <conditionalFormatting sqref="X53">
    <cfRule type="expression" dxfId="1661" priority="203">
      <formula>AND(IF(OR($Q53=1,$Q53=2),1,0),IF($X53&lt;=20,1,0))</formula>
    </cfRule>
    <cfRule type="expression" dxfId="1660" priority="204">
      <formula>AND(IF($Q53=2,1,0),IF($X53&lt;30,1,0))</formula>
    </cfRule>
    <cfRule type="expression" dxfId="1659" priority="205">
      <formula>AND(IF($Q53=3,1,0),IF($X53&lt;30,1,0))</formula>
    </cfRule>
    <cfRule type="expression" dxfId="1658" priority="206">
      <formula>AND(IF($Q53=3,1,IF($Q53=4,1,0)),IF($F53&lt;=85,1,0))</formula>
    </cfRule>
  </conditionalFormatting>
  <conditionalFormatting sqref="AI53">
    <cfRule type="expression" dxfId="1657" priority="199">
      <formula>AND(IF(OR($Q53=1,$Q53=2),1,0),IF($X53&lt;=20,1,0))</formula>
    </cfRule>
    <cfRule type="expression" dxfId="1656" priority="200">
      <formula>AND(IF($Q53=2,1,0),IF($X53&lt;30,1,0))</formula>
    </cfRule>
    <cfRule type="expression" dxfId="1655" priority="201">
      <formula>AND(IF($Q53=3,1,0),IF($X53&lt;30,1,0))</formula>
    </cfRule>
    <cfRule type="expression" dxfId="1654" priority="202">
      <formula>AND(IF($Q53=3,1,IF($Q53=4,1,0)),IF($F53&lt;=85,1,0))</formula>
    </cfRule>
  </conditionalFormatting>
  <conditionalFormatting sqref="AV54">
    <cfRule type="expression" dxfId="1653" priority="197">
      <formula>AV54="X"</formula>
    </cfRule>
    <cfRule type="expression" dxfId="1652" priority="198">
      <formula>AV54="후보"</formula>
    </cfRule>
  </conditionalFormatting>
  <conditionalFormatting sqref="AC54">
    <cfRule type="cellIs" dxfId="1651" priority="195" operator="greaterThan">
      <formula>0.9</formula>
    </cfRule>
    <cfRule type="cellIs" dxfId="1650" priority="196" operator="greaterThan">
      <formula>0.85</formula>
    </cfRule>
  </conditionalFormatting>
  <conditionalFormatting sqref="N54">
    <cfRule type="cellIs" dxfId="1649" priority="193" operator="greaterThan">
      <formula>0.9</formula>
    </cfRule>
    <cfRule type="cellIs" dxfId="1648" priority="194" operator="greaterThan">
      <formula>0.85</formula>
    </cfRule>
  </conditionalFormatting>
  <conditionalFormatting sqref="E54">
    <cfRule type="expression" dxfId="1647" priority="189">
      <formula>AND(IF(OR($Q54=1,$Q54=2),1,0),IF($X54&lt;=20,1,0))</formula>
    </cfRule>
    <cfRule type="expression" dxfId="1646" priority="190">
      <formula>AND(IF($Q54=2,1,0),IF($X54&lt;30,1,0))</formula>
    </cfRule>
    <cfRule type="expression" dxfId="1645" priority="191">
      <formula>AND(IF($Q54=3,1,0),IF($X54&lt;30,1,0))</formula>
    </cfRule>
    <cfRule type="expression" dxfId="1644" priority="192">
      <formula>AND(IF($Q54=3,1,IF($Q54=4,1,0)),IF($F54&lt;=85,1,0))</formula>
    </cfRule>
  </conditionalFormatting>
  <conditionalFormatting sqref="X54">
    <cfRule type="expression" dxfId="1643" priority="185">
      <formula>AND(IF(OR($Q54=1,$Q54=2),1,0),IF($X54&lt;=20,1,0))</formula>
    </cfRule>
    <cfRule type="expression" dxfId="1642" priority="186">
      <formula>AND(IF($Q54=2,1,0),IF($X54&lt;30,1,0))</formula>
    </cfRule>
    <cfRule type="expression" dxfId="1641" priority="187">
      <formula>AND(IF($Q54=3,1,0),IF($X54&lt;30,1,0))</formula>
    </cfRule>
    <cfRule type="expression" dxfId="1640" priority="188">
      <formula>AND(IF($Q54=3,1,IF($Q54=4,1,0)),IF($F54&lt;=85,1,0))</formula>
    </cfRule>
  </conditionalFormatting>
  <conditionalFormatting sqref="AI54">
    <cfRule type="expression" dxfId="1639" priority="181">
      <formula>AND(IF(OR($Q54=1,$Q54=2),1,0),IF($X54&lt;=20,1,0))</formula>
    </cfRule>
    <cfRule type="expression" dxfId="1638" priority="182">
      <formula>AND(IF($Q54=2,1,0),IF($X54&lt;30,1,0))</formula>
    </cfRule>
    <cfRule type="expression" dxfId="1637" priority="183">
      <formula>AND(IF($Q54=3,1,0),IF($X54&lt;30,1,0))</formula>
    </cfRule>
    <cfRule type="expression" dxfId="1636" priority="184">
      <formula>AND(IF($Q54=3,1,IF($Q54=4,1,0)),IF($F54&lt;=85,1,0))</formula>
    </cfRule>
  </conditionalFormatting>
  <conditionalFormatting sqref="AV55">
    <cfRule type="expression" dxfId="1635" priority="179">
      <formula>AV55="X"</formula>
    </cfRule>
    <cfRule type="expression" dxfId="1634" priority="180">
      <formula>AV55="후보"</formula>
    </cfRule>
  </conditionalFormatting>
  <conditionalFormatting sqref="AC55">
    <cfRule type="cellIs" dxfId="1633" priority="177" operator="greaterThan">
      <formula>0.9</formula>
    </cfRule>
    <cfRule type="cellIs" dxfId="1632" priority="178" operator="greaterThan">
      <formula>0.85</formula>
    </cfRule>
  </conditionalFormatting>
  <conditionalFormatting sqref="N55">
    <cfRule type="cellIs" dxfId="1631" priority="175" operator="greaterThan">
      <formula>0.9</formula>
    </cfRule>
    <cfRule type="cellIs" dxfId="1630" priority="176" operator="greaterThan">
      <formula>0.85</formula>
    </cfRule>
  </conditionalFormatting>
  <conditionalFormatting sqref="E55">
    <cfRule type="expression" dxfId="1629" priority="171">
      <formula>AND(IF(OR($Q55=1,$Q55=2),1,0),IF($X55&lt;=20,1,0))</formula>
    </cfRule>
    <cfRule type="expression" dxfId="1628" priority="172">
      <formula>AND(IF($Q55=2,1,0),IF($X55&lt;30,1,0))</formula>
    </cfRule>
    <cfRule type="expression" dxfId="1627" priority="173">
      <formula>AND(IF($Q55=3,1,0),IF($X55&lt;30,1,0))</formula>
    </cfRule>
    <cfRule type="expression" dxfId="1626" priority="174">
      <formula>AND(IF($Q55=3,1,IF($Q55=4,1,0)),IF($F55&lt;=85,1,0))</formula>
    </cfRule>
  </conditionalFormatting>
  <conditionalFormatting sqref="X55">
    <cfRule type="expression" dxfId="1625" priority="167">
      <formula>AND(IF(OR($Q55=1,$Q55=2),1,0),IF($X55&lt;=20,1,0))</formula>
    </cfRule>
    <cfRule type="expression" dxfId="1624" priority="168">
      <formula>AND(IF($Q55=2,1,0),IF($X55&lt;30,1,0))</formula>
    </cfRule>
    <cfRule type="expression" dxfId="1623" priority="169">
      <formula>AND(IF($Q55=3,1,0),IF($X55&lt;30,1,0))</formula>
    </cfRule>
    <cfRule type="expression" dxfId="1622" priority="170">
      <formula>AND(IF($Q55=3,1,IF($Q55=4,1,0)),IF($F55&lt;=85,1,0))</formula>
    </cfRule>
  </conditionalFormatting>
  <conditionalFormatting sqref="AI55">
    <cfRule type="expression" dxfId="1621" priority="163">
      <formula>AND(IF(OR($Q55=1,$Q55=2),1,0),IF($X55&lt;=20,1,0))</formula>
    </cfRule>
    <cfRule type="expression" dxfId="1620" priority="164">
      <formula>AND(IF($Q55=2,1,0),IF($X55&lt;30,1,0))</formula>
    </cfRule>
    <cfRule type="expression" dxfId="1619" priority="165">
      <formula>AND(IF($Q55=3,1,0),IF($X55&lt;30,1,0))</formula>
    </cfRule>
    <cfRule type="expression" dxfId="1618" priority="166">
      <formula>AND(IF($Q55=3,1,IF($Q55=4,1,0)),IF($F55&lt;=85,1,0))</formula>
    </cfRule>
  </conditionalFormatting>
  <conditionalFormatting sqref="AV56">
    <cfRule type="expression" dxfId="1617" priority="161">
      <formula>AV56="X"</formula>
    </cfRule>
    <cfRule type="expression" dxfId="1616" priority="162">
      <formula>AV56="후보"</formula>
    </cfRule>
  </conditionalFormatting>
  <conditionalFormatting sqref="AC56">
    <cfRule type="cellIs" dxfId="1615" priority="159" operator="greaterThan">
      <formula>0.9</formula>
    </cfRule>
    <cfRule type="cellIs" dxfId="1614" priority="160" operator="greaterThan">
      <formula>0.85</formula>
    </cfRule>
  </conditionalFormatting>
  <conditionalFormatting sqref="N56">
    <cfRule type="cellIs" dxfId="1613" priority="157" operator="greaterThan">
      <formula>0.9</formula>
    </cfRule>
    <cfRule type="cellIs" dxfId="1612" priority="158" operator="greaterThan">
      <formula>0.85</formula>
    </cfRule>
  </conditionalFormatting>
  <conditionalFormatting sqref="E56">
    <cfRule type="expression" dxfId="1611" priority="153">
      <formula>AND(IF(OR($Q56=1,$Q56=2),1,0),IF($X56&lt;=20,1,0))</formula>
    </cfRule>
    <cfRule type="expression" dxfId="1610" priority="154">
      <formula>AND(IF($Q56=2,1,0),IF($X56&lt;30,1,0))</formula>
    </cfRule>
    <cfRule type="expression" dxfId="1609" priority="155">
      <formula>AND(IF($Q56=3,1,0),IF($X56&lt;30,1,0))</formula>
    </cfRule>
    <cfRule type="expression" dxfId="1608" priority="156">
      <formula>AND(IF($Q56=3,1,IF($Q56=4,1,0)),IF($F56&lt;=85,1,0))</formula>
    </cfRule>
  </conditionalFormatting>
  <conditionalFormatting sqref="X56">
    <cfRule type="expression" dxfId="1607" priority="149">
      <formula>AND(IF(OR($Q56=1,$Q56=2),1,0),IF($X56&lt;=20,1,0))</formula>
    </cfRule>
    <cfRule type="expression" dxfId="1606" priority="150">
      <formula>AND(IF($Q56=2,1,0),IF($X56&lt;30,1,0))</formula>
    </cfRule>
    <cfRule type="expression" dxfId="1605" priority="151">
      <formula>AND(IF($Q56=3,1,0),IF($X56&lt;30,1,0))</formula>
    </cfRule>
    <cfRule type="expression" dxfId="1604" priority="152">
      <formula>AND(IF($Q56=3,1,IF($Q56=4,1,0)),IF($F56&lt;=85,1,0))</formula>
    </cfRule>
  </conditionalFormatting>
  <conditionalFormatting sqref="AI56">
    <cfRule type="expression" dxfId="1603" priority="145">
      <formula>AND(IF(OR($Q56=1,$Q56=2),1,0),IF($X56&lt;=20,1,0))</formula>
    </cfRule>
    <cfRule type="expression" dxfId="1602" priority="146">
      <formula>AND(IF($Q56=2,1,0),IF($X56&lt;30,1,0))</formula>
    </cfRule>
    <cfRule type="expression" dxfId="1601" priority="147">
      <formula>AND(IF($Q56=3,1,0),IF($X56&lt;30,1,0))</formula>
    </cfRule>
    <cfRule type="expression" dxfId="1600" priority="148">
      <formula>AND(IF($Q56=3,1,IF($Q56=4,1,0)),IF($F56&lt;=85,1,0))</formula>
    </cfRule>
  </conditionalFormatting>
  <conditionalFormatting sqref="AV57">
    <cfRule type="expression" dxfId="1599" priority="143">
      <formula>AV57="X"</formula>
    </cfRule>
    <cfRule type="expression" dxfId="1598" priority="144">
      <formula>AV57="후보"</formula>
    </cfRule>
  </conditionalFormatting>
  <conditionalFormatting sqref="AC57">
    <cfRule type="cellIs" dxfId="1597" priority="141" operator="greaterThan">
      <formula>0.9</formula>
    </cfRule>
    <cfRule type="cellIs" dxfId="1596" priority="142" operator="greaterThan">
      <formula>0.85</formula>
    </cfRule>
  </conditionalFormatting>
  <conditionalFormatting sqref="N57">
    <cfRule type="cellIs" dxfId="1595" priority="139" operator="greaterThan">
      <formula>0.9</formula>
    </cfRule>
    <cfRule type="cellIs" dxfId="1594" priority="140" operator="greaterThan">
      <formula>0.85</formula>
    </cfRule>
  </conditionalFormatting>
  <conditionalFormatting sqref="E57">
    <cfRule type="expression" dxfId="1593" priority="135">
      <formula>AND(IF(OR($Q57=1,$Q57=2),1,0),IF($X57&lt;=20,1,0))</formula>
    </cfRule>
    <cfRule type="expression" dxfId="1592" priority="136">
      <formula>AND(IF($Q57=2,1,0),IF($X57&lt;30,1,0))</formula>
    </cfRule>
    <cfRule type="expression" dxfId="1591" priority="137">
      <formula>AND(IF($Q57=3,1,0),IF($X57&lt;30,1,0))</formula>
    </cfRule>
    <cfRule type="expression" dxfId="1590" priority="138">
      <formula>AND(IF($Q57=3,1,IF($Q57=4,1,0)),IF($F57&lt;=85,1,0))</formula>
    </cfRule>
  </conditionalFormatting>
  <conditionalFormatting sqref="X57">
    <cfRule type="expression" dxfId="1589" priority="131">
      <formula>AND(IF(OR($Q57=1,$Q57=2),1,0),IF($X57&lt;=20,1,0))</formula>
    </cfRule>
    <cfRule type="expression" dxfId="1588" priority="132">
      <formula>AND(IF($Q57=2,1,0),IF($X57&lt;30,1,0))</formula>
    </cfRule>
    <cfRule type="expression" dxfId="1587" priority="133">
      <formula>AND(IF($Q57=3,1,0),IF($X57&lt;30,1,0))</formula>
    </cfRule>
    <cfRule type="expression" dxfId="1586" priority="134">
      <formula>AND(IF($Q57=3,1,IF($Q57=4,1,0)),IF($F57&lt;=85,1,0))</formula>
    </cfRule>
  </conditionalFormatting>
  <conditionalFormatting sqref="AI57">
    <cfRule type="expression" dxfId="1585" priority="127">
      <formula>AND(IF(OR($Q57=1,$Q57=2),1,0),IF($X57&lt;=20,1,0))</formula>
    </cfRule>
    <cfRule type="expression" dxfId="1584" priority="128">
      <formula>AND(IF($Q57=2,1,0),IF($X57&lt;30,1,0))</formula>
    </cfRule>
    <cfRule type="expression" dxfId="1583" priority="129">
      <formula>AND(IF($Q57=3,1,0),IF($X57&lt;30,1,0))</formula>
    </cfRule>
    <cfRule type="expression" dxfId="1582" priority="130">
      <formula>AND(IF($Q57=3,1,IF($Q57=4,1,0)),IF($F57&lt;=85,1,0))</formula>
    </cfRule>
  </conditionalFormatting>
  <conditionalFormatting sqref="AV58">
    <cfRule type="expression" dxfId="1581" priority="125">
      <formula>AV58="X"</formula>
    </cfRule>
    <cfRule type="expression" dxfId="1580" priority="126">
      <formula>AV58="후보"</formula>
    </cfRule>
  </conditionalFormatting>
  <conditionalFormatting sqref="AC58">
    <cfRule type="cellIs" dxfId="1579" priority="123" operator="greaterThan">
      <formula>0.9</formula>
    </cfRule>
    <cfRule type="cellIs" dxfId="1578" priority="124" operator="greaterThan">
      <formula>0.85</formula>
    </cfRule>
  </conditionalFormatting>
  <conditionalFormatting sqref="N58">
    <cfRule type="cellIs" dxfId="1577" priority="121" operator="greaterThan">
      <formula>0.9</formula>
    </cfRule>
    <cfRule type="cellIs" dxfId="1576" priority="122" operator="greaterThan">
      <formula>0.85</formula>
    </cfRule>
  </conditionalFormatting>
  <conditionalFormatting sqref="E58">
    <cfRule type="expression" dxfId="1575" priority="117">
      <formula>AND(IF(OR($Q58=1,$Q58=2),1,0),IF($X58&lt;=20,1,0))</formula>
    </cfRule>
    <cfRule type="expression" dxfId="1574" priority="118">
      <formula>AND(IF($Q58=2,1,0),IF($X58&lt;30,1,0))</formula>
    </cfRule>
    <cfRule type="expression" dxfId="1573" priority="119">
      <formula>AND(IF($Q58=3,1,0),IF($X58&lt;30,1,0))</formula>
    </cfRule>
    <cfRule type="expression" dxfId="1572" priority="120">
      <formula>AND(IF($Q58=3,1,IF($Q58=4,1,0)),IF($F58&lt;=85,1,0))</formula>
    </cfRule>
  </conditionalFormatting>
  <conditionalFormatting sqref="X58">
    <cfRule type="expression" dxfId="1571" priority="113">
      <formula>AND(IF(OR($Q58=1,$Q58=2),1,0),IF($X58&lt;=20,1,0))</formula>
    </cfRule>
    <cfRule type="expression" dxfId="1570" priority="114">
      <formula>AND(IF($Q58=2,1,0),IF($X58&lt;30,1,0))</formula>
    </cfRule>
    <cfRule type="expression" dxfId="1569" priority="115">
      <formula>AND(IF($Q58=3,1,0),IF($X58&lt;30,1,0))</formula>
    </cfRule>
    <cfRule type="expression" dxfId="1568" priority="116">
      <formula>AND(IF($Q58=3,1,IF($Q58=4,1,0)),IF($F58&lt;=85,1,0))</formula>
    </cfRule>
  </conditionalFormatting>
  <conditionalFormatting sqref="AI58">
    <cfRule type="expression" dxfId="1567" priority="109">
      <formula>AND(IF(OR($Q58=1,$Q58=2),1,0),IF($X58&lt;=20,1,0))</formula>
    </cfRule>
    <cfRule type="expression" dxfId="1566" priority="110">
      <formula>AND(IF($Q58=2,1,0),IF($X58&lt;30,1,0))</formula>
    </cfRule>
    <cfRule type="expression" dxfId="1565" priority="111">
      <formula>AND(IF($Q58=3,1,0),IF($X58&lt;30,1,0))</formula>
    </cfRule>
    <cfRule type="expression" dxfId="1564" priority="112">
      <formula>AND(IF($Q58=3,1,IF($Q58=4,1,0)),IF($F58&lt;=85,1,0))</formula>
    </cfRule>
  </conditionalFormatting>
  <conditionalFormatting sqref="AV59">
    <cfRule type="expression" dxfId="1563" priority="107">
      <formula>AV59="X"</formula>
    </cfRule>
    <cfRule type="expression" dxfId="1562" priority="108">
      <formula>AV59="후보"</formula>
    </cfRule>
  </conditionalFormatting>
  <conditionalFormatting sqref="AC59">
    <cfRule type="cellIs" dxfId="1561" priority="105" operator="greaterThan">
      <formula>0.9</formula>
    </cfRule>
    <cfRule type="cellIs" dxfId="1560" priority="106" operator="greaterThan">
      <formula>0.85</formula>
    </cfRule>
  </conditionalFormatting>
  <conditionalFormatting sqref="N59">
    <cfRule type="cellIs" dxfId="1559" priority="103" operator="greaterThan">
      <formula>0.9</formula>
    </cfRule>
    <cfRule type="cellIs" dxfId="1558" priority="104" operator="greaterThan">
      <formula>0.85</formula>
    </cfRule>
  </conditionalFormatting>
  <conditionalFormatting sqref="E59">
    <cfRule type="expression" dxfId="1557" priority="99">
      <formula>AND(IF(OR($Q59=1,$Q59=2),1,0),IF($X59&lt;=20,1,0))</formula>
    </cfRule>
    <cfRule type="expression" dxfId="1556" priority="100">
      <formula>AND(IF($Q59=2,1,0),IF($X59&lt;30,1,0))</formula>
    </cfRule>
    <cfRule type="expression" dxfId="1555" priority="101">
      <formula>AND(IF($Q59=3,1,0),IF($X59&lt;30,1,0))</formula>
    </cfRule>
    <cfRule type="expression" dxfId="1554" priority="102">
      <formula>AND(IF($Q59=3,1,IF($Q59=4,1,0)),IF($F59&lt;=85,1,0))</formula>
    </cfRule>
  </conditionalFormatting>
  <conditionalFormatting sqref="X59">
    <cfRule type="expression" dxfId="1553" priority="95">
      <formula>AND(IF(OR($Q59=1,$Q59=2),1,0),IF($X59&lt;=20,1,0))</formula>
    </cfRule>
    <cfRule type="expression" dxfId="1552" priority="96">
      <formula>AND(IF($Q59=2,1,0),IF($X59&lt;30,1,0))</formula>
    </cfRule>
    <cfRule type="expression" dxfId="1551" priority="97">
      <formula>AND(IF($Q59=3,1,0),IF($X59&lt;30,1,0))</formula>
    </cfRule>
    <cfRule type="expression" dxfId="1550" priority="98">
      <formula>AND(IF($Q59=3,1,IF($Q59=4,1,0)),IF($F59&lt;=85,1,0))</formula>
    </cfRule>
  </conditionalFormatting>
  <conditionalFormatting sqref="AI59">
    <cfRule type="expression" dxfId="1549" priority="91">
      <formula>AND(IF(OR($Q59=1,$Q59=2),1,0),IF($X59&lt;=20,1,0))</formula>
    </cfRule>
    <cfRule type="expression" dxfId="1548" priority="92">
      <formula>AND(IF($Q59=2,1,0),IF($X59&lt;30,1,0))</formula>
    </cfRule>
    <cfRule type="expression" dxfId="1547" priority="93">
      <formula>AND(IF($Q59=3,1,0),IF($X59&lt;30,1,0))</formula>
    </cfRule>
    <cfRule type="expression" dxfId="1546" priority="94">
      <formula>AND(IF($Q59=3,1,IF($Q59=4,1,0)),IF($F59&lt;=85,1,0))</formula>
    </cfRule>
  </conditionalFormatting>
  <conditionalFormatting sqref="AV60">
    <cfRule type="expression" dxfId="1545" priority="89">
      <formula>AV60="X"</formula>
    </cfRule>
    <cfRule type="expression" dxfId="1544" priority="90">
      <formula>AV60="후보"</formula>
    </cfRule>
  </conditionalFormatting>
  <conditionalFormatting sqref="AC60">
    <cfRule type="cellIs" dxfId="1543" priority="87" operator="greaterThan">
      <formula>0.9</formula>
    </cfRule>
    <cfRule type="cellIs" dxfId="1542" priority="88" operator="greaterThan">
      <formula>0.85</formula>
    </cfRule>
  </conditionalFormatting>
  <conditionalFormatting sqref="N60">
    <cfRule type="cellIs" dxfId="1541" priority="85" operator="greaterThan">
      <formula>0.9</formula>
    </cfRule>
    <cfRule type="cellIs" dxfId="1540" priority="86" operator="greaterThan">
      <formula>0.85</formula>
    </cfRule>
  </conditionalFormatting>
  <conditionalFormatting sqref="E60">
    <cfRule type="expression" dxfId="1539" priority="81">
      <formula>AND(IF(OR($Q60=1,$Q60=2),1,0),IF($X60&lt;=20,1,0))</formula>
    </cfRule>
    <cfRule type="expression" dxfId="1538" priority="82">
      <formula>AND(IF($Q60=2,1,0),IF($X60&lt;30,1,0))</formula>
    </cfRule>
    <cfRule type="expression" dxfId="1537" priority="83">
      <formula>AND(IF($Q60=3,1,0),IF($X60&lt;30,1,0))</formula>
    </cfRule>
    <cfRule type="expression" dxfId="1536" priority="84">
      <formula>AND(IF($Q60=3,1,IF($Q60=4,1,0)),IF($F60&lt;=85,1,0))</formula>
    </cfRule>
  </conditionalFormatting>
  <conditionalFormatting sqref="X60">
    <cfRule type="expression" dxfId="1535" priority="77">
      <formula>AND(IF(OR($Q60=1,$Q60=2),1,0),IF($X60&lt;=20,1,0))</formula>
    </cfRule>
    <cfRule type="expression" dxfId="1534" priority="78">
      <formula>AND(IF($Q60=2,1,0),IF($X60&lt;30,1,0))</formula>
    </cfRule>
    <cfRule type="expression" dxfId="1533" priority="79">
      <formula>AND(IF($Q60=3,1,0),IF($X60&lt;30,1,0))</formula>
    </cfRule>
    <cfRule type="expression" dxfId="1532" priority="80">
      <formula>AND(IF($Q60=3,1,IF($Q60=4,1,0)),IF($F60&lt;=85,1,0))</formula>
    </cfRule>
  </conditionalFormatting>
  <conditionalFormatting sqref="AI60">
    <cfRule type="expression" dxfId="1531" priority="73">
      <formula>AND(IF(OR($Q60=1,$Q60=2),1,0),IF($X60&lt;=20,1,0))</formula>
    </cfRule>
    <cfRule type="expression" dxfId="1530" priority="74">
      <formula>AND(IF($Q60=2,1,0),IF($X60&lt;30,1,0))</formula>
    </cfRule>
    <cfRule type="expression" dxfId="1529" priority="75">
      <formula>AND(IF($Q60=3,1,0),IF($X60&lt;30,1,0))</formula>
    </cfRule>
    <cfRule type="expression" dxfId="1528" priority="76">
      <formula>AND(IF($Q60=3,1,IF($Q60=4,1,0)),IF($F60&lt;=85,1,0))</formula>
    </cfRule>
  </conditionalFormatting>
  <conditionalFormatting sqref="AV61">
    <cfRule type="expression" dxfId="1527" priority="71">
      <formula>AV61="X"</formula>
    </cfRule>
    <cfRule type="expression" dxfId="1526" priority="72">
      <formula>AV61="후보"</formula>
    </cfRule>
  </conditionalFormatting>
  <conditionalFormatting sqref="AC61">
    <cfRule type="cellIs" dxfId="1525" priority="69" operator="greaterThan">
      <formula>0.9</formula>
    </cfRule>
    <cfRule type="cellIs" dxfId="1524" priority="70" operator="greaterThan">
      <formula>0.85</formula>
    </cfRule>
  </conditionalFormatting>
  <conditionalFormatting sqref="N61">
    <cfRule type="cellIs" dxfId="1523" priority="67" operator="greaterThan">
      <formula>0.9</formula>
    </cfRule>
    <cfRule type="cellIs" dxfId="1522" priority="68" operator="greaterThan">
      <formula>0.85</formula>
    </cfRule>
  </conditionalFormatting>
  <conditionalFormatting sqref="E61">
    <cfRule type="expression" dxfId="1521" priority="63">
      <formula>AND(IF(OR($Q61=1,$Q61=2),1,0),IF($X61&lt;=20,1,0))</formula>
    </cfRule>
    <cfRule type="expression" dxfId="1520" priority="64">
      <formula>AND(IF($Q61=2,1,0),IF($X61&lt;30,1,0))</formula>
    </cfRule>
    <cfRule type="expression" dxfId="1519" priority="65">
      <formula>AND(IF($Q61=3,1,0),IF($X61&lt;30,1,0))</formula>
    </cfRule>
    <cfRule type="expression" dxfId="1518" priority="66">
      <formula>AND(IF($Q61=3,1,IF($Q61=4,1,0)),IF($F61&lt;=85,1,0))</formula>
    </cfRule>
  </conditionalFormatting>
  <conditionalFormatting sqref="X61">
    <cfRule type="expression" dxfId="1517" priority="59">
      <formula>AND(IF(OR($Q61=1,$Q61=2),1,0),IF($X61&lt;=20,1,0))</formula>
    </cfRule>
    <cfRule type="expression" dxfId="1516" priority="60">
      <formula>AND(IF($Q61=2,1,0),IF($X61&lt;30,1,0))</formula>
    </cfRule>
    <cfRule type="expression" dxfId="1515" priority="61">
      <formula>AND(IF($Q61=3,1,0),IF($X61&lt;30,1,0))</formula>
    </cfRule>
    <cfRule type="expression" dxfId="1514" priority="62">
      <formula>AND(IF($Q61=3,1,IF($Q61=4,1,0)),IF($F61&lt;=85,1,0))</formula>
    </cfRule>
  </conditionalFormatting>
  <conditionalFormatting sqref="AI61">
    <cfRule type="expression" dxfId="1513" priority="55">
      <formula>AND(IF(OR($Q61=1,$Q61=2),1,0),IF($X61&lt;=20,1,0))</formula>
    </cfRule>
    <cfRule type="expression" dxfId="1512" priority="56">
      <formula>AND(IF($Q61=2,1,0),IF($X61&lt;30,1,0))</formula>
    </cfRule>
    <cfRule type="expression" dxfId="1511" priority="57">
      <formula>AND(IF($Q61=3,1,0),IF($X61&lt;30,1,0))</formula>
    </cfRule>
    <cfRule type="expression" dxfId="1510" priority="58">
      <formula>AND(IF($Q61=3,1,IF($Q61=4,1,0)),IF($F61&lt;=85,1,0))</formula>
    </cfRule>
  </conditionalFormatting>
  <conditionalFormatting sqref="AV62">
    <cfRule type="expression" dxfId="1509" priority="53">
      <formula>AV62="X"</formula>
    </cfRule>
    <cfRule type="expression" dxfId="1508" priority="54">
      <formula>AV62="후보"</formula>
    </cfRule>
  </conditionalFormatting>
  <conditionalFormatting sqref="AC62">
    <cfRule type="cellIs" dxfId="1507" priority="51" operator="greaterThan">
      <formula>0.9</formula>
    </cfRule>
    <cfRule type="cellIs" dxfId="1506" priority="52" operator="greaterThan">
      <formula>0.85</formula>
    </cfRule>
  </conditionalFormatting>
  <conditionalFormatting sqref="N62">
    <cfRule type="cellIs" dxfId="1505" priority="49" operator="greaterThan">
      <formula>0.9</formula>
    </cfRule>
    <cfRule type="cellIs" dxfId="1504" priority="50" operator="greaterThan">
      <formula>0.85</formula>
    </cfRule>
  </conditionalFormatting>
  <conditionalFormatting sqref="E62">
    <cfRule type="expression" dxfId="1503" priority="45">
      <formula>AND(IF(OR($Q62=1,$Q62=2),1,0),IF($X62&lt;=20,1,0))</formula>
    </cfRule>
    <cfRule type="expression" dxfId="1502" priority="46">
      <formula>AND(IF($Q62=2,1,0),IF($X62&lt;30,1,0))</formula>
    </cfRule>
    <cfRule type="expression" dxfId="1501" priority="47">
      <formula>AND(IF($Q62=3,1,0),IF($X62&lt;30,1,0))</formula>
    </cfRule>
    <cfRule type="expression" dxfId="1500" priority="48">
      <formula>AND(IF($Q62=3,1,IF($Q62=4,1,0)),IF($F62&lt;=85,1,0))</formula>
    </cfRule>
  </conditionalFormatting>
  <conditionalFormatting sqref="X62">
    <cfRule type="expression" dxfId="1499" priority="41">
      <formula>AND(IF(OR($Q62=1,$Q62=2),1,0),IF($X62&lt;=20,1,0))</formula>
    </cfRule>
    <cfRule type="expression" dxfId="1498" priority="42">
      <formula>AND(IF($Q62=2,1,0),IF($X62&lt;30,1,0))</formula>
    </cfRule>
    <cfRule type="expression" dxfId="1497" priority="43">
      <formula>AND(IF($Q62=3,1,0),IF($X62&lt;30,1,0))</formula>
    </cfRule>
    <cfRule type="expression" dxfId="1496" priority="44">
      <formula>AND(IF($Q62=3,1,IF($Q62=4,1,0)),IF($F62&lt;=85,1,0))</formula>
    </cfRule>
  </conditionalFormatting>
  <conditionalFormatting sqref="AI62">
    <cfRule type="expression" dxfId="1495" priority="37">
      <formula>AND(IF(OR($Q62=1,$Q62=2),1,0),IF($X62&lt;=20,1,0))</formula>
    </cfRule>
    <cfRule type="expression" dxfId="1494" priority="38">
      <formula>AND(IF($Q62=2,1,0),IF($X62&lt;30,1,0))</formula>
    </cfRule>
    <cfRule type="expression" dxfId="1493" priority="39">
      <formula>AND(IF($Q62=3,1,0),IF($X62&lt;30,1,0))</formula>
    </cfRule>
    <cfRule type="expression" dxfId="1492" priority="40">
      <formula>AND(IF($Q62=3,1,IF($Q62=4,1,0)),IF($F62&lt;=85,1,0))</formula>
    </cfRule>
  </conditionalFormatting>
  <conditionalFormatting sqref="AV63">
    <cfRule type="expression" dxfId="1491" priority="35">
      <formula>AV63="X"</formula>
    </cfRule>
    <cfRule type="expression" dxfId="1490" priority="36">
      <formula>AV63="후보"</formula>
    </cfRule>
  </conditionalFormatting>
  <conditionalFormatting sqref="AC63">
    <cfRule type="cellIs" dxfId="1489" priority="33" operator="greaterThan">
      <formula>0.9</formula>
    </cfRule>
    <cfRule type="cellIs" dxfId="1488" priority="34" operator="greaterThan">
      <formula>0.85</formula>
    </cfRule>
  </conditionalFormatting>
  <conditionalFormatting sqref="N63">
    <cfRule type="cellIs" dxfId="1487" priority="31" operator="greaterThan">
      <formula>0.9</formula>
    </cfRule>
    <cfRule type="cellIs" dxfId="1486" priority="32" operator="greaterThan">
      <formula>0.85</formula>
    </cfRule>
  </conditionalFormatting>
  <conditionalFormatting sqref="E63">
    <cfRule type="expression" dxfId="1485" priority="27">
      <formula>AND(IF(OR($Q63=1,$Q63=2),1,0),IF($X63&lt;=20,1,0))</formula>
    </cfRule>
    <cfRule type="expression" dxfId="1484" priority="28">
      <formula>AND(IF($Q63=2,1,0),IF($X63&lt;30,1,0))</formula>
    </cfRule>
    <cfRule type="expression" dxfId="1483" priority="29">
      <formula>AND(IF($Q63=3,1,0),IF($X63&lt;30,1,0))</formula>
    </cfRule>
    <cfRule type="expression" dxfId="1482" priority="30">
      <formula>AND(IF($Q63=3,1,IF($Q63=4,1,0)),IF($F63&lt;=85,1,0))</formula>
    </cfRule>
  </conditionalFormatting>
  <conditionalFormatting sqref="X63">
    <cfRule type="expression" dxfId="1481" priority="23">
      <formula>AND(IF(OR($Q63=1,$Q63=2),1,0),IF($X63&lt;=20,1,0))</formula>
    </cfRule>
    <cfRule type="expression" dxfId="1480" priority="24">
      <formula>AND(IF($Q63=2,1,0),IF($X63&lt;30,1,0))</formula>
    </cfRule>
    <cfRule type="expression" dxfId="1479" priority="25">
      <formula>AND(IF($Q63=3,1,0),IF($X63&lt;30,1,0))</formula>
    </cfRule>
    <cfRule type="expression" dxfId="1478" priority="26">
      <formula>AND(IF($Q63=3,1,IF($Q63=4,1,0)),IF($F63&lt;=85,1,0))</formula>
    </cfRule>
  </conditionalFormatting>
  <conditionalFormatting sqref="AI63">
    <cfRule type="expression" dxfId="1477" priority="19">
      <formula>AND(IF(OR($Q63=1,$Q63=2),1,0),IF($X63&lt;=20,1,0))</formula>
    </cfRule>
    <cfRule type="expression" dxfId="1476" priority="20">
      <formula>AND(IF($Q63=2,1,0),IF($X63&lt;30,1,0))</formula>
    </cfRule>
    <cfRule type="expression" dxfId="1475" priority="21">
      <formula>AND(IF($Q63=3,1,0),IF($X63&lt;30,1,0))</formula>
    </cfRule>
    <cfRule type="expression" dxfId="1474" priority="22">
      <formula>AND(IF($Q63=3,1,IF($Q63=4,1,0)),IF($F63&lt;=85,1,0))</formula>
    </cfRule>
  </conditionalFormatting>
  <conditionalFormatting sqref="AV64">
    <cfRule type="expression" dxfId="1473" priority="17">
      <formula>AV64="X"</formula>
    </cfRule>
    <cfRule type="expression" dxfId="1472" priority="18">
      <formula>AV64="후보"</formula>
    </cfRule>
  </conditionalFormatting>
  <conditionalFormatting sqref="AC64">
    <cfRule type="cellIs" dxfId="1471" priority="15" operator="greaterThan">
      <formula>0.9</formula>
    </cfRule>
    <cfRule type="cellIs" dxfId="1470" priority="16" operator="greaterThan">
      <formula>0.85</formula>
    </cfRule>
  </conditionalFormatting>
  <conditionalFormatting sqref="N64">
    <cfRule type="cellIs" dxfId="1469" priority="13" operator="greaterThan">
      <formula>0.9</formula>
    </cfRule>
    <cfRule type="cellIs" dxfId="1468" priority="14" operator="greaterThan">
      <formula>0.85</formula>
    </cfRule>
  </conditionalFormatting>
  <conditionalFormatting sqref="E64">
    <cfRule type="expression" dxfId="1467" priority="9">
      <formula>AND(IF(OR($Q64=1,$Q64=2),1,0),IF($X64&lt;=20,1,0))</formula>
    </cfRule>
    <cfRule type="expression" dxfId="1466" priority="10">
      <formula>AND(IF($Q64=2,1,0),IF($X64&lt;30,1,0))</formula>
    </cfRule>
    <cfRule type="expression" dxfId="1465" priority="11">
      <formula>AND(IF($Q64=3,1,0),IF($X64&lt;30,1,0))</formula>
    </cfRule>
    <cfRule type="expression" dxfId="1464" priority="12">
      <formula>AND(IF($Q64=3,1,IF($Q64=4,1,0)),IF($F64&lt;=85,1,0))</formula>
    </cfRule>
  </conditionalFormatting>
  <conditionalFormatting sqref="X64">
    <cfRule type="expression" dxfId="1463" priority="5">
      <formula>AND(IF(OR($Q64=1,$Q64=2),1,0),IF($X64&lt;=20,1,0))</formula>
    </cfRule>
    <cfRule type="expression" dxfId="1462" priority="6">
      <formula>AND(IF($Q64=2,1,0),IF($X64&lt;30,1,0))</formula>
    </cfRule>
    <cfRule type="expression" dxfId="1461" priority="7">
      <formula>AND(IF($Q64=3,1,0),IF($X64&lt;30,1,0))</formula>
    </cfRule>
    <cfRule type="expression" dxfId="1460" priority="8">
      <formula>AND(IF($Q64=3,1,IF($Q64=4,1,0)),IF($F64&lt;=85,1,0))</formula>
    </cfRule>
  </conditionalFormatting>
  <conditionalFormatting sqref="AI64">
    <cfRule type="expression" dxfId="1459" priority="1">
      <formula>AND(IF(OR($Q64=1,$Q64=2),1,0),IF($X64&lt;=20,1,0))</formula>
    </cfRule>
    <cfRule type="expression" dxfId="1458" priority="2">
      <formula>AND(IF($Q64=2,1,0),IF($X64&lt;30,1,0))</formula>
    </cfRule>
    <cfRule type="expression" dxfId="1457" priority="3">
      <formula>AND(IF($Q64=3,1,0),IF($X64&lt;30,1,0))</formula>
    </cfRule>
    <cfRule type="expression" dxfId="1456" priority="4">
      <formula>AND(IF($Q64=3,1,IF($Q64=4,1,0)),IF($F64&lt;=85,1,0))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7" bestFit="1" customWidth="1"/>
    <col min="2" max="2" width="5.625" style="77" bestFit="1" customWidth="1"/>
    <col min="3" max="3" width="6.625" style="77" bestFit="1" customWidth="1"/>
    <col min="4" max="4" width="5.625" style="77" bestFit="1" customWidth="1"/>
    <col min="5" max="5" width="4.625" style="77" bestFit="1" customWidth="1"/>
    <col min="6" max="6" width="5.625" style="77" bestFit="1" customWidth="1"/>
    <col min="7" max="7" width="4.625" style="77" bestFit="1" customWidth="1"/>
    <col min="8" max="8" width="6.625" style="77" bestFit="1" customWidth="1"/>
    <col min="9" max="9" width="7.75" style="77" bestFit="1" customWidth="1"/>
    <col min="10" max="10" width="4" style="77" bestFit="1" customWidth="1"/>
    <col min="11" max="11" width="6.875" style="77" bestFit="1" customWidth="1"/>
    <col min="12" max="12" width="4" style="77" bestFit="1" customWidth="1"/>
    <col min="13" max="13" width="6.875" style="77" bestFit="1" customWidth="1"/>
    <col min="14" max="14" width="4.625" style="77" bestFit="1" customWidth="1"/>
    <col min="15" max="16" width="7.625" style="77" bestFit="1" customWidth="1"/>
    <col min="17" max="19" width="3.25" style="77" bestFit="1" customWidth="1"/>
    <col min="20" max="20" width="10.125" style="77" customWidth="1"/>
    <col min="21" max="21" width="25" style="77" customWidth="1"/>
    <col min="22" max="22" width="9" style="77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6" t="s">
        <v>1</v>
      </c>
      <c r="K1" s="115"/>
      <c r="L1" s="44" t="s">
        <v>68</v>
      </c>
      <c r="M1"/>
      <c r="N1" s="116" t="s">
        <v>3</v>
      </c>
      <c r="O1" s="115"/>
      <c r="P1" s="79">
        <v>30</v>
      </c>
      <c r="Q1" s="117" t="s">
        <v>4</v>
      </c>
      <c r="R1" s="118"/>
      <c r="S1" s="115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8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8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8" t="s">
        <v>39</v>
      </c>
      <c r="V3" s="25"/>
    </row>
    <row r="4" spans="1:22" s="38" customFormat="1" ht="12" x14ac:dyDescent="0.3">
      <c r="A4" s="111" t="s">
        <v>548</v>
      </c>
      <c r="B4" s="112" t="s">
        <v>549</v>
      </c>
      <c r="C4" s="113">
        <v>936</v>
      </c>
      <c r="D4" s="104">
        <v>111.6</v>
      </c>
      <c r="E4" s="106">
        <v>34</v>
      </c>
      <c r="F4" s="104">
        <v>85</v>
      </c>
      <c r="G4" s="17">
        <v>26</v>
      </c>
      <c r="H4" s="107">
        <v>272</v>
      </c>
      <c r="I4" s="108">
        <v>56200</v>
      </c>
      <c r="J4" s="108" t="s">
        <v>372</v>
      </c>
      <c r="K4" s="108">
        <v>29000</v>
      </c>
      <c r="L4" s="108" t="s">
        <v>327</v>
      </c>
      <c r="M4" s="109">
        <f>I4-K4</f>
        <v>27200</v>
      </c>
      <c r="N4" s="4">
        <f>IF(ISERROR(K4/I4),"",K4/I4)</f>
        <v>0.51601423487544484</v>
      </c>
      <c r="O4" s="105">
        <f>I4/E4</f>
        <v>1652.9411764705883</v>
      </c>
      <c r="P4" s="105">
        <f>K4/E4</f>
        <v>852.94117647058829</v>
      </c>
      <c r="Q4" s="110">
        <v>3</v>
      </c>
      <c r="R4" s="110">
        <v>2</v>
      </c>
      <c r="S4" s="110" t="s">
        <v>324</v>
      </c>
      <c r="T4" s="5" t="s">
        <v>245</v>
      </c>
      <c r="U4" s="9"/>
    </row>
    <row r="5" spans="1:22" s="38" customFormat="1" ht="12" x14ac:dyDescent="0.3">
      <c r="A5" s="111" t="s">
        <v>495</v>
      </c>
      <c r="B5" s="112" t="s">
        <v>496</v>
      </c>
      <c r="C5" s="113">
        <v>536</v>
      </c>
      <c r="D5" s="104">
        <v>111</v>
      </c>
      <c r="E5" s="106">
        <v>34</v>
      </c>
      <c r="F5" s="104">
        <v>85</v>
      </c>
      <c r="G5" s="17">
        <v>26</v>
      </c>
      <c r="H5" s="107">
        <v>243</v>
      </c>
      <c r="I5" s="108">
        <v>50000</v>
      </c>
      <c r="J5" s="108" t="s">
        <v>335</v>
      </c>
      <c r="K5" s="108">
        <v>28000</v>
      </c>
      <c r="L5" s="108" t="s">
        <v>335</v>
      </c>
      <c r="M5" s="109">
        <f>I5-K5</f>
        <v>22000</v>
      </c>
      <c r="N5" s="4">
        <f>IF(ISERROR(K5/I5),"",K5/I5)</f>
        <v>0.56000000000000005</v>
      </c>
      <c r="O5" s="105">
        <f>I5/E5</f>
        <v>1470.5882352941176</v>
      </c>
      <c r="P5" s="105">
        <f>K5/E5</f>
        <v>823.52941176470586</v>
      </c>
      <c r="Q5" s="110">
        <v>3</v>
      </c>
      <c r="R5" s="110">
        <v>2</v>
      </c>
      <c r="S5" s="110" t="s">
        <v>324</v>
      </c>
      <c r="T5" s="5">
        <v>113</v>
      </c>
      <c r="U5" s="9"/>
    </row>
    <row r="6" spans="1:22" s="38" customFormat="1" ht="12" x14ac:dyDescent="0.3">
      <c r="A6" s="111" t="s">
        <v>530</v>
      </c>
      <c r="B6" s="112" t="s">
        <v>531</v>
      </c>
      <c r="C6" s="113">
        <v>682</v>
      </c>
      <c r="D6" s="104">
        <v>114.8</v>
      </c>
      <c r="E6" s="106">
        <v>35</v>
      </c>
      <c r="F6" s="104">
        <v>85</v>
      </c>
      <c r="G6" s="17">
        <v>26</v>
      </c>
      <c r="H6" s="107">
        <v>216</v>
      </c>
      <c r="I6" s="108">
        <v>50000</v>
      </c>
      <c r="J6" s="108" t="s">
        <v>361</v>
      </c>
      <c r="K6" s="108">
        <v>38000</v>
      </c>
      <c r="L6" s="108" t="s">
        <v>337</v>
      </c>
      <c r="M6" s="109">
        <f>I6-K6</f>
        <v>12000</v>
      </c>
      <c r="N6" s="4">
        <f>IF(ISERROR(K6/I6),"",K6/I6)</f>
        <v>0.76</v>
      </c>
      <c r="O6" s="105">
        <f>I6/E6</f>
        <v>1428.5714285714287</v>
      </c>
      <c r="P6" s="105">
        <f>K6/E6</f>
        <v>1085.7142857142858</v>
      </c>
      <c r="Q6" s="110">
        <v>3</v>
      </c>
      <c r="R6" s="110">
        <v>1</v>
      </c>
      <c r="S6" s="110" t="s">
        <v>355</v>
      </c>
      <c r="T6" s="5">
        <v>95</v>
      </c>
      <c r="U6" s="9"/>
    </row>
    <row r="7" spans="1:22" s="38" customFormat="1" ht="12" x14ac:dyDescent="0.3">
      <c r="A7" s="111" t="s">
        <v>561</v>
      </c>
      <c r="B7" s="112" t="s">
        <v>562</v>
      </c>
      <c r="C7" s="113">
        <v>838</v>
      </c>
      <c r="D7" s="104">
        <v>109</v>
      </c>
      <c r="E7" s="106">
        <v>33</v>
      </c>
      <c r="F7" s="104">
        <v>85</v>
      </c>
      <c r="G7" s="17">
        <v>26</v>
      </c>
      <c r="H7" s="107">
        <v>483</v>
      </c>
      <c r="I7" s="108">
        <v>49600</v>
      </c>
      <c r="J7" s="108" t="s">
        <v>361</v>
      </c>
      <c r="K7" s="108">
        <v>26000</v>
      </c>
      <c r="L7" s="108" t="s">
        <v>344</v>
      </c>
      <c r="M7" s="109">
        <f>I7-K7</f>
        <v>23600</v>
      </c>
      <c r="N7" s="4">
        <f>IF(ISERROR(K7/I7),"",K7/I7)</f>
        <v>0.52419354838709675</v>
      </c>
      <c r="O7" s="105">
        <f>I7/E7</f>
        <v>1503.030303030303</v>
      </c>
      <c r="P7" s="105">
        <f>K7/E7</f>
        <v>787.87878787878788</v>
      </c>
      <c r="Q7" s="110">
        <v>2</v>
      </c>
      <c r="R7" s="110">
        <v>1</v>
      </c>
      <c r="S7" s="110" t="s">
        <v>355</v>
      </c>
      <c r="T7" s="5">
        <v>51</v>
      </c>
      <c r="U7" s="9"/>
    </row>
    <row r="8" spans="1:22" s="38" customFormat="1" ht="12" x14ac:dyDescent="0.3">
      <c r="A8" s="111" t="s">
        <v>497</v>
      </c>
      <c r="B8" s="112" t="s">
        <v>498</v>
      </c>
      <c r="C8" s="113">
        <v>624</v>
      </c>
      <c r="D8" s="104">
        <v>110.3</v>
      </c>
      <c r="E8" s="106">
        <v>33</v>
      </c>
      <c r="F8" s="104">
        <v>85</v>
      </c>
      <c r="G8" s="17">
        <v>26</v>
      </c>
      <c r="H8" s="107">
        <v>266</v>
      </c>
      <c r="I8" s="108">
        <v>49000</v>
      </c>
      <c r="J8" s="108" t="s">
        <v>336</v>
      </c>
      <c r="K8" s="108">
        <v>28000</v>
      </c>
      <c r="L8" s="108" t="s">
        <v>337</v>
      </c>
      <c r="M8" s="109">
        <f>I8-K8</f>
        <v>21000</v>
      </c>
      <c r="N8" s="4">
        <f>IF(ISERROR(K8/I8),"",K8/I8)</f>
        <v>0.5714285714285714</v>
      </c>
      <c r="O8" s="105">
        <f>I8/E8</f>
        <v>1484.8484848484848</v>
      </c>
      <c r="P8" s="105">
        <f>K8/E8</f>
        <v>848.4848484848485</v>
      </c>
      <c r="Q8" s="110">
        <v>3</v>
      </c>
      <c r="R8" s="110">
        <v>2</v>
      </c>
      <c r="S8" s="110" t="s">
        <v>324</v>
      </c>
      <c r="T8" s="5" t="s">
        <v>122</v>
      </c>
      <c r="U8" s="9"/>
    </row>
    <row r="9" spans="1:22" s="38" customFormat="1" ht="12" x14ac:dyDescent="0.3">
      <c r="A9" s="111" t="s">
        <v>550</v>
      </c>
      <c r="B9" s="112" t="s">
        <v>527</v>
      </c>
      <c r="C9" s="113">
        <v>653</v>
      </c>
      <c r="D9" s="104">
        <v>111.5</v>
      </c>
      <c r="E9" s="106">
        <v>34</v>
      </c>
      <c r="F9" s="104">
        <v>85</v>
      </c>
      <c r="G9" s="17">
        <v>26</v>
      </c>
      <c r="H9" s="107">
        <v>245</v>
      </c>
      <c r="I9" s="108">
        <v>49000</v>
      </c>
      <c r="J9" s="108" t="s">
        <v>351</v>
      </c>
      <c r="K9" s="108"/>
      <c r="L9" s="108"/>
      <c r="M9" s="109">
        <f>I9-K9</f>
        <v>49000</v>
      </c>
      <c r="N9" s="4">
        <f>IF(ISERROR(K9/I9),"",K9/I9)</f>
        <v>0</v>
      </c>
      <c r="O9" s="105">
        <f>I9/E9</f>
        <v>1441.1764705882354</v>
      </c>
      <c r="P9" s="105">
        <f>K9/E9</f>
        <v>0</v>
      </c>
      <c r="Q9" s="110">
        <v>3</v>
      </c>
      <c r="R9" s="110">
        <v>1</v>
      </c>
      <c r="S9" s="110" t="s">
        <v>355</v>
      </c>
      <c r="T9" s="5">
        <v>94</v>
      </c>
      <c r="U9" s="9"/>
    </row>
    <row r="10" spans="1:22" s="38" customFormat="1" ht="12" x14ac:dyDescent="0.3">
      <c r="A10" s="111" t="s">
        <v>551</v>
      </c>
      <c r="B10" s="112" t="s">
        <v>552</v>
      </c>
      <c r="C10" s="113">
        <v>482</v>
      </c>
      <c r="D10" s="104">
        <v>108.4</v>
      </c>
      <c r="E10" s="106">
        <v>33</v>
      </c>
      <c r="F10" s="104">
        <v>84.9</v>
      </c>
      <c r="G10" s="17">
        <v>26</v>
      </c>
      <c r="H10" s="107">
        <v>72</v>
      </c>
      <c r="I10" s="108">
        <v>48000</v>
      </c>
      <c r="J10" s="108" t="s">
        <v>101</v>
      </c>
      <c r="K10" s="108"/>
      <c r="L10" s="108"/>
      <c r="M10" s="109">
        <f>I10-K10</f>
        <v>48000</v>
      </c>
      <c r="N10" s="4">
        <f>IF(ISERROR(K10/I10),"",K10/I10)</f>
        <v>0</v>
      </c>
      <c r="O10" s="105">
        <f>I10/E10</f>
        <v>1454.5454545454545</v>
      </c>
      <c r="P10" s="105">
        <f>K10/E10</f>
        <v>0</v>
      </c>
      <c r="Q10" s="110">
        <v>4</v>
      </c>
      <c r="R10" s="110">
        <v>2</v>
      </c>
      <c r="S10" s="110" t="s">
        <v>324</v>
      </c>
      <c r="T10" s="5" t="s">
        <v>255</v>
      </c>
      <c r="U10" s="9"/>
    </row>
    <row r="11" spans="1:22" s="38" customFormat="1" ht="12" x14ac:dyDescent="0.3">
      <c r="A11" s="111" t="s">
        <v>528</v>
      </c>
      <c r="B11" s="112" t="s">
        <v>529</v>
      </c>
      <c r="C11" s="113">
        <v>850</v>
      </c>
      <c r="D11" s="104">
        <v>112.6</v>
      </c>
      <c r="E11" s="106">
        <v>34</v>
      </c>
      <c r="F11" s="104">
        <v>85</v>
      </c>
      <c r="G11" s="17">
        <v>26</v>
      </c>
      <c r="H11" s="107">
        <v>246</v>
      </c>
      <c r="I11" s="108">
        <v>47000</v>
      </c>
      <c r="J11" s="108" t="s">
        <v>101</v>
      </c>
      <c r="K11" s="108">
        <v>34000</v>
      </c>
      <c r="L11" s="108" t="s">
        <v>101</v>
      </c>
      <c r="M11" s="109">
        <f>I11-K11</f>
        <v>13000</v>
      </c>
      <c r="N11" s="4">
        <f>IF(ISERROR(K11/I11),"",K11/I11)</f>
        <v>0.72340425531914898</v>
      </c>
      <c r="O11" s="105">
        <f>I11/E11</f>
        <v>1382.3529411764705</v>
      </c>
      <c r="P11" s="105">
        <f>K11/E11</f>
        <v>1000</v>
      </c>
      <c r="Q11" s="110">
        <v>2</v>
      </c>
      <c r="R11" s="110">
        <v>1</v>
      </c>
      <c r="S11" s="110" t="s">
        <v>324</v>
      </c>
      <c r="T11" s="5">
        <v>57</v>
      </c>
      <c r="U11" s="9"/>
    </row>
    <row r="12" spans="1:22" s="38" customFormat="1" ht="12" x14ac:dyDescent="0.3">
      <c r="A12" s="111" t="s">
        <v>501</v>
      </c>
      <c r="B12" s="112" t="s">
        <v>502</v>
      </c>
      <c r="C12" s="113">
        <v>1116</v>
      </c>
      <c r="D12" s="104">
        <v>113.4</v>
      </c>
      <c r="E12" s="106">
        <v>34</v>
      </c>
      <c r="F12" s="104">
        <v>85</v>
      </c>
      <c r="G12" s="17">
        <v>26</v>
      </c>
      <c r="H12" s="107">
        <v>472</v>
      </c>
      <c r="I12" s="108">
        <v>45000</v>
      </c>
      <c r="J12" s="108" t="s">
        <v>94</v>
      </c>
      <c r="K12" s="108">
        <v>25000</v>
      </c>
      <c r="L12" s="108" t="s">
        <v>342</v>
      </c>
      <c r="M12" s="109">
        <f>I12-K12</f>
        <v>20000</v>
      </c>
      <c r="N12" s="4">
        <f>IF(ISERROR(K12/I12),"",K12/I12)</f>
        <v>0.55555555555555558</v>
      </c>
      <c r="O12" s="105">
        <f>I12/E12</f>
        <v>1323.5294117647059</v>
      </c>
      <c r="P12" s="105">
        <f>K12/E12</f>
        <v>735.29411764705878</v>
      </c>
      <c r="Q12" s="110">
        <v>1</v>
      </c>
      <c r="R12" s="110">
        <v>1</v>
      </c>
      <c r="S12" s="110" t="s">
        <v>324</v>
      </c>
      <c r="T12" s="5" t="s">
        <v>135</v>
      </c>
      <c r="U12" s="9"/>
    </row>
    <row r="13" spans="1:22" s="38" customFormat="1" ht="12" x14ac:dyDescent="0.3">
      <c r="A13" s="111" t="s">
        <v>499</v>
      </c>
      <c r="B13" s="112" t="s">
        <v>500</v>
      </c>
      <c r="C13" s="113">
        <v>776</v>
      </c>
      <c r="D13" s="104">
        <v>114.7</v>
      </c>
      <c r="E13" s="106">
        <v>35</v>
      </c>
      <c r="F13" s="104">
        <v>85</v>
      </c>
      <c r="G13" s="17">
        <v>26</v>
      </c>
      <c r="H13" s="107">
        <v>428</v>
      </c>
      <c r="I13" s="108">
        <v>43000</v>
      </c>
      <c r="J13" s="108" t="s">
        <v>339</v>
      </c>
      <c r="K13" s="108">
        <v>25000</v>
      </c>
      <c r="L13" s="108" t="s">
        <v>340</v>
      </c>
      <c r="M13" s="109">
        <f>I13-K13</f>
        <v>18000</v>
      </c>
      <c r="N13" s="4">
        <f>IF(ISERROR(K13/I13),"",K13/I13)</f>
        <v>0.58139534883720934</v>
      </c>
      <c r="O13" s="105">
        <f>I13/E13</f>
        <v>1228.5714285714287</v>
      </c>
      <c r="P13" s="105">
        <f>K13/E13</f>
        <v>714.28571428571433</v>
      </c>
      <c r="Q13" s="110">
        <v>3</v>
      </c>
      <c r="R13" s="110">
        <v>2</v>
      </c>
      <c r="S13" s="110" t="s">
        <v>324</v>
      </c>
      <c r="T13" s="5" t="s">
        <v>128</v>
      </c>
      <c r="U13" s="9"/>
    </row>
    <row r="14" spans="1:22" s="38" customFormat="1" ht="12" x14ac:dyDescent="0.3">
      <c r="A14" s="111" t="s">
        <v>555</v>
      </c>
      <c r="B14" s="112" t="s">
        <v>556</v>
      </c>
      <c r="C14" s="113">
        <v>653</v>
      </c>
      <c r="D14" s="104">
        <v>98.2</v>
      </c>
      <c r="E14" s="106">
        <v>30</v>
      </c>
      <c r="F14" s="104">
        <v>75.3</v>
      </c>
      <c r="G14" s="17">
        <v>23</v>
      </c>
      <c r="H14" s="107">
        <v>221</v>
      </c>
      <c r="I14" s="108">
        <v>42000</v>
      </c>
      <c r="J14" s="108" t="s">
        <v>335</v>
      </c>
      <c r="K14" s="108">
        <v>29000</v>
      </c>
      <c r="L14" s="108" t="s">
        <v>351</v>
      </c>
      <c r="M14" s="109">
        <f>I14-K14</f>
        <v>13000</v>
      </c>
      <c r="N14" s="4">
        <f>IF(ISERROR(K14/I14),"",K14/I14)</f>
        <v>0.69047619047619047</v>
      </c>
      <c r="O14" s="105">
        <f>I14/E14</f>
        <v>1400</v>
      </c>
      <c r="P14" s="105">
        <f>K14/E14</f>
        <v>966.66666666666663</v>
      </c>
      <c r="Q14" s="110">
        <v>2</v>
      </c>
      <c r="R14" s="110">
        <v>1</v>
      </c>
      <c r="S14" s="110" t="s">
        <v>355</v>
      </c>
      <c r="T14" s="5" t="s">
        <v>261</v>
      </c>
      <c r="U14" s="9"/>
    </row>
    <row r="15" spans="1:22" s="38" customFormat="1" ht="12" x14ac:dyDescent="0.3">
      <c r="A15" s="111" t="s">
        <v>569</v>
      </c>
      <c r="B15" s="112" t="s">
        <v>570</v>
      </c>
      <c r="C15" s="113">
        <v>996</v>
      </c>
      <c r="D15" s="104">
        <v>109.8</v>
      </c>
      <c r="E15" s="106">
        <v>33</v>
      </c>
      <c r="F15" s="104">
        <v>84.9</v>
      </c>
      <c r="G15" s="17">
        <v>26</v>
      </c>
      <c r="H15" s="107">
        <v>169</v>
      </c>
      <c r="I15" s="108">
        <v>42000</v>
      </c>
      <c r="J15" s="108" t="s">
        <v>336</v>
      </c>
      <c r="K15" s="108">
        <v>27000</v>
      </c>
      <c r="L15" s="108" t="s">
        <v>372</v>
      </c>
      <c r="M15" s="109">
        <f>I15-K15</f>
        <v>15000</v>
      </c>
      <c r="N15" s="4">
        <f>IF(ISERROR(K15/I15),"",K15/I15)</f>
        <v>0.6428571428571429</v>
      </c>
      <c r="O15" s="105">
        <f>I15/E15</f>
        <v>1272.7272727272727</v>
      </c>
      <c r="P15" s="105">
        <f>K15/E15</f>
        <v>818.18181818181813</v>
      </c>
      <c r="Q15" s="110">
        <v>3</v>
      </c>
      <c r="R15" s="110">
        <v>1</v>
      </c>
      <c r="S15" s="110" t="s">
        <v>324</v>
      </c>
      <c r="T15" s="5" t="s">
        <v>83</v>
      </c>
      <c r="U15" s="9"/>
    </row>
    <row r="16" spans="1:22" s="38" customFormat="1" ht="12" x14ac:dyDescent="0.3">
      <c r="A16" s="111" t="s">
        <v>505</v>
      </c>
      <c r="B16" s="112" t="s">
        <v>502</v>
      </c>
      <c r="C16" s="113">
        <v>882</v>
      </c>
      <c r="D16" s="104">
        <v>113.5</v>
      </c>
      <c r="E16" s="106">
        <v>34</v>
      </c>
      <c r="F16" s="104">
        <v>85</v>
      </c>
      <c r="G16" s="17">
        <v>26</v>
      </c>
      <c r="H16" s="107">
        <v>407</v>
      </c>
      <c r="I16" s="108">
        <v>41000</v>
      </c>
      <c r="J16" s="108" t="s">
        <v>344</v>
      </c>
      <c r="K16" s="108">
        <v>25000</v>
      </c>
      <c r="L16" s="108" t="s">
        <v>101</v>
      </c>
      <c r="M16" s="109">
        <f>I16-K16</f>
        <v>16000</v>
      </c>
      <c r="N16" s="4">
        <f>IF(ISERROR(K16/I16),"",K16/I16)</f>
        <v>0.6097560975609756</v>
      </c>
      <c r="O16" s="105">
        <f>I16/E16</f>
        <v>1205.8823529411766</v>
      </c>
      <c r="P16" s="105">
        <f>K16/E16</f>
        <v>735.29411764705878</v>
      </c>
      <c r="Q16" s="110">
        <v>1</v>
      </c>
      <c r="R16" s="110">
        <v>1</v>
      </c>
      <c r="S16" s="110" t="s">
        <v>324</v>
      </c>
      <c r="T16" s="5" t="s">
        <v>145</v>
      </c>
      <c r="U16" s="9"/>
    </row>
    <row r="17" spans="1:21" s="38" customFormat="1" ht="12" x14ac:dyDescent="0.3">
      <c r="A17" s="111" t="s">
        <v>571</v>
      </c>
      <c r="B17" s="112" t="s">
        <v>494</v>
      </c>
      <c r="C17" s="113">
        <v>839</v>
      </c>
      <c r="D17" s="104">
        <v>115.8</v>
      </c>
      <c r="E17" s="106">
        <v>35</v>
      </c>
      <c r="F17" s="104">
        <v>85</v>
      </c>
      <c r="G17" s="17">
        <v>26</v>
      </c>
      <c r="H17" s="107">
        <v>322</v>
      </c>
      <c r="I17" s="108">
        <v>41000</v>
      </c>
      <c r="J17" s="108" t="s">
        <v>331</v>
      </c>
      <c r="K17" s="108">
        <v>30000</v>
      </c>
      <c r="L17" s="108" t="s">
        <v>372</v>
      </c>
      <c r="M17" s="109">
        <f>I17-K17</f>
        <v>11000</v>
      </c>
      <c r="N17" s="4">
        <f>IF(ISERROR(K17/I17),"",K17/I17)</f>
        <v>0.73170731707317072</v>
      </c>
      <c r="O17" s="105">
        <f>I17/E17</f>
        <v>1171.4285714285713</v>
      </c>
      <c r="P17" s="105">
        <f>K17/E17</f>
        <v>857.14285714285711</v>
      </c>
      <c r="Q17" s="110">
        <v>3</v>
      </c>
      <c r="R17" s="110">
        <v>2</v>
      </c>
      <c r="S17" s="110" t="s">
        <v>324</v>
      </c>
      <c r="T17" s="5">
        <v>115</v>
      </c>
      <c r="U17" s="9"/>
    </row>
    <row r="18" spans="1:21" s="38" customFormat="1" ht="12" x14ac:dyDescent="0.3">
      <c r="A18" s="111" t="s">
        <v>503</v>
      </c>
      <c r="B18" s="112" t="s">
        <v>504</v>
      </c>
      <c r="C18" s="113">
        <v>794</v>
      </c>
      <c r="D18" s="104">
        <v>111.9</v>
      </c>
      <c r="E18" s="106">
        <v>34</v>
      </c>
      <c r="F18" s="104">
        <v>85</v>
      </c>
      <c r="G18" s="17">
        <v>26</v>
      </c>
      <c r="H18" s="107">
        <v>263</v>
      </c>
      <c r="I18" s="108">
        <v>40000</v>
      </c>
      <c r="J18" s="108" t="s">
        <v>330</v>
      </c>
      <c r="K18" s="108">
        <v>25000</v>
      </c>
      <c r="L18" s="108" t="s">
        <v>94</v>
      </c>
      <c r="M18" s="109">
        <f>I18-K18</f>
        <v>15000</v>
      </c>
      <c r="N18" s="4">
        <f>IF(ISERROR(K18/I18),"",K18/I18)</f>
        <v>0.625</v>
      </c>
      <c r="O18" s="105">
        <f>I18/E18</f>
        <v>1176.4705882352941</v>
      </c>
      <c r="P18" s="105">
        <f>K18/E18</f>
        <v>735.29411764705878</v>
      </c>
      <c r="Q18" s="110">
        <v>3</v>
      </c>
      <c r="R18" s="110">
        <v>1</v>
      </c>
      <c r="S18" s="110" t="s">
        <v>324</v>
      </c>
      <c r="T18" s="5">
        <v>77</v>
      </c>
      <c r="U18" s="9"/>
    </row>
    <row r="19" spans="1:21" s="38" customFormat="1" ht="12" x14ac:dyDescent="0.3">
      <c r="A19" s="111" t="s">
        <v>511</v>
      </c>
      <c r="B19" s="112" t="s">
        <v>494</v>
      </c>
      <c r="C19" s="113">
        <v>713</v>
      </c>
      <c r="D19" s="104">
        <v>113.4</v>
      </c>
      <c r="E19" s="106">
        <v>34</v>
      </c>
      <c r="F19" s="104">
        <v>84.7</v>
      </c>
      <c r="G19" s="17">
        <v>26</v>
      </c>
      <c r="H19" s="107">
        <v>178</v>
      </c>
      <c r="I19" s="108">
        <v>40000</v>
      </c>
      <c r="J19" s="108" t="s">
        <v>336</v>
      </c>
      <c r="K19" s="108">
        <v>29000</v>
      </c>
      <c r="L19" s="108" t="s">
        <v>336</v>
      </c>
      <c r="M19" s="109">
        <f>I19-K19</f>
        <v>11000</v>
      </c>
      <c r="N19" s="4">
        <f>IF(ISERROR(K19/I19),"",K19/I19)</f>
        <v>0.72499999999999998</v>
      </c>
      <c r="O19" s="105">
        <f>I19/E19</f>
        <v>1176.4705882352941</v>
      </c>
      <c r="P19" s="105">
        <f>K19/E19</f>
        <v>852.94117647058829</v>
      </c>
      <c r="Q19" s="110">
        <v>4</v>
      </c>
      <c r="R19" s="110">
        <v>2</v>
      </c>
      <c r="S19" s="110" t="s">
        <v>324</v>
      </c>
      <c r="T19" s="5">
        <v>137</v>
      </c>
      <c r="U19" s="9"/>
    </row>
    <row r="20" spans="1:21" s="38" customFormat="1" ht="12" x14ac:dyDescent="0.3">
      <c r="A20" s="111" t="s">
        <v>532</v>
      </c>
      <c r="B20" s="112" t="s">
        <v>533</v>
      </c>
      <c r="C20" s="113">
        <v>418</v>
      </c>
      <c r="D20" s="104">
        <v>109.6</v>
      </c>
      <c r="E20" s="106">
        <v>33</v>
      </c>
      <c r="F20" s="104">
        <v>84.9</v>
      </c>
      <c r="G20" s="17">
        <v>26</v>
      </c>
      <c r="H20" s="107">
        <v>258</v>
      </c>
      <c r="I20" s="108">
        <v>40000</v>
      </c>
      <c r="J20" s="108" t="s">
        <v>94</v>
      </c>
      <c r="K20" s="108">
        <v>33000</v>
      </c>
      <c r="L20" s="108" t="s">
        <v>352</v>
      </c>
      <c r="M20" s="109">
        <f>I20-K20</f>
        <v>7000</v>
      </c>
      <c r="N20" s="4">
        <f>IF(ISERROR(K20/I20),"",K20/I20)</f>
        <v>0.82499999999999996</v>
      </c>
      <c r="O20" s="105">
        <f>I20/E20</f>
        <v>1212.121212121212</v>
      </c>
      <c r="P20" s="105">
        <f>K20/E20</f>
        <v>1000</v>
      </c>
      <c r="Q20" s="110">
        <v>3</v>
      </c>
      <c r="R20" s="110">
        <v>1</v>
      </c>
      <c r="S20" s="110" t="s">
        <v>324</v>
      </c>
      <c r="T20" s="5">
        <v>79</v>
      </c>
      <c r="U20" s="9"/>
    </row>
    <row r="21" spans="1:21" s="38" customFormat="1" ht="12" x14ac:dyDescent="0.3">
      <c r="A21" s="111" t="s">
        <v>506</v>
      </c>
      <c r="B21" s="112" t="s">
        <v>504</v>
      </c>
      <c r="C21" s="113">
        <v>548</v>
      </c>
      <c r="D21" s="104">
        <v>109.7</v>
      </c>
      <c r="E21" s="106">
        <v>33</v>
      </c>
      <c r="F21" s="104">
        <v>85</v>
      </c>
      <c r="G21" s="17">
        <v>26</v>
      </c>
      <c r="H21" s="107">
        <v>180</v>
      </c>
      <c r="I21" s="108">
        <v>39500</v>
      </c>
      <c r="J21" s="108" t="s">
        <v>101</v>
      </c>
      <c r="K21" s="108">
        <v>24000</v>
      </c>
      <c r="L21" s="108" t="s">
        <v>346</v>
      </c>
      <c r="M21" s="109">
        <f>I21-K21</f>
        <v>15500</v>
      </c>
      <c r="N21" s="4">
        <f>IF(ISERROR(K21/I21),"",K21/I21)</f>
        <v>0.60759493670886078</v>
      </c>
      <c r="O21" s="105">
        <f>I21/E21</f>
        <v>1196.969696969697</v>
      </c>
      <c r="P21" s="105">
        <f>K21/E21</f>
        <v>727.27272727272725</v>
      </c>
      <c r="Q21" s="110">
        <v>3</v>
      </c>
      <c r="R21" s="110">
        <v>2</v>
      </c>
      <c r="S21" s="110" t="s">
        <v>324</v>
      </c>
      <c r="T21" s="5" t="s">
        <v>153</v>
      </c>
      <c r="U21" s="9"/>
    </row>
    <row r="22" spans="1:21" s="38" customFormat="1" ht="12" x14ac:dyDescent="0.3">
      <c r="A22" s="111" t="s">
        <v>507</v>
      </c>
      <c r="B22" s="112" t="s">
        <v>508</v>
      </c>
      <c r="C22" s="113">
        <v>892</v>
      </c>
      <c r="D22" s="104">
        <v>111</v>
      </c>
      <c r="E22" s="106">
        <v>34</v>
      </c>
      <c r="F22" s="104">
        <v>84.9</v>
      </c>
      <c r="G22" s="17">
        <v>26</v>
      </c>
      <c r="H22" s="107">
        <v>532</v>
      </c>
      <c r="I22" s="108">
        <v>39500</v>
      </c>
      <c r="J22" s="108" t="s">
        <v>336</v>
      </c>
      <c r="K22" s="108">
        <v>26000</v>
      </c>
      <c r="L22" s="108" t="s">
        <v>337</v>
      </c>
      <c r="M22" s="109">
        <f>I22-K22</f>
        <v>13500</v>
      </c>
      <c r="N22" s="4">
        <f>IF(ISERROR(K22/I22),"",K22/I22)</f>
        <v>0.65822784810126578</v>
      </c>
      <c r="O22" s="105">
        <f>I22/E22</f>
        <v>1161.7647058823529</v>
      </c>
      <c r="P22" s="105">
        <f>K22/E22</f>
        <v>764.70588235294122</v>
      </c>
      <c r="Q22" s="110">
        <v>4</v>
      </c>
      <c r="R22" s="110">
        <v>2</v>
      </c>
      <c r="S22" s="110" t="s">
        <v>324</v>
      </c>
      <c r="T22" s="5">
        <v>146</v>
      </c>
      <c r="U22" s="9"/>
    </row>
    <row r="23" spans="1:21" s="38" customFormat="1" ht="12" x14ac:dyDescent="0.3">
      <c r="A23" s="111" t="s">
        <v>509</v>
      </c>
      <c r="B23" s="112" t="s">
        <v>510</v>
      </c>
      <c r="C23" s="113">
        <v>824</v>
      </c>
      <c r="D23" s="104">
        <v>110.9</v>
      </c>
      <c r="E23" s="106">
        <v>34</v>
      </c>
      <c r="F23" s="104">
        <v>84.9</v>
      </c>
      <c r="G23" s="17">
        <v>26</v>
      </c>
      <c r="H23" s="107">
        <v>494</v>
      </c>
      <c r="I23" s="108">
        <v>39500</v>
      </c>
      <c r="J23" s="108" t="s">
        <v>335</v>
      </c>
      <c r="K23" s="108">
        <v>25000</v>
      </c>
      <c r="L23" s="108" t="s">
        <v>101</v>
      </c>
      <c r="M23" s="109">
        <f>I23-K23</f>
        <v>14500</v>
      </c>
      <c r="N23" s="4">
        <f>IF(ISERROR(K23/I23),"",K23/I23)</f>
        <v>0.63291139240506333</v>
      </c>
      <c r="O23" s="105">
        <f>I23/E23</f>
        <v>1161.7647058823529</v>
      </c>
      <c r="P23" s="105">
        <f>K23/E23</f>
        <v>735.29411764705878</v>
      </c>
      <c r="Q23" s="110">
        <v>3</v>
      </c>
      <c r="R23" s="110">
        <v>2</v>
      </c>
      <c r="S23" s="110" t="s">
        <v>324</v>
      </c>
      <c r="T23" s="5" t="s">
        <v>160</v>
      </c>
      <c r="U23" s="9"/>
    </row>
    <row r="24" spans="1:21" s="38" customFormat="1" ht="12" x14ac:dyDescent="0.3">
      <c r="A24" s="111" t="s">
        <v>536</v>
      </c>
      <c r="B24" s="112" t="s">
        <v>537</v>
      </c>
      <c r="C24" s="113">
        <v>508</v>
      </c>
      <c r="D24" s="104">
        <v>111.3</v>
      </c>
      <c r="E24" s="106">
        <v>34</v>
      </c>
      <c r="F24" s="104">
        <v>85</v>
      </c>
      <c r="G24" s="17">
        <v>26</v>
      </c>
      <c r="H24" s="107">
        <v>84</v>
      </c>
      <c r="I24" s="108">
        <v>39500</v>
      </c>
      <c r="J24" s="108" t="s">
        <v>94</v>
      </c>
      <c r="K24" s="108">
        <v>30000</v>
      </c>
      <c r="L24" s="108" t="s">
        <v>94</v>
      </c>
      <c r="M24" s="109">
        <f>I24-K24</f>
        <v>9500</v>
      </c>
      <c r="N24" s="4">
        <f>IF(ISERROR(K24/I24),"",K24/I24)</f>
        <v>0.759493670886076</v>
      </c>
      <c r="O24" s="105">
        <f>I24/E24</f>
        <v>1161.7647058823529</v>
      </c>
      <c r="P24" s="105">
        <f>K24/E24</f>
        <v>882.35294117647061</v>
      </c>
      <c r="Q24" s="110">
        <v>1</v>
      </c>
      <c r="R24" s="110">
        <v>1</v>
      </c>
      <c r="S24" s="110" t="s">
        <v>324</v>
      </c>
      <c r="T24" s="5" t="s">
        <v>222</v>
      </c>
      <c r="U24" s="9"/>
    </row>
    <row r="25" spans="1:21" s="38" customFormat="1" ht="12" x14ac:dyDescent="0.3">
      <c r="A25" s="111" t="s">
        <v>538</v>
      </c>
      <c r="B25" s="112" t="s">
        <v>539</v>
      </c>
      <c r="C25" s="113">
        <v>855</v>
      </c>
      <c r="D25" s="104">
        <v>110.9</v>
      </c>
      <c r="E25" s="106">
        <v>34</v>
      </c>
      <c r="F25" s="104">
        <v>85</v>
      </c>
      <c r="G25" s="17">
        <v>26</v>
      </c>
      <c r="H25" s="107">
        <v>601</v>
      </c>
      <c r="I25" s="108">
        <v>39000</v>
      </c>
      <c r="J25" s="108" t="s">
        <v>94</v>
      </c>
      <c r="K25" s="108">
        <v>29000</v>
      </c>
      <c r="L25" s="108" t="s">
        <v>101</v>
      </c>
      <c r="M25" s="109">
        <f>I25-K25</f>
        <v>10000</v>
      </c>
      <c r="N25" s="4">
        <f>IF(ISERROR(K25/I25),"",K25/I25)</f>
        <v>0.74358974358974361</v>
      </c>
      <c r="O25" s="105">
        <f>I25/E25</f>
        <v>1147.0588235294117</v>
      </c>
      <c r="P25" s="105">
        <f>K25/E25</f>
        <v>852.94117647058829</v>
      </c>
      <c r="Q25" s="110">
        <v>3</v>
      </c>
      <c r="R25" s="110">
        <v>1</v>
      </c>
      <c r="S25" s="110" t="s">
        <v>324</v>
      </c>
      <c r="T25" s="5">
        <v>80</v>
      </c>
      <c r="U25" s="9"/>
    </row>
    <row r="26" spans="1:21" s="38" customFormat="1" ht="12" x14ac:dyDescent="0.3">
      <c r="A26" s="111" t="s">
        <v>563</v>
      </c>
      <c r="B26" s="112" t="s">
        <v>500</v>
      </c>
      <c r="C26" s="113">
        <v>348</v>
      </c>
      <c r="D26" s="104">
        <v>108.3</v>
      </c>
      <c r="E26" s="106">
        <v>33</v>
      </c>
      <c r="F26" s="104">
        <v>84.9</v>
      </c>
      <c r="G26" s="17">
        <v>26</v>
      </c>
      <c r="H26" s="107">
        <v>203</v>
      </c>
      <c r="I26" s="108">
        <v>39000</v>
      </c>
      <c r="J26" s="108" t="s">
        <v>349</v>
      </c>
      <c r="K26" s="108">
        <v>30000</v>
      </c>
      <c r="L26" s="108" t="s">
        <v>349</v>
      </c>
      <c r="M26" s="109">
        <f>I26-K26</f>
        <v>9000</v>
      </c>
      <c r="N26" s="4">
        <f>IF(ISERROR(K26/I26),"",K26/I26)</f>
        <v>0.76923076923076927</v>
      </c>
      <c r="O26" s="105">
        <f>I26/E26</f>
        <v>1181.8181818181818</v>
      </c>
      <c r="P26" s="105">
        <f>K26/E26</f>
        <v>909.09090909090912</v>
      </c>
      <c r="Q26" s="110">
        <v>3</v>
      </c>
      <c r="R26" s="110">
        <v>1</v>
      </c>
      <c r="S26" s="110" t="s">
        <v>324</v>
      </c>
      <c r="T26" s="5">
        <v>61</v>
      </c>
      <c r="U26" s="9"/>
    </row>
    <row r="27" spans="1:21" s="38" customFormat="1" ht="12" x14ac:dyDescent="0.3">
      <c r="A27" s="111" t="s">
        <v>534</v>
      </c>
      <c r="B27" s="112" t="s">
        <v>535</v>
      </c>
      <c r="C27" s="113">
        <v>728</v>
      </c>
      <c r="D27" s="104">
        <v>109.6</v>
      </c>
      <c r="E27" s="106">
        <v>33</v>
      </c>
      <c r="F27" s="104">
        <v>84.9</v>
      </c>
      <c r="G27" s="17">
        <v>26</v>
      </c>
      <c r="H27" s="107">
        <v>191</v>
      </c>
      <c r="I27" s="108">
        <v>38000</v>
      </c>
      <c r="J27" s="108" t="s">
        <v>94</v>
      </c>
      <c r="K27" s="108">
        <v>30000</v>
      </c>
      <c r="L27" s="108" t="s">
        <v>101</v>
      </c>
      <c r="M27" s="109">
        <f>I27-K27</f>
        <v>8000</v>
      </c>
      <c r="N27" s="4">
        <f>IF(ISERROR(K27/I27),"",K27/I27)</f>
        <v>0.78947368421052633</v>
      </c>
      <c r="O27" s="105">
        <f>I27/E27</f>
        <v>1151.5151515151515</v>
      </c>
      <c r="P27" s="105">
        <f>K27/E27</f>
        <v>909.09090909090912</v>
      </c>
      <c r="Q27" s="110">
        <v>3</v>
      </c>
      <c r="R27" s="110">
        <v>2</v>
      </c>
      <c r="S27" s="110" t="s">
        <v>324</v>
      </c>
      <c r="T27" s="5" t="s">
        <v>216</v>
      </c>
      <c r="U27" s="9"/>
    </row>
    <row r="28" spans="1:21" s="38" customFormat="1" ht="12" x14ac:dyDescent="0.3">
      <c r="A28" s="111" t="s">
        <v>540</v>
      </c>
      <c r="B28" s="112" t="s">
        <v>541</v>
      </c>
      <c r="C28" s="113">
        <v>1110</v>
      </c>
      <c r="D28" s="104">
        <v>109.1</v>
      </c>
      <c r="E28" s="106">
        <v>33</v>
      </c>
      <c r="F28" s="104">
        <v>84.9</v>
      </c>
      <c r="G28" s="17">
        <v>26</v>
      </c>
      <c r="H28" s="107">
        <v>770</v>
      </c>
      <c r="I28" s="108">
        <v>37000</v>
      </c>
      <c r="J28" s="108" t="s">
        <v>94</v>
      </c>
      <c r="K28" s="108">
        <v>29000</v>
      </c>
      <c r="L28" s="108" t="s">
        <v>349</v>
      </c>
      <c r="M28" s="109">
        <f>I28-K28</f>
        <v>8000</v>
      </c>
      <c r="N28" s="4">
        <f>IF(ISERROR(K28/I28),"",K28/I28)</f>
        <v>0.78378378378378377</v>
      </c>
      <c r="O28" s="105">
        <f>I28/E28</f>
        <v>1121.2121212121212</v>
      </c>
      <c r="P28" s="105">
        <f>K28/E28</f>
        <v>878.78787878787875</v>
      </c>
      <c r="Q28" s="110">
        <v>3</v>
      </c>
      <c r="R28" s="110">
        <v>1</v>
      </c>
      <c r="S28" s="110" t="s">
        <v>355</v>
      </c>
      <c r="T28" s="5">
        <v>79</v>
      </c>
      <c r="U28" s="9"/>
    </row>
    <row r="29" spans="1:21" s="38" customFormat="1" ht="12" x14ac:dyDescent="0.3">
      <c r="A29" s="111" t="s">
        <v>572</v>
      </c>
      <c r="B29" s="112" t="s">
        <v>573</v>
      </c>
      <c r="C29" s="113">
        <v>566</v>
      </c>
      <c r="D29" s="104">
        <v>110.9</v>
      </c>
      <c r="E29" s="106">
        <v>34</v>
      </c>
      <c r="F29" s="104">
        <v>85</v>
      </c>
      <c r="G29" s="17">
        <v>26</v>
      </c>
      <c r="H29" s="107">
        <v>92</v>
      </c>
      <c r="I29" s="108">
        <v>37000</v>
      </c>
      <c r="J29" s="108" t="s">
        <v>327</v>
      </c>
      <c r="K29" s="108"/>
      <c r="L29" s="108"/>
      <c r="M29" s="109">
        <f>I29-K29</f>
        <v>37000</v>
      </c>
      <c r="N29" s="4">
        <f>IF(ISERROR(K29/I29),"",K29/I29)</f>
        <v>0</v>
      </c>
      <c r="O29" s="105">
        <f>I29/E29</f>
        <v>1088.2352941176471</v>
      </c>
      <c r="P29" s="105">
        <f>K29/E29</f>
        <v>0</v>
      </c>
      <c r="Q29" s="110">
        <v>3</v>
      </c>
      <c r="R29" s="110">
        <v>1</v>
      </c>
      <c r="S29" s="110" t="s">
        <v>324</v>
      </c>
      <c r="T29" s="5">
        <v>77</v>
      </c>
      <c r="U29" s="9"/>
    </row>
    <row r="30" spans="1:21" s="38" customFormat="1" ht="12" x14ac:dyDescent="0.3">
      <c r="A30" s="111" t="s">
        <v>565</v>
      </c>
      <c r="B30" s="112" t="s">
        <v>566</v>
      </c>
      <c r="C30" s="113">
        <v>724</v>
      </c>
      <c r="D30" s="104">
        <v>114.2</v>
      </c>
      <c r="E30" s="106">
        <v>35</v>
      </c>
      <c r="F30" s="104">
        <v>84.9</v>
      </c>
      <c r="G30" s="17">
        <v>26</v>
      </c>
      <c r="H30" s="107">
        <v>217</v>
      </c>
      <c r="I30" s="108">
        <v>36000</v>
      </c>
      <c r="J30" s="108" t="s">
        <v>349</v>
      </c>
      <c r="K30" s="108"/>
      <c r="L30" s="108"/>
      <c r="M30" s="109">
        <f>I30-K30</f>
        <v>36000</v>
      </c>
      <c r="N30" s="4">
        <f>IF(ISERROR(K30/I30),"",K30/I30)</f>
        <v>0</v>
      </c>
      <c r="O30" s="105">
        <f>I30/E30</f>
        <v>1028.5714285714287</v>
      </c>
      <c r="P30" s="105">
        <f>K30/E30</f>
        <v>0</v>
      </c>
      <c r="Q30" s="110">
        <v>3</v>
      </c>
      <c r="R30" s="110">
        <v>2</v>
      </c>
      <c r="S30" s="110" t="s">
        <v>324</v>
      </c>
      <c r="T30" s="5" t="s">
        <v>286</v>
      </c>
      <c r="U30" s="9"/>
    </row>
    <row r="31" spans="1:21" s="38" customFormat="1" ht="12" x14ac:dyDescent="0.3">
      <c r="A31" s="111" t="s">
        <v>516</v>
      </c>
      <c r="B31" s="112" t="s">
        <v>517</v>
      </c>
      <c r="C31" s="113">
        <v>1430</v>
      </c>
      <c r="D31" s="104">
        <v>110.8</v>
      </c>
      <c r="E31" s="106">
        <v>34</v>
      </c>
      <c r="F31" s="104">
        <v>85</v>
      </c>
      <c r="G31" s="17">
        <v>26</v>
      </c>
      <c r="H31" s="107">
        <v>880</v>
      </c>
      <c r="I31" s="108">
        <v>35000</v>
      </c>
      <c r="J31" s="108" t="s">
        <v>101</v>
      </c>
      <c r="K31" s="108">
        <v>23000</v>
      </c>
      <c r="L31" s="108" t="s">
        <v>346</v>
      </c>
      <c r="M31" s="109">
        <f>I31-K31</f>
        <v>12000</v>
      </c>
      <c r="N31" s="4">
        <f>IF(ISERROR(K31/I31),"",K31/I31)</f>
        <v>0.65714285714285714</v>
      </c>
      <c r="O31" s="105">
        <f>I31/E31</f>
        <v>1029.4117647058824</v>
      </c>
      <c r="P31" s="105">
        <f>K31/E31</f>
        <v>676.47058823529414</v>
      </c>
      <c r="Q31" s="110">
        <v>3</v>
      </c>
      <c r="R31" s="110">
        <v>1</v>
      </c>
      <c r="S31" s="110" t="s">
        <v>324</v>
      </c>
      <c r="T31" s="5">
        <v>73</v>
      </c>
      <c r="U31" s="9"/>
    </row>
    <row r="32" spans="1:21" s="38" customFormat="1" ht="12" x14ac:dyDescent="0.3">
      <c r="A32" s="111" t="s">
        <v>564</v>
      </c>
      <c r="B32" s="112" t="s">
        <v>500</v>
      </c>
      <c r="C32" s="113">
        <v>571</v>
      </c>
      <c r="D32" s="104">
        <v>107.3</v>
      </c>
      <c r="E32" s="106">
        <v>32</v>
      </c>
      <c r="F32" s="104">
        <v>84.9</v>
      </c>
      <c r="G32" s="17">
        <v>26</v>
      </c>
      <c r="H32" s="107">
        <v>421</v>
      </c>
      <c r="I32" s="108">
        <v>35000</v>
      </c>
      <c r="J32" s="108" t="s">
        <v>336</v>
      </c>
      <c r="K32" s="108">
        <v>28000</v>
      </c>
      <c r="L32" s="108" t="s">
        <v>323</v>
      </c>
      <c r="M32" s="109">
        <f>I32-K32</f>
        <v>7000</v>
      </c>
      <c r="N32" s="4">
        <f>IF(ISERROR(K32/I32),"",K32/I32)</f>
        <v>0.8</v>
      </c>
      <c r="O32" s="105">
        <f>I32/E32</f>
        <v>1093.75</v>
      </c>
      <c r="P32" s="105">
        <f>K32/E32</f>
        <v>875</v>
      </c>
      <c r="Q32" s="110">
        <v>3</v>
      </c>
      <c r="R32" s="110">
        <v>2</v>
      </c>
      <c r="S32" s="110" t="s">
        <v>324</v>
      </c>
      <c r="T32" s="5">
        <v>158</v>
      </c>
      <c r="U32" s="9"/>
    </row>
    <row r="33" spans="1:21" s="38" customFormat="1" ht="12" x14ac:dyDescent="0.3">
      <c r="A33" s="111" t="s">
        <v>574</v>
      </c>
      <c r="B33" s="112" t="s">
        <v>566</v>
      </c>
      <c r="C33" s="113">
        <v>996</v>
      </c>
      <c r="D33" s="104">
        <v>98.6</v>
      </c>
      <c r="E33" s="106">
        <v>30</v>
      </c>
      <c r="F33" s="104">
        <v>72.900000000000006</v>
      </c>
      <c r="G33" s="17">
        <v>22</v>
      </c>
      <c r="H33" s="107">
        <v>323</v>
      </c>
      <c r="I33" s="108">
        <v>35000</v>
      </c>
      <c r="J33" s="108" t="s">
        <v>361</v>
      </c>
      <c r="K33" s="108">
        <v>26000</v>
      </c>
      <c r="L33" s="108" t="s">
        <v>361</v>
      </c>
      <c r="M33" s="109">
        <f>I33-K33</f>
        <v>9000</v>
      </c>
      <c r="N33" s="4">
        <f>IF(ISERROR(K33/I33),"",K33/I33)</f>
        <v>0.74285714285714288</v>
      </c>
      <c r="O33" s="105">
        <f>I33/E33</f>
        <v>1166.6666666666667</v>
      </c>
      <c r="P33" s="105">
        <f>K33/E33</f>
        <v>866.66666666666663</v>
      </c>
      <c r="Q33" s="110">
        <v>3</v>
      </c>
      <c r="R33" s="110">
        <v>1</v>
      </c>
      <c r="S33" s="110" t="s">
        <v>324</v>
      </c>
      <c r="T33" s="5" t="s">
        <v>309</v>
      </c>
      <c r="U33" s="9"/>
    </row>
    <row r="34" spans="1:21" s="38" customFormat="1" ht="12" x14ac:dyDescent="0.3">
      <c r="A34" s="111" t="s">
        <v>514</v>
      </c>
      <c r="B34" s="112" t="s">
        <v>515</v>
      </c>
      <c r="C34" s="113">
        <v>536</v>
      </c>
      <c r="D34" s="104">
        <v>81.2</v>
      </c>
      <c r="E34" s="106">
        <v>25</v>
      </c>
      <c r="F34" s="104">
        <v>60</v>
      </c>
      <c r="G34" s="17">
        <v>18</v>
      </c>
      <c r="H34" s="107">
        <v>128</v>
      </c>
      <c r="I34" s="108">
        <v>34500</v>
      </c>
      <c r="J34" s="108" t="s">
        <v>101</v>
      </c>
      <c r="K34" s="108"/>
      <c r="L34" s="108"/>
      <c r="M34" s="109">
        <f>I34-K34</f>
        <v>34500</v>
      </c>
      <c r="N34" s="4">
        <f>IF(ISERROR(K34/I34),"",K34/I34)</f>
        <v>0</v>
      </c>
      <c r="O34" s="105">
        <f>I34/E34</f>
        <v>1380</v>
      </c>
      <c r="P34" s="105">
        <f>K34/E34</f>
        <v>0</v>
      </c>
      <c r="Q34" s="110">
        <v>3</v>
      </c>
      <c r="R34" s="110">
        <v>2</v>
      </c>
      <c r="S34" s="110" t="s">
        <v>324</v>
      </c>
      <c r="T34" s="5">
        <v>104</v>
      </c>
      <c r="U34" s="9"/>
    </row>
    <row r="35" spans="1:21" s="38" customFormat="1" ht="12" x14ac:dyDescent="0.3">
      <c r="A35" s="111" t="s">
        <v>489</v>
      </c>
      <c r="B35" s="112" t="s">
        <v>490</v>
      </c>
      <c r="C35" s="113">
        <v>359</v>
      </c>
      <c r="D35" s="104">
        <v>110</v>
      </c>
      <c r="E35" s="106">
        <v>33</v>
      </c>
      <c r="F35" s="104">
        <v>80</v>
      </c>
      <c r="G35" s="17">
        <v>24</v>
      </c>
      <c r="H35" s="107">
        <v>157</v>
      </c>
      <c r="I35" s="108">
        <v>33000</v>
      </c>
      <c r="J35" s="108" t="s">
        <v>323</v>
      </c>
      <c r="K35" s="108"/>
      <c r="L35" s="108"/>
      <c r="M35" s="109">
        <f>I35-K35</f>
        <v>33000</v>
      </c>
      <c r="N35" s="4">
        <f>IF(ISERROR(K35/I35),"",K35/I35)</f>
        <v>0</v>
      </c>
      <c r="O35" s="105">
        <f>I35/E35</f>
        <v>1000</v>
      </c>
      <c r="P35" s="105">
        <f>K35/E35</f>
        <v>0</v>
      </c>
      <c r="Q35" s="110">
        <v>2</v>
      </c>
      <c r="R35" s="110">
        <v>1</v>
      </c>
      <c r="S35" s="110" t="s">
        <v>324</v>
      </c>
      <c r="T35" s="5" t="s">
        <v>83</v>
      </c>
      <c r="U35" s="9"/>
    </row>
    <row r="36" spans="1:21" s="38" customFormat="1" ht="12" x14ac:dyDescent="0.3">
      <c r="A36" s="111" t="s">
        <v>497</v>
      </c>
      <c r="B36" s="112" t="s">
        <v>496</v>
      </c>
      <c r="C36" s="113">
        <v>624</v>
      </c>
      <c r="D36" s="104">
        <v>81.599999999999994</v>
      </c>
      <c r="E36" s="106">
        <v>25</v>
      </c>
      <c r="F36" s="104">
        <v>60</v>
      </c>
      <c r="G36" s="17">
        <v>18</v>
      </c>
      <c r="H36" s="107">
        <v>157</v>
      </c>
      <c r="I36" s="108">
        <v>33000</v>
      </c>
      <c r="J36" s="108" t="s">
        <v>94</v>
      </c>
      <c r="K36" s="108">
        <v>22000</v>
      </c>
      <c r="L36" s="108" t="s">
        <v>349</v>
      </c>
      <c r="M36" s="109">
        <f>I36-K36</f>
        <v>11000</v>
      </c>
      <c r="N36" s="4">
        <f>IF(ISERROR(K36/I36),"",K36/I36)</f>
        <v>0.66666666666666663</v>
      </c>
      <c r="O36" s="105">
        <f>I36/E36</f>
        <v>1320</v>
      </c>
      <c r="P36" s="105">
        <f>K36/E36</f>
        <v>880</v>
      </c>
      <c r="Q36" s="110">
        <v>3</v>
      </c>
      <c r="R36" s="110">
        <v>2</v>
      </c>
      <c r="S36" s="110" t="s">
        <v>324</v>
      </c>
      <c r="T36" s="5" t="s">
        <v>179</v>
      </c>
      <c r="U36" s="9"/>
    </row>
    <row r="37" spans="1:21" s="38" customFormat="1" ht="12" x14ac:dyDescent="0.3">
      <c r="A37" s="111" t="s">
        <v>491</v>
      </c>
      <c r="B37" s="112" t="s">
        <v>492</v>
      </c>
      <c r="C37" s="113">
        <v>920</v>
      </c>
      <c r="D37" s="104">
        <v>116.9</v>
      </c>
      <c r="E37" s="106">
        <v>35</v>
      </c>
      <c r="F37" s="104">
        <v>84.9</v>
      </c>
      <c r="G37" s="17">
        <v>26</v>
      </c>
      <c r="H37" s="107">
        <v>62</v>
      </c>
      <c r="I37" s="108">
        <v>32000</v>
      </c>
      <c r="J37" s="108" t="s">
        <v>330</v>
      </c>
      <c r="K37" s="108">
        <v>28000</v>
      </c>
      <c r="L37" s="108" t="s">
        <v>331</v>
      </c>
      <c r="M37" s="109">
        <f>I37-K37</f>
        <v>4000</v>
      </c>
      <c r="N37" s="4">
        <f>IF(ISERROR(K37/I37),"",K37/I37)</f>
        <v>0.875</v>
      </c>
      <c r="O37" s="105">
        <f>I37/E37</f>
        <v>914.28571428571433</v>
      </c>
      <c r="P37" s="105">
        <f>K37/E37</f>
        <v>800</v>
      </c>
      <c r="Q37" s="110">
        <v>3</v>
      </c>
      <c r="R37" s="110">
        <v>2</v>
      </c>
      <c r="S37" s="110" t="s">
        <v>324</v>
      </c>
      <c r="T37" s="5" t="s">
        <v>95</v>
      </c>
      <c r="U37" s="9"/>
    </row>
    <row r="38" spans="1:21" s="38" customFormat="1" ht="12" x14ac:dyDescent="0.3">
      <c r="A38" s="111" t="s">
        <v>559</v>
      </c>
      <c r="B38" s="112" t="s">
        <v>560</v>
      </c>
      <c r="C38" s="113">
        <v>639</v>
      </c>
      <c r="D38" s="104">
        <v>88.6</v>
      </c>
      <c r="E38" s="106">
        <v>27</v>
      </c>
      <c r="F38" s="104">
        <v>59.9</v>
      </c>
      <c r="G38" s="17">
        <v>18</v>
      </c>
      <c r="H38" s="107">
        <v>337</v>
      </c>
      <c r="I38" s="108">
        <v>32000</v>
      </c>
      <c r="J38" s="108" t="s">
        <v>101</v>
      </c>
      <c r="K38" s="108">
        <v>25000</v>
      </c>
      <c r="L38" s="108" t="s">
        <v>101</v>
      </c>
      <c r="M38" s="109">
        <f>I38-K38</f>
        <v>7000</v>
      </c>
      <c r="N38" s="4">
        <f>IF(ISERROR(K38/I38),"",K38/I38)</f>
        <v>0.78125</v>
      </c>
      <c r="O38" s="105">
        <f>I38/E38</f>
        <v>1185.1851851851852</v>
      </c>
      <c r="P38" s="105">
        <f>K38/E38</f>
        <v>925.92592592592598</v>
      </c>
      <c r="Q38" s="110">
        <v>3</v>
      </c>
      <c r="R38" s="110">
        <v>2</v>
      </c>
      <c r="S38" s="110" t="s">
        <v>324</v>
      </c>
      <c r="T38" s="5" t="s">
        <v>265</v>
      </c>
      <c r="U38" s="9"/>
    </row>
    <row r="39" spans="1:21" s="38" customFormat="1" ht="12" x14ac:dyDescent="0.3">
      <c r="A39" s="111" t="s">
        <v>567</v>
      </c>
      <c r="B39" s="112" t="s">
        <v>568</v>
      </c>
      <c r="C39" s="113">
        <v>499</v>
      </c>
      <c r="D39" s="104">
        <v>83.1</v>
      </c>
      <c r="E39" s="106">
        <v>25</v>
      </c>
      <c r="F39" s="104">
        <v>59.9</v>
      </c>
      <c r="G39" s="17">
        <v>18</v>
      </c>
      <c r="H39" s="107">
        <v>126</v>
      </c>
      <c r="I39" s="108">
        <v>32000</v>
      </c>
      <c r="J39" s="108" t="s">
        <v>344</v>
      </c>
      <c r="K39" s="108"/>
      <c r="L39" s="108"/>
      <c r="M39" s="109">
        <f>I39-K39</f>
        <v>32000</v>
      </c>
      <c r="N39" s="4">
        <f>IF(ISERROR(K39/I39),"",K39/I39)</f>
        <v>0</v>
      </c>
      <c r="O39" s="105">
        <f>I39/E39</f>
        <v>1280</v>
      </c>
      <c r="P39" s="105">
        <f>K39/E39</f>
        <v>0</v>
      </c>
      <c r="Q39" s="110">
        <v>4</v>
      </c>
      <c r="R39" s="110">
        <v>2</v>
      </c>
      <c r="S39" s="110" t="s">
        <v>324</v>
      </c>
      <c r="T39" s="5" t="s">
        <v>310</v>
      </c>
      <c r="U39" s="9"/>
    </row>
    <row r="40" spans="1:21" s="38" customFormat="1" ht="12" x14ac:dyDescent="0.3">
      <c r="A40" s="111" t="s">
        <v>575</v>
      </c>
      <c r="B40" s="112" t="s">
        <v>523</v>
      </c>
      <c r="C40" s="113">
        <v>839</v>
      </c>
      <c r="D40" s="104">
        <v>83.8</v>
      </c>
      <c r="E40" s="106">
        <v>25</v>
      </c>
      <c r="F40" s="104">
        <v>60</v>
      </c>
      <c r="G40" s="17">
        <v>18</v>
      </c>
      <c r="H40" s="107">
        <v>74</v>
      </c>
      <c r="I40" s="108">
        <v>32000</v>
      </c>
      <c r="J40" s="108" t="s">
        <v>101</v>
      </c>
      <c r="K40" s="108"/>
      <c r="L40" s="108"/>
      <c r="M40" s="109">
        <f>I40-K40</f>
        <v>32000</v>
      </c>
      <c r="N40" s="4">
        <f>IF(ISERROR(K40/I40),"",K40/I40)</f>
        <v>0</v>
      </c>
      <c r="O40" s="105">
        <f>I40/E40</f>
        <v>1280</v>
      </c>
      <c r="P40" s="105">
        <f>K40/E40</f>
        <v>0</v>
      </c>
      <c r="Q40" s="110">
        <v>3</v>
      </c>
      <c r="R40" s="110">
        <v>1</v>
      </c>
      <c r="S40" s="110" t="s">
        <v>324</v>
      </c>
      <c r="T40" s="5">
        <v>78</v>
      </c>
      <c r="U40" s="9"/>
    </row>
    <row r="41" spans="1:21" s="38" customFormat="1" ht="12" x14ac:dyDescent="0.3">
      <c r="A41" s="111" t="s">
        <v>542</v>
      </c>
      <c r="B41" s="112" t="s">
        <v>543</v>
      </c>
      <c r="C41" s="113">
        <v>424</v>
      </c>
      <c r="D41" s="104">
        <v>109.7</v>
      </c>
      <c r="E41" s="106">
        <v>33</v>
      </c>
      <c r="F41" s="104">
        <v>85</v>
      </c>
      <c r="G41" s="17">
        <v>26</v>
      </c>
      <c r="H41" s="107">
        <v>251</v>
      </c>
      <c r="I41" s="108">
        <v>31500</v>
      </c>
      <c r="J41" s="108" t="s">
        <v>349</v>
      </c>
      <c r="K41" s="108">
        <v>23000</v>
      </c>
      <c r="L41" s="108" t="s">
        <v>352</v>
      </c>
      <c r="M41" s="109">
        <f>I41-K41</f>
        <v>8500</v>
      </c>
      <c r="N41" s="4">
        <f>IF(ISERROR(K41/I41),"",K41/I41)</f>
        <v>0.73015873015873012</v>
      </c>
      <c r="O41" s="105">
        <f>I41/E41</f>
        <v>954.5454545454545</v>
      </c>
      <c r="P41" s="105">
        <f>K41/E41</f>
        <v>696.969696969697</v>
      </c>
      <c r="Q41" s="110">
        <v>4</v>
      </c>
      <c r="R41" s="110">
        <v>2</v>
      </c>
      <c r="S41" s="110" t="s">
        <v>324</v>
      </c>
      <c r="T41" s="5" t="s">
        <v>235</v>
      </c>
      <c r="U41" s="9"/>
    </row>
    <row r="42" spans="1:21" s="38" customFormat="1" ht="12" x14ac:dyDescent="0.3">
      <c r="A42" s="111" t="s">
        <v>493</v>
      </c>
      <c r="B42" s="112" t="s">
        <v>494</v>
      </c>
      <c r="C42" s="113">
        <v>703</v>
      </c>
      <c r="D42" s="104">
        <v>103.5</v>
      </c>
      <c r="E42" s="106">
        <v>31</v>
      </c>
      <c r="F42" s="104">
        <v>75</v>
      </c>
      <c r="G42" s="17">
        <v>23</v>
      </c>
      <c r="H42" s="107">
        <v>308</v>
      </c>
      <c r="I42" s="108">
        <v>30000</v>
      </c>
      <c r="J42" s="108" t="s">
        <v>330</v>
      </c>
      <c r="K42" s="108"/>
      <c r="L42" s="108"/>
      <c r="M42" s="109">
        <f>I42-K42</f>
        <v>30000</v>
      </c>
      <c r="N42" s="4">
        <f>IF(ISERROR(K42/I42),"",K42/I42)</f>
        <v>0</v>
      </c>
      <c r="O42" s="105">
        <f>I42/E42</f>
        <v>967.74193548387098</v>
      </c>
      <c r="P42" s="105">
        <f>K42/E42</f>
        <v>0</v>
      </c>
      <c r="Q42" s="110">
        <v>3</v>
      </c>
      <c r="R42" s="110">
        <v>2</v>
      </c>
      <c r="S42" s="110" t="s">
        <v>324</v>
      </c>
      <c r="T42" s="5" t="s">
        <v>102</v>
      </c>
      <c r="U42" s="9"/>
    </row>
    <row r="43" spans="1:21" s="38" customFormat="1" ht="12" x14ac:dyDescent="0.3">
      <c r="A43" s="111" t="s">
        <v>501</v>
      </c>
      <c r="B43" s="112" t="s">
        <v>502</v>
      </c>
      <c r="C43" s="113">
        <v>1116</v>
      </c>
      <c r="D43" s="104">
        <v>84.6</v>
      </c>
      <c r="E43" s="106">
        <v>26</v>
      </c>
      <c r="F43" s="104">
        <v>60</v>
      </c>
      <c r="G43" s="17">
        <v>18</v>
      </c>
      <c r="H43" s="107">
        <v>571</v>
      </c>
      <c r="I43" s="108">
        <v>30000</v>
      </c>
      <c r="J43" s="108" t="s">
        <v>350</v>
      </c>
      <c r="K43" s="108">
        <v>21000</v>
      </c>
      <c r="L43" s="108" t="s">
        <v>94</v>
      </c>
      <c r="M43" s="109">
        <f>I43-K43</f>
        <v>9000</v>
      </c>
      <c r="N43" s="4">
        <f>IF(ISERROR(K43/I43),"",K43/I43)</f>
        <v>0.7</v>
      </c>
      <c r="O43" s="105">
        <f>I43/E43</f>
        <v>1153.8461538461538</v>
      </c>
      <c r="P43" s="105">
        <f>K43/E43</f>
        <v>807.69230769230774</v>
      </c>
      <c r="Q43" s="110">
        <v>1</v>
      </c>
      <c r="R43" s="110">
        <v>1</v>
      </c>
      <c r="S43" s="110" t="s">
        <v>324</v>
      </c>
      <c r="T43" s="5" t="s">
        <v>185</v>
      </c>
      <c r="U43" s="9"/>
    </row>
    <row r="44" spans="1:21" s="38" customFormat="1" ht="12" x14ac:dyDescent="0.3">
      <c r="A44" s="111" t="s">
        <v>526</v>
      </c>
      <c r="B44" s="112" t="s">
        <v>527</v>
      </c>
      <c r="C44" s="113">
        <v>717</v>
      </c>
      <c r="D44" s="104">
        <v>110.4</v>
      </c>
      <c r="E44" s="106">
        <v>33</v>
      </c>
      <c r="F44" s="104">
        <v>84.5</v>
      </c>
      <c r="G44" s="17">
        <v>26</v>
      </c>
      <c r="H44" s="107">
        <v>236</v>
      </c>
      <c r="I44" s="108">
        <v>30000</v>
      </c>
      <c r="J44" s="108" t="s">
        <v>335</v>
      </c>
      <c r="K44" s="108"/>
      <c r="L44" s="108"/>
      <c r="M44" s="109">
        <f>I44-K44</f>
        <v>30000</v>
      </c>
      <c r="N44" s="4">
        <f>IF(ISERROR(K44/I44),"",K44/I44)</f>
        <v>0</v>
      </c>
      <c r="O44" s="105">
        <f>I44/E44</f>
        <v>909.09090909090912</v>
      </c>
      <c r="P44" s="105">
        <f>K44/E44</f>
        <v>0</v>
      </c>
      <c r="Q44" s="110">
        <v>3</v>
      </c>
      <c r="R44" s="110">
        <v>2</v>
      </c>
      <c r="S44" s="110" t="s">
        <v>324</v>
      </c>
      <c r="T44" s="5">
        <v>126</v>
      </c>
      <c r="U44" s="9"/>
    </row>
    <row r="45" spans="1:21" s="38" customFormat="1" ht="12" x14ac:dyDescent="0.3">
      <c r="A45" s="111" t="s">
        <v>521</v>
      </c>
      <c r="B45" s="112" t="s">
        <v>510</v>
      </c>
      <c r="C45" s="113">
        <v>892</v>
      </c>
      <c r="D45" s="104">
        <v>83.1</v>
      </c>
      <c r="E45" s="106">
        <v>25</v>
      </c>
      <c r="F45" s="104">
        <v>60</v>
      </c>
      <c r="G45" s="17">
        <v>18</v>
      </c>
      <c r="H45" s="107">
        <v>270</v>
      </c>
      <c r="I45" s="108">
        <v>29500</v>
      </c>
      <c r="J45" s="108" t="s">
        <v>351</v>
      </c>
      <c r="K45" s="108">
        <v>20000</v>
      </c>
      <c r="L45" s="108" t="s">
        <v>94</v>
      </c>
      <c r="M45" s="109">
        <f>I45-K45</f>
        <v>9500</v>
      </c>
      <c r="N45" s="4">
        <f>IF(ISERROR(K45/I45),"",K45/I45)</f>
        <v>0.67796610169491522</v>
      </c>
      <c r="O45" s="105">
        <f>I45/E45</f>
        <v>1180</v>
      </c>
      <c r="P45" s="105">
        <f>K45/E45</f>
        <v>800</v>
      </c>
      <c r="Q45" s="110">
        <v>3</v>
      </c>
      <c r="R45" s="110">
        <v>2</v>
      </c>
      <c r="S45" s="110" t="s">
        <v>324</v>
      </c>
      <c r="T45" s="5">
        <v>126</v>
      </c>
      <c r="U45" s="9"/>
    </row>
    <row r="46" spans="1:21" s="38" customFormat="1" ht="12" x14ac:dyDescent="0.3">
      <c r="A46" s="111" t="s">
        <v>503</v>
      </c>
      <c r="B46" s="112" t="s">
        <v>518</v>
      </c>
      <c r="C46" s="113">
        <v>794</v>
      </c>
      <c r="D46" s="104">
        <v>80.5</v>
      </c>
      <c r="E46" s="106">
        <v>24</v>
      </c>
      <c r="F46" s="104">
        <v>60</v>
      </c>
      <c r="G46" s="17">
        <v>18</v>
      </c>
      <c r="H46" s="107">
        <v>34</v>
      </c>
      <c r="I46" s="108">
        <v>29000</v>
      </c>
      <c r="J46" s="108" t="s">
        <v>344</v>
      </c>
      <c r="K46" s="108"/>
      <c r="L46" s="108"/>
      <c r="M46" s="109">
        <f>I46-K46</f>
        <v>29000</v>
      </c>
      <c r="N46" s="4">
        <f>IF(ISERROR(K46/I46),"",K46/I46)</f>
        <v>0</v>
      </c>
      <c r="O46" s="105">
        <f>I46/E46</f>
        <v>1208.3333333333333</v>
      </c>
      <c r="P46" s="105">
        <f>K46/E46</f>
        <v>0</v>
      </c>
      <c r="Q46" s="110">
        <v>4</v>
      </c>
      <c r="R46" s="110">
        <v>2</v>
      </c>
      <c r="S46" s="110" t="s">
        <v>324</v>
      </c>
      <c r="T46" s="5">
        <v>135</v>
      </c>
      <c r="U46" s="9"/>
    </row>
    <row r="47" spans="1:21" s="38" customFormat="1" ht="12" x14ac:dyDescent="0.3">
      <c r="A47" s="111" t="s">
        <v>505</v>
      </c>
      <c r="B47" s="112" t="s">
        <v>502</v>
      </c>
      <c r="C47" s="113">
        <v>882</v>
      </c>
      <c r="D47" s="104">
        <v>85.7</v>
      </c>
      <c r="E47" s="106">
        <v>26</v>
      </c>
      <c r="F47" s="104">
        <v>59.9</v>
      </c>
      <c r="G47" s="17">
        <v>18</v>
      </c>
      <c r="H47" s="107">
        <v>337</v>
      </c>
      <c r="I47" s="108">
        <v>29000</v>
      </c>
      <c r="J47" s="108" t="s">
        <v>335</v>
      </c>
      <c r="K47" s="108">
        <v>20000</v>
      </c>
      <c r="L47" s="108" t="s">
        <v>342</v>
      </c>
      <c r="M47" s="109">
        <f>I47-K47</f>
        <v>9000</v>
      </c>
      <c r="N47" s="4">
        <f>IF(ISERROR(K47/I47),"",K47/I47)</f>
        <v>0.68965517241379315</v>
      </c>
      <c r="O47" s="105">
        <f>I47/E47</f>
        <v>1115.3846153846155</v>
      </c>
      <c r="P47" s="105">
        <f>K47/E47</f>
        <v>769.23076923076928</v>
      </c>
      <c r="Q47" s="110">
        <v>1</v>
      </c>
      <c r="R47" s="110">
        <v>1</v>
      </c>
      <c r="S47" s="110" t="s">
        <v>324</v>
      </c>
      <c r="T47" s="5" t="s">
        <v>184</v>
      </c>
      <c r="U47" s="9"/>
    </row>
    <row r="48" spans="1:21" s="38" customFormat="1" ht="12" x14ac:dyDescent="0.3">
      <c r="A48" s="111" t="s">
        <v>519</v>
      </c>
      <c r="B48" s="112" t="s">
        <v>520</v>
      </c>
      <c r="C48" s="113">
        <v>1243</v>
      </c>
      <c r="D48" s="104">
        <v>85.1</v>
      </c>
      <c r="E48" s="106">
        <v>26</v>
      </c>
      <c r="F48" s="104">
        <v>60</v>
      </c>
      <c r="G48" s="17">
        <v>18</v>
      </c>
      <c r="H48" s="107">
        <v>532</v>
      </c>
      <c r="I48" s="108">
        <v>29000</v>
      </c>
      <c r="J48" s="108" t="s">
        <v>342</v>
      </c>
      <c r="K48" s="108">
        <v>20000</v>
      </c>
      <c r="L48" s="108" t="s">
        <v>350</v>
      </c>
      <c r="M48" s="109">
        <f>I48-K48</f>
        <v>9000</v>
      </c>
      <c r="N48" s="4">
        <f>IF(ISERROR(K48/I48),"",K48/I48)</f>
        <v>0.68965517241379315</v>
      </c>
      <c r="O48" s="105">
        <f>I48/E48</f>
        <v>1115.3846153846155</v>
      </c>
      <c r="P48" s="105">
        <f>K48/E48</f>
        <v>769.23076923076928</v>
      </c>
      <c r="Q48" s="110">
        <v>4</v>
      </c>
      <c r="R48" s="110">
        <v>2</v>
      </c>
      <c r="S48" s="110" t="s">
        <v>324</v>
      </c>
      <c r="T48" s="5">
        <v>156</v>
      </c>
      <c r="U48" s="9"/>
    </row>
    <row r="49" spans="1:22" s="38" customFormat="1" ht="12" x14ac:dyDescent="0.3">
      <c r="A49" s="111" t="s">
        <v>574</v>
      </c>
      <c r="B49" s="112" t="s">
        <v>566</v>
      </c>
      <c r="C49" s="113">
        <v>996</v>
      </c>
      <c r="D49" s="104">
        <v>85</v>
      </c>
      <c r="E49" s="106">
        <v>26</v>
      </c>
      <c r="F49" s="104">
        <v>60.8</v>
      </c>
      <c r="G49" s="17">
        <v>18</v>
      </c>
      <c r="H49" s="107">
        <v>337</v>
      </c>
      <c r="I49" s="108">
        <v>29000</v>
      </c>
      <c r="J49" s="108" t="s">
        <v>323</v>
      </c>
      <c r="K49" s="108">
        <v>24000</v>
      </c>
      <c r="L49" s="108" t="s">
        <v>101</v>
      </c>
      <c r="M49" s="109">
        <f>I49-K49</f>
        <v>5000</v>
      </c>
      <c r="N49" s="4">
        <f>IF(ISERROR(K49/I49),"",K49/I49)</f>
        <v>0.82758620689655171</v>
      </c>
      <c r="O49" s="105">
        <f>I49/E49</f>
        <v>1115.3846153846155</v>
      </c>
      <c r="P49" s="105">
        <f>K49/E49</f>
        <v>923.07692307692309</v>
      </c>
      <c r="Q49" s="110">
        <v>2</v>
      </c>
      <c r="R49" s="110">
        <v>1</v>
      </c>
      <c r="S49" s="110" t="s">
        <v>324</v>
      </c>
      <c r="T49" s="5" t="s">
        <v>314</v>
      </c>
      <c r="U49" s="9"/>
    </row>
    <row r="50" spans="1:22" s="38" customFormat="1" ht="12" x14ac:dyDescent="0.3">
      <c r="A50" s="111" t="s">
        <v>544</v>
      </c>
      <c r="B50" s="112" t="s">
        <v>545</v>
      </c>
      <c r="C50" s="113">
        <v>508</v>
      </c>
      <c r="D50" s="104">
        <v>84.5</v>
      </c>
      <c r="E50" s="106">
        <v>26</v>
      </c>
      <c r="F50" s="104">
        <v>59.8</v>
      </c>
      <c r="G50" s="17">
        <v>18</v>
      </c>
      <c r="H50" s="107">
        <v>164</v>
      </c>
      <c r="I50" s="108">
        <v>28900</v>
      </c>
      <c r="J50" s="108" t="s">
        <v>327</v>
      </c>
      <c r="K50" s="108">
        <v>18000</v>
      </c>
      <c r="L50" s="108" t="s">
        <v>101</v>
      </c>
      <c r="M50" s="109">
        <f>I50-K50</f>
        <v>10900</v>
      </c>
      <c r="N50" s="4">
        <f>IF(ISERROR(K50/I50),"",K50/I50)</f>
        <v>0.62283737024221453</v>
      </c>
      <c r="O50" s="105">
        <f>I50/E50</f>
        <v>1111.5384615384614</v>
      </c>
      <c r="P50" s="105">
        <f>K50/E50</f>
        <v>692.30769230769226</v>
      </c>
      <c r="Q50" s="110">
        <v>3</v>
      </c>
      <c r="R50" s="110">
        <v>2</v>
      </c>
      <c r="S50" s="110" t="s">
        <v>324</v>
      </c>
      <c r="T50" s="5" t="s">
        <v>153</v>
      </c>
      <c r="U50" s="9"/>
    </row>
    <row r="51" spans="1:22" s="38" customFormat="1" ht="12" x14ac:dyDescent="0.3">
      <c r="A51" s="111" t="s">
        <v>512</v>
      </c>
      <c r="B51" s="112" t="s">
        <v>513</v>
      </c>
      <c r="C51" s="113">
        <v>776</v>
      </c>
      <c r="D51" s="104">
        <v>82</v>
      </c>
      <c r="E51" s="106">
        <v>25</v>
      </c>
      <c r="F51" s="104">
        <v>60</v>
      </c>
      <c r="G51" s="17">
        <v>18</v>
      </c>
      <c r="H51" s="107">
        <v>172</v>
      </c>
      <c r="I51" s="108">
        <v>28500</v>
      </c>
      <c r="J51" s="108" t="s">
        <v>101</v>
      </c>
      <c r="K51" s="108"/>
      <c r="L51" s="108"/>
      <c r="M51" s="109">
        <f>I51-K51</f>
        <v>28500</v>
      </c>
      <c r="N51" s="4">
        <f>IF(ISERROR(K51/I51),"",K51/I51)</f>
        <v>0</v>
      </c>
      <c r="O51" s="105">
        <f>I51/E51</f>
        <v>1140</v>
      </c>
      <c r="P51" s="105">
        <f>K51/E51</f>
        <v>0</v>
      </c>
      <c r="Q51" s="110">
        <v>3</v>
      </c>
      <c r="R51" s="110">
        <v>2</v>
      </c>
      <c r="S51" s="110" t="s">
        <v>324</v>
      </c>
      <c r="T51" s="5">
        <v>102</v>
      </c>
      <c r="U51" s="9"/>
    </row>
    <row r="52" spans="1:22" s="38" customFormat="1" ht="12" x14ac:dyDescent="0.3">
      <c r="A52" s="111" t="s">
        <v>509</v>
      </c>
      <c r="B52" s="112" t="s">
        <v>508</v>
      </c>
      <c r="C52" s="113">
        <v>824</v>
      </c>
      <c r="D52" s="104">
        <v>83.1</v>
      </c>
      <c r="E52" s="106">
        <v>25</v>
      </c>
      <c r="F52" s="104">
        <v>60</v>
      </c>
      <c r="G52" s="17">
        <v>18</v>
      </c>
      <c r="H52" s="107">
        <v>244</v>
      </c>
      <c r="I52" s="108">
        <v>28000</v>
      </c>
      <c r="J52" s="108" t="s">
        <v>101</v>
      </c>
      <c r="K52" s="108">
        <v>20000</v>
      </c>
      <c r="L52" s="108" t="s">
        <v>327</v>
      </c>
      <c r="M52" s="109">
        <f>I52-K52</f>
        <v>8000</v>
      </c>
      <c r="N52" s="4">
        <f>IF(ISERROR(K52/I52),"",K52/I52)</f>
        <v>0.7142857142857143</v>
      </c>
      <c r="O52" s="105">
        <f>I52/E52</f>
        <v>1120</v>
      </c>
      <c r="P52" s="105">
        <f>K52/E52</f>
        <v>800</v>
      </c>
      <c r="Q52" s="110">
        <v>3</v>
      </c>
      <c r="R52" s="110">
        <v>2</v>
      </c>
      <c r="S52" s="110" t="s">
        <v>324</v>
      </c>
      <c r="T52" s="5" t="s">
        <v>183</v>
      </c>
      <c r="U52" s="9"/>
    </row>
    <row r="53" spans="1:22" s="38" customFormat="1" ht="12" x14ac:dyDescent="0.3">
      <c r="A53" s="111" t="s">
        <v>572</v>
      </c>
      <c r="B53" s="112" t="s">
        <v>573</v>
      </c>
      <c r="C53" s="113">
        <v>566</v>
      </c>
      <c r="D53" s="104">
        <v>87.9</v>
      </c>
      <c r="E53" s="106">
        <v>27</v>
      </c>
      <c r="F53" s="104">
        <v>59.9</v>
      </c>
      <c r="G53" s="17">
        <v>18</v>
      </c>
      <c r="H53" s="107">
        <v>164</v>
      </c>
      <c r="I53" s="108">
        <v>28000</v>
      </c>
      <c r="J53" s="108" t="s">
        <v>101</v>
      </c>
      <c r="K53" s="108"/>
      <c r="L53" s="108"/>
      <c r="M53" s="109">
        <f>I53-K53</f>
        <v>28000</v>
      </c>
      <c r="N53" s="4">
        <f>IF(ISERROR(K53/I53),"",K53/I53)</f>
        <v>0</v>
      </c>
      <c r="O53" s="105">
        <f>I53/E53</f>
        <v>1037.037037037037</v>
      </c>
      <c r="P53" s="105">
        <f>K53/E53</f>
        <v>0</v>
      </c>
      <c r="Q53" s="110">
        <v>3</v>
      </c>
      <c r="R53" s="110">
        <v>2</v>
      </c>
      <c r="S53" s="110" t="s">
        <v>355</v>
      </c>
      <c r="T53" s="5" t="s">
        <v>315</v>
      </c>
      <c r="U53" s="9"/>
    </row>
    <row r="54" spans="1:22" s="38" customFormat="1" ht="12" x14ac:dyDescent="0.3">
      <c r="A54" s="111" t="s">
        <v>506</v>
      </c>
      <c r="B54" s="112" t="s">
        <v>504</v>
      </c>
      <c r="C54" s="113">
        <v>548</v>
      </c>
      <c r="D54" s="104">
        <v>81.3</v>
      </c>
      <c r="E54" s="106">
        <v>25</v>
      </c>
      <c r="F54" s="104">
        <v>60</v>
      </c>
      <c r="G54" s="17">
        <v>18</v>
      </c>
      <c r="H54" s="107">
        <v>178</v>
      </c>
      <c r="I54" s="108">
        <v>27000</v>
      </c>
      <c r="J54" s="108" t="s">
        <v>101</v>
      </c>
      <c r="K54" s="108">
        <v>22000</v>
      </c>
      <c r="L54" s="108" t="s">
        <v>352</v>
      </c>
      <c r="M54" s="109">
        <f>I54-K54</f>
        <v>5000</v>
      </c>
      <c r="N54" s="4">
        <f>IF(ISERROR(K54/I54),"",K54/I54)</f>
        <v>0.81481481481481477</v>
      </c>
      <c r="O54" s="105">
        <f>I54/E54</f>
        <v>1080</v>
      </c>
      <c r="P54" s="105">
        <f>K54/E54</f>
        <v>880</v>
      </c>
      <c r="Q54" s="110">
        <v>3</v>
      </c>
      <c r="R54" s="110">
        <v>2</v>
      </c>
      <c r="S54" s="110" t="s">
        <v>324</v>
      </c>
      <c r="T54" s="5" t="s">
        <v>189</v>
      </c>
      <c r="U54" s="9"/>
    </row>
    <row r="55" spans="1:22" s="38" customFormat="1" ht="12" x14ac:dyDescent="0.3">
      <c r="A55" s="111" t="s">
        <v>522</v>
      </c>
      <c r="B55" s="112" t="s">
        <v>523</v>
      </c>
      <c r="C55" s="113">
        <v>713</v>
      </c>
      <c r="D55" s="104">
        <v>81.400000000000006</v>
      </c>
      <c r="E55" s="106">
        <v>25</v>
      </c>
      <c r="F55" s="104">
        <v>59.8</v>
      </c>
      <c r="G55" s="17">
        <v>18</v>
      </c>
      <c r="H55" s="107">
        <v>280</v>
      </c>
      <c r="I55" s="108">
        <v>27000</v>
      </c>
      <c r="J55" s="108" t="s">
        <v>336</v>
      </c>
      <c r="K55" s="108">
        <v>20000</v>
      </c>
      <c r="L55" s="108" t="s">
        <v>353</v>
      </c>
      <c r="M55" s="109">
        <f>I55-K55</f>
        <v>7000</v>
      </c>
      <c r="N55" s="4">
        <f>IF(ISERROR(K55/I55),"",K55/I55)</f>
        <v>0.7407407407407407</v>
      </c>
      <c r="O55" s="105">
        <f>I55/E55</f>
        <v>1080</v>
      </c>
      <c r="P55" s="105">
        <f>K55/E55</f>
        <v>800</v>
      </c>
      <c r="Q55" s="110">
        <v>3</v>
      </c>
      <c r="R55" s="110">
        <v>2</v>
      </c>
      <c r="S55" s="110" t="s">
        <v>324</v>
      </c>
      <c r="T55" s="5">
        <v>105</v>
      </c>
      <c r="U55" s="9"/>
    </row>
    <row r="56" spans="1:22" s="38" customFormat="1" ht="12" x14ac:dyDescent="0.3">
      <c r="A56" s="111" t="s">
        <v>524</v>
      </c>
      <c r="B56" s="112" t="s">
        <v>525</v>
      </c>
      <c r="C56" s="113">
        <v>1430</v>
      </c>
      <c r="D56" s="104">
        <v>79.599999999999994</v>
      </c>
      <c r="E56" s="106">
        <v>24</v>
      </c>
      <c r="F56" s="104">
        <v>59.9</v>
      </c>
      <c r="G56" s="17">
        <v>18</v>
      </c>
      <c r="H56" s="107">
        <v>470</v>
      </c>
      <c r="I56" s="108">
        <v>26000</v>
      </c>
      <c r="J56" s="108" t="s">
        <v>354</v>
      </c>
      <c r="K56" s="108">
        <v>19500</v>
      </c>
      <c r="L56" s="108" t="s">
        <v>101</v>
      </c>
      <c r="M56" s="109">
        <f>I56-K56</f>
        <v>6500</v>
      </c>
      <c r="N56" s="4">
        <f>IF(ISERROR(K56/I56),"",K56/I56)</f>
        <v>0.75</v>
      </c>
      <c r="O56" s="105">
        <f>I56/E56</f>
        <v>1083.3333333333333</v>
      </c>
      <c r="P56" s="105">
        <f>K56/E56</f>
        <v>812.5</v>
      </c>
      <c r="Q56" s="110">
        <v>2</v>
      </c>
      <c r="R56" s="110">
        <v>1</v>
      </c>
      <c r="S56" s="110" t="s">
        <v>355</v>
      </c>
      <c r="T56" s="5">
        <v>61</v>
      </c>
      <c r="U56" s="9"/>
    </row>
    <row r="57" spans="1:22" s="38" customFormat="1" ht="12" x14ac:dyDescent="0.3">
      <c r="A57" s="111" t="s">
        <v>491</v>
      </c>
      <c r="B57" s="112" t="s">
        <v>492</v>
      </c>
      <c r="C57" s="113">
        <v>920</v>
      </c>
      <c r="D57" s="104">
        <v>82.4</v>
      </c>
      <c r="E57" s="106">
        <v>25</v>
      </c>
      <c r="F57" s="104">
        <v>60</v>
      </c>
      <c r="G57" s="17">
        <v>18</v>
      </c>
      <c r="H57" s="107">
        <v>372</v>
      </c>
      <c r="I57" s="108">
        <v>21000</v>
      </c>
      <c r="J57" s="108" t="s">
        <v>94</v>
      </c>
      <c r="K57" s="108"/>
      <c r="L57" s="108"/>
      <c r="M57" s="109">
        <f>I57-K57</f>
        <v>21000</v>
      </c>
      <c r="N57" s="4">
        <f>IF(ISERROR(K57/I57),"",K57/I57)</f>
        <v>0</v>
      </c>
      <c r="O57" s="105">
        <f>I57/E57</f>
        <v>840</v>
      </c>
      <c r="P57" s="105">
        <f>K57/E57</f>
        <v>0</v>
      </c>
      <c r="Q57" s="110">
        <v>5</v>
      </c>
      <c r="R57" s="110">
        <v>3</v>
      </c>
      <c r="S57" s="110" t="s">
        <v>324</v>
      </c>
      <c r="T57" s="5" t="s">
        <v>110</v>
      </c>
      <c r="U57" s="9"/>
    </row>
    <row r="58" spans="1:22" s="38" customFormat="1" ht="12" x14ac:dyDescent="0.3">
      <c r="A58" s="111" t="s">
        <v>546</v>
      </c>
      <c r="B58" s="112" t="s">
        <v>547</v>
      </c>
      <c r="C58" s="113">
        <v>842</v>
      </c>
      <c r="D58" s="104">
        <v>117.4</v>
      </c>
      <c r="E58" s="106">
        <v>35</v>
      </c>
      <c r="F58" s="104">
        <v>84.6</v>
      </c>
      <c r="G58" s="17">
        <v>26</v>
      </c>
      <c r="H58" s="107">
        <v>376</v>
      </c>
      <c r="I58" s="108"/>
      <c r="J58" s="108"/>
      <c r="K58" s="108"/>
      <c r="L58" s="108"/>
      <c r="M58" s="109">
        <f>I58-K58</f>
        <v>0</v>
      </c>
      <c r="N58" s="4" t="str">
        <f>IF(ISERROR(K58/I58),"",K58/I58)</f>
        <v/>
      </c>
      <c r="O58" s="105">
        <f>I58/E58</f>
        <v>0</v>
      </c>
      <c r="P58" s="105">
        <f>K58/E58</f>
        <v>0</v>
      </c>
      <c r="Q58" s="110">
        <v>3</v>
      </c>
      <c r="R58" s="110">
        <v>2</v>
      </c>
      <c r="S58" s="110" t="s">
        <v>324</v>
      </c>
      <c r="T58" s="5">
        <v>103</v>
      </c>
      <c r="U58" s="9"/>
    </row>
    <row r="59" spans="1:22" s="38" customFormat="1" ht="12" x14ac:dyDescent="0.3">
      <c r="A59" s="111" t="s">
        <v>553</v>
      </c>
      <c r="B59" s="112" t="s">
        <v>554</v>
      </c>
      <c r="C59" s="113">
        <v>526</v>
      </c>
      <c r="D59" s="104">
        <v>110.4</v>
      </c>
      <c r="E59" s="106">
        <v>33</v>
      </c>
      <c r="F59" s="104">
        <v>85</v>
      </c>
      <c r="G59" s="17">
        <v>26</v>
      </c>
      <c r="H59" s="107">
        <v>129</v>
      </c>
      <c r="I59" s="108"/>
      <c r="J59" s="108"/>
      <c r="K59" s="108">
        <v>35000</v>
      </c>
      <c r="L59" s="108" t="s">
        <v>94</v>
      </c>
      <c r="M59" s="109">
        <f>I59-K59</f>
        <v>-35000</v>
      </c>
      <c r="N59" s="4" t="str">
        <f>IF(ISERROR(K59/I59),"",K59/I59)</f>
        <v/>
      </c>
      <c r="O59" s="105">
        <f>I59/E59</f>
        <v>0</v>
      </c>
      <c r="P59" s="105">
        <f>K59/E59</f>
        <v>1060.6060606060605</v>
      </c>
      <c r="Q59" s="110">
        <v>3</v>
      </c>
      <c r="R59" s="110">
        <v>2</v>
      </c>
      <c r="S59" s="110" t="s">
        <v>324</v>
      </c>
      <c r="T59" s="5">
        <v>116</v>
      </c>
      <c r="U59" s="9"/>
    </row>
    <row r="60" spans="1:22" s="38" customFormat="1" ht="12" x14ac:dyDescent="0.3">
      <c r="A60" s="111" t="s">
        <v>557</v>
      </c>
      <c r="B60" s="112" t="s">
        <v>558</v>
      </c>
      <c r="C60" s="113">
        <v>936</v>
      </c>
      <c r="D60" s="104">
        <v>80</v>
      </c>
      <c r="E60" s="106">
        <v>24</v>
      </c>
      <c r="F60" s="104">
        <v>60</v>
      </c>
      <c r="G60" s="17">
        <v>18</v>
      </c>
      <c r="H60" s="107">
        <v>312</v>
      </c>
      <c r="I60" s="108"/>
      <c r="J60" s="108"/>
      <c r="K60" s="108"/>
      <c r="L60" s="108"/>
      <c r="M60" s="109">
        <f>I60-K60</f>
        <v>0</v>
      </c>
      <c r="N60" s="4" t="str">
        <f>IF(ISERROR(K60/I60),"",K60/I60)</f>
        <v/>
      </c>
      <c r="O60" s="105">
        <f>I60/E60</f>
        <v>0</v>
      </c>
      <c r="P60" s="105">
        <f>K60/E60</f>
        <v>0</v>
      </c>
      <c r="Q60" s="110">
        <v>3</v>
      </c>
      <c r="R60" s="110">
        <v>2</v>
      </c>
      <c r="S60" s="110" t="s">
        <v>324</v>
      </c>
      <c r="T60" s="5" t="s">
        <v>262</v>
      </c>
      <c r="U60" s="9"/>
    </row>
    <row r="61" spans="1:22" s="38" customFormat="1" ht="12" x14ac:dyDescent="0.3">
      <c r="A61" s="111" t="s">
        <v>567</v>
      </c>
      <c r="B61" s="112" t="s">
        <v>568</v>
      </c>
      <c r="C61" s="113">
        <v>499</v>
      </c>
      <c r="D61" s="104">
        <v>115.4</v>
      </c>
      <c r="E61" s="106">
        <v>35</v>
      </c>
      <c r="F61" s="104">
        <v>85</v>
      </c>
      <c r="G61" s="17">
        <v>26</v>
      </c>
      <c r="H61" s="107">
        <v>121</v>
      </c>
      <c r="I61" s="108"/>
      <c r="J61" s="108"/>
      <c r="K61" s="108"/>
      <c r="L61" s="108"/>
      <c r="M61" s="109">
        <f>I61-K61</f>
        <v>0</v>
      </c>
      <c r="N61" s="4" t="str">
        <f>IF(ISERROR(K61/I61),"",K61/I61)</f>
        <v/>
      </c>
      <c r="O61" s="105">
        <f>I61/E61</f>
        <v>0</v>
      </c>
      <c r="P61" s="105">
        <f>K61/E61</f>
        <v>0</v>
      </c>
      <c r="Q61" s="110">
        <v>4</v>
      </c>
      <c r="R61" s="110">
        <v>2</v>
      </c>
      <c r="S61" s="110" t="s">
        <v>324</v>
      </c>
      <c r="T61" s="5" t="s">
        <v>293</v>
      </c>
      <c r="U61" s="9"/>
    </row>
    <row r="62" spans="1:22" s="38" customFormat="1" ht="16.5" customHeight="1" x14ac:dyDescent="0.3">
      <c r="A62" s="77"/>
      <c r="B62" s="77"/>
      <c r="C62" s="77"/>
      <c r="D62" s="77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</row>
    <row r="63" spans="1:22" s="38" customFormat="1" ht="16.5" customHeight="1" x14ac:dyDescent="0.3">
      <c r="A63" s="77"/>
      <c r="B63" s="77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</row>
    <row r="64" spans="1:22" s="38" customFormat="1" ht="16.5" customHeight="1" x14ac:dyDescent="0.3">
      <c r="A64" s="77"/>
      <c r="B64" s="77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</row>
    <row r="65" spans="1:22" s="38" customFormat="1" ht="16.5" customHeight="1" x14ac:dyDescent="0.3">
      <c r="A65" s="77"/>
      <c r="B65" s="77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</row>
    <row r="66" spans="1:22" s="38" customFormat="1" ht="16.5" customHeight="1" x14ac:dyDescent="0.3">
      <c r="A66" s="77"/>
      <c r="B66" s="77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</row>
    <row r="67" spans="1:22" s="38" customFormat="1" ht="16.5" customHeight="1" x14ac:dyDescent="0.3">
      <c r="A67" s="77"/>
      <c r="B67" s="77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</row>
    <row r="68" spans="1:22" s="38" customFormat="1" ht="16.5" customHeight="1" x14ac:dyDescent="0.3">
      <c r="A68" s="77"/>
      <c r="B68" s="77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</row>
    <row r="69" spans="1:22" s="38" customFormat="1" ht="16.5" customHeight="1" x14ac:dyDescent="0.3">
      <c r="A69" s="77"/>
      <c r="B69" s="77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</row>
    <row r="70" spans="1:22" s="38" customFormat="1" ht="16.5" customHeight="1" x14ac:dyDescent="0.3">
      <c r="A70" s="77"/>
      <c r="B70" s="77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</row>
    <row r="71" spans="1:22" s="38" customFormat="1" ht="16.5" customHeight="1" x14ac:dyDescent="0.3">
      <c r="A71" s="77"/>
      <c r="B71" s="77"/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</row>
    <row r="72" spans="1:22" s="38" customFormat="1" ht="16.5" customHeight="1" x14ac:dyDescent="0.3">
      <c r="A72" s="77"/>
      <c r="B72" s="77"/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</row>
    <row r="73" spans="1:22" s="38" customFormat="1" ht="16.5" customHeight="1" x14ac:dyDescent="0.3">
      <c r="A73" s="77"/>
      <c r="B73" s="77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</row>
    <row r="74" spans="1:22" s="38" customFormat="1" ht="16.5" customHeight="1" x14ac:dyDescent="0.3">
      <c r="A74" s="77"/>
      <c r="B74" s="77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</row>
    <row r="75" spans="1:22" s="38" customFormat="1" ht="16.5" customHeight="1" x14ac:dyDescent="0.3">
      <c r="A75" s="77"/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</row>
    <row r="76" spans="1:22" s="38" customFormat="1" ht="16.5" customHeight="1" x14ac:dyDescent="0.3">
      <c r="A76" s="77"/>
      <c r="B76" s="77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</row>
    <row r="77" spans="1:22" s="38" customFormat="1" ht="16.5" customHeight="1" x14ac:dyDescent="0.3">
      <c r="A77" s="77"/>
      <c r="B77" s="77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</row>
    <row r="78" spans="1:22" s="38" customFormat="1" ht="16.5" customHeight="1" x14ac:dyDescent="0.3">
      <c r="A78" s="77"/>
      <c r="B78" s="77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</row>
    <row r="79" spans="1:22" s="38" customFormat="1" ht="16.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</row>
    <row r="80" spans="1:22" s="38" customFormat="1" ht="16.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</row>
    <row r="81" spans="1:22" s="38" customFormat="1" ht="16.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</row>
    <row r="82" spans="1:22" s="38" customFormat="1" ht="16.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</row>
    <row r="83" spans="1:22" s="38" customFormat="1" ht="16.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</row>
    <row r="84" spans="1:22" s="38" customFormat="1" ht="16.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</row>
    <row r="85" spans="1:22" s="38" customFormat="1" ht="16.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</row>
    <row r="86" spans="1:22" s="38" customFormat="1" ht="16.5" customHeight="1" x14ac:dyDescent="0.3">
      <c r="A86" s="77"/>
      <c r="B86" s="77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</row>
    <row r="87" spans="1:22" s="38" customFormat="1" ht="16.5" customHeight="1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</row>
    <row r="88" spans="1:22" s="38" customFormat="1" ht="16.5" customHeight="1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</row>
    <row r="89" spans="1:22" s="38" customFormat="1" ht="16.5" customHeight="1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</row>
    <row r="90" spans="1:22" s="38" customFormat="1" ht="16.5" customHeight="1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</row>
    <row r="91" spans="1:22" s="38" customFormat="1" ht="16.5" customHeight="1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</row>
    <row r="92" spans="1:22" s="38" customFormat="1" ht="16.5" customHeight="1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</row>
    <row r="93" spans="1:22" s="38" customFormat="1" ht="16.5" customHeight="1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</row>
    <row r="94" spans="1:22" s="38" customFormat="1" ht="16.5" customHeight="1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</row>
    <row r="95" spans="1:22" s="38" customFormat="1" ht="16.5" customHeight="1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</row>
    <row r="96" spans="1:22" s="38" customFormat="1" ht="16.5" customHeight="1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</row>
    <row r="97" spans="1:22" s="38" customFormat="1" ht="16.5" customHeight="1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</row>
    <row r="98" spans="1:22" s="38" customFormat="1" ht="16.5" customHeight="1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</row>
    <row r="99" spans="1:22" s="38" customFormat="1" ht="16.5" customHeight="1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</row>
    <row r="100" spans="1:22" s="38" customFormat="1" ht="16.5" customHeight="1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</row>
    <row r="101" spans="1:22" s="38" customFormat="1" ht="16.5" customHeight="1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</row>
    <row r="102" spans="1:22" s="38" customFormat="1" ht="16.5" customHeight="1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</row>
    <row r="103" spans="1:22" s="38" customFormat="1" ht="16.5" customHeight="1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</row>
    <row r="104" spans="1:22" s="38" customFormat="1" ht="16.5" customHeight="1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</row>
    <row r="105" spans="1:22" s="38" customFormat="1" ht="16.5" customHeight="1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</row>
    <row r="106" spans="1:22" s="38" customFormat="1" ht="16.5" customHeight="1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</row>
    <row r="107" spans="1:22" s="38" customFormat="1" ht="16.5" customHeight="1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</row>
    <row r="108" spans="1:22" s="38" customFormat="1" ht="16.5" customHeight="1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</row>
    <row r="109" spans="1:22" s="38" customFormat="1" ht="16.5" customHeight="1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</row>
    <row r="110" spans="1:22" s="38" customFormat="1" ht="16.5" customHeight="1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</row>
    <row r="111" spans="1:22" s="38" customFormat="1" ht="16.5" customHeight="1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</row>
    <row r="112" spans="1:22" s="38" customFormat="1" ht="16.5" customHeight="1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</row>
    <row r="113" spans="1:22" s="38" customFormat="1" ht="16.5" customHeight="1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</row>
    <row r="114" spans="1:22" s="38" customFormat="1" ht="16.5" customHeight="1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</row>
    <row r="115" spans="1:22" s="38" customFormat="1" ht="16.5" customHeight="1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</row>
    <row r="116" spans="1:22" s="38" customFormat="1" ht="16.5" customHeight="1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</row>
    <row r="117" spans="1:22" s="38" customFormat="1" ht="16.5" customHeight="1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</row>
    <row r="118" spans="1:22" s="38" customFormat="1" ht="16.5" customHeight="1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</row>
    <row r="119" spans="1:22" s="38" customFormat="1" ht="16.5" customHeight="1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</row>
    <row r="120" spans="1:22" s="38" customFormat="1" ht="16.5" customHeight="1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</row>
    <row r="121" spans="1:22" s="38" customFormat="1" ht="16.5" customHeight="1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</row>
    <row r="122" spans="1:22" s="38" customFormat="1" ht="16.5" customHeight="1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</row>
    <row r="123" spans="1:22" s="38" customFormat="1" ht="16.5" customHeight="1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</row>
    <row r="124" spans="1:22" s="38" customFormat="1" ht="16.5" customHeight="1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</row>
    <row r="125" spans="1:22" s="38" customFormat="1" ht="16.5" customHeight="1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</row>
    <row r="126" spans="1:22" s="38" customFormat="1" ht="16.5" customHeight="1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</row>
    <row r="127" spans="1:22" s="38" customFormat="1" ht="16.5" customHeight="1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</row>
    <row r="128" spans="1:22" s="38" customFormat="1" ht="16.5" customHeight="1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</row>
    <row r="129" spans="1:22" s="38" customFormat="1" ht="16.5" customHeight="1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</row>
    <row r="130" spans="1:22" s="38" customFormat="1" ht="16.5" customHeight="1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</row>
    <row r="131" spans="1:22" s="38" customFormat="1" ht="16.5" customHeight="1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</row>
    <row r="132" spans="1:22" s="38" customFormat="1" ht="16.5" customHeight="1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</row>
    <row r="133" spans="1:22" s="38" customFormat="1" ht="16.5" customHeight="1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</row>
    <row r="134" spans="1:22" s="38" customFormat="1" ht="16.5" customHeight="1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</row>
    <row r="135" spans="1:22" s="38" customFormat="1" ht="16.5" customHeight="1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</row>
    <row r="136" spans="1:22" s="38" customFormat="1" ht="16.5" customHeight="1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</row>
    <row r="137" spans="1:22" s="38" customFormat="1" ht="16.5" customHeight="1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</row>
    <row r="138" spans="1:22" s="38" customFormat="1" ht="16.5" customHeight="1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</row>
    <row r="139" spans="1:22" s="38" customFormat="1" ht="16.5" customHeight="1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</row>
    <row r="140" spans="1:22" s="38" customFormat="1" ht="16.5" customHeight="1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</row>
    <row r="141" spans="1:22" s="38" customFormat="1" ht="16.5" customHeight="1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</row>
    <row r="142" spans="1:22" s="38" customFormat="1" ht="16.5" customHeight="1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</row>
    <row r="143" spans="1:22" s="38" customFormat="1" ht="16.5" customHeight="1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</row>
    <row r="144" spans="1:22" s="38" customFormat="1" ht="16.5" customHeight="1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</row>
    <row r="145" spans="1:22" s="38" customFormat="1" ht="16.5" customHeight="1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</row>
    <row r="146" spans="1:22" s="38" customFormat="1" ht="16.5" customHeight="1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</row>
    <row r="147" spans="1:22" s="38" customFormat="1" ht="16.5" customHeight="1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</row>
    <row r="148" spans="1:22" s="38" customFormat="1" ht="16.5" customHeight="1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</row>
    <row r="149" spans="1:22" s="38" customFormat="1" ht="16.5" customHeight="1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</row>
    <row r="150" spans="1:22" s="38" customFormat="1" ht="16.5" customHeight="1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</row>
    <row r="151" spans="1:22" s="38" customFormat="1" ht="16.5" customHeight="1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</row>
    <row r="152" spans="1:22" s="38" customFormat="1" ht="16.5" customHeight="1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</row>
    <row r="153" spans="1:22" s="38" customFormat="1" ht="16.5" customHeight="1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</row>
    <row r="154" spans="1:22" s="38" customFormat="1" ht="16.5" customHeight="1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</row>
    <row r="155" spans="1:22" s="38" customFormat="1" ht="16.5" customHeight="1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</row>
    <row r="156" spans="1:22" s="38" customFormat="1" ht="16.5" customHeight="1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</row>
    <row r="157" spans="1:22" s="38" customFormat="1" ht="16.5" customHeight="1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</row>
    <row r="158" spans="1:22" s="38" customFormat="1" ht="16.5" customHeight="1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</row>
    <row r="159" spans="1:22" s="38" customFormat="1" ht="16.5" customHeight="1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</row>
    <row r="160" spans="1:22" s="38" customFormat="1" ht="16.5" customHeight="1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</row>
    <row r="161" spans="1:22" s="38" customFormat="1" ht="16.5" customHeight="1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</row>
    <row r="162" spans="1:22" s="38" customFormat="1" ht="16.5" customHeight="1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</row>
    <row r="163" spans="1:22" s="38" customFormat="1" ht="16.5" customHeight="1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</row>
    <row r="164" spans="1:22" s="38" customFormat="1" ht="16.5" customHeight="1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</row>
    <row r="165" spans="1:22" s="38" customFormat="1" ht="16.5" customHeight="1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</row>
    <row r="166" spans="1:22" s="38" customFormat="1" ht="16.5" customHeight="1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</row>
    <row r="167" spans="1:22" s="38" customFormat="1" ht="16.5" customHeight="1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</row>
    <row r="168" spans="1:22" s="38" customFormat="1" ht="16.5" customHeight="1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</row>
    <row r="169" spans="1:22" s="38" customFormat="1" ht="16.5" customHeight="1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</row>
    <row r="170" spans="1:22" s="38" customFormat="1" ht="16.5" customHeight="1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</row>
    <row r="171" spans="1:22" s="38" customFormat="1" ht="16.5" customHeight="1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</row>
    <row r="172" spans="1:22" s="38" customFormat="1" ht="16.5" customHeight="1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</row>
    <row r="173" spans="1:22" s="38" customFormat="1" ht="16.5" customHeight="1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</row>
    <row r="174" spans="1:22" s="38" customFormat="1" ht="16.5" customHeight="1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</row>
    <row r="175" spans="1:22" s="38" customFormat="1" ht="16.5" customHeight="1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</row>
    <row r="176" spans="1:22" s="38" customFormat="1" ht="16.5" customHeight="1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</row>
    <row r="177" spans="1:22" s="38" customFormat="1" ht="16.5" customHeight="1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</row>
    <row r="178" spans="1:22" s="38" customFormat="1" ht="16.5" customHeight="1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</row>
    <row r="179" spans="1:22" s="38" customFormat="1" ht="16.5" customHeight="1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</row>
    <row r="180" spans="1:22" s="38" customFormat="1" ht="16.5" customHeight="1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</row>
    <row r="181" spans="1:22" s="38" customFormat="1" ht="16.5" customHeight="1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</row>
    <row r="182" spans="1:22" s="38" customFormat="1" ht="16.5" customHeight="1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</row>
    <row r="183" spans="1:22" s="38" customFormat="1" ht="16.5" customHeight="1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</row>
    <row r="184" spans="1:22" s="38" customFormat="1" ht="16.5" customHeight="1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</row>
    <row r="185" spans="1:22" s="38" customFormat="1" ht="16.5" customHeight="1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</row>
    <row r="186" spans="1:22" s="38" customFormat="1" ht="16.5" customHeight="1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</row>
    <row r="187" spans="1:22" s="38" customFormat="1" ht="16.5" customHeight="1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</row>
    <row r="188" spans="1:22" s="38" customFormat="1" ht="16.5" customHeight="1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</row>
    <row r="189" spans="1:22" s="38" customFormat="1" ht="16.5" customHeight="1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</row>
    <row r="190" spans="1:22" s="38" customFormat="1" ht="16.5" customHeight="1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</row>
    <row r="191" spans="1:22" s="38" customFormat="1" ht="16.5" customHeight="1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</row>
    <row r="192" spans="1:22" s="38" customFormat="1" ht="16.5" customHeight="1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</row>
    <row r="193" spans="1:22" s="38" customFormat="1" ht="16.5" customHeight="1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</row>
    <row r="194" spans="1:22" s="38" customFormat="1" ht="16.5" customHeight="1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</row>
    <row r="195" spans="1:22" s="38" customFormat="1" ht="16.5" customHeight="1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</row>
    <row r="196" spans="1:22" s="38" customFormat="1" ht="16.5" customHeight="1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</row>
    <row r="197" spans="1:22" s="38" customFormat="1" ht="16.5" customHeight="1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</row>
    <row r="198" spans="1:22" s="38" customFormat="1" ht="16.5" customHeight="1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</row>
    <row r="199" spans="1:22" s="38" customFormat="1" ht="16.5" customHeight="1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</row>
    <row r="200" spans="1:22" s="38" customFormat="1" ht="16.5" customHeight="1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</row>
    <row r="201" spans="1:22" s="38" customFormat="1" ht="16.5" customHeight="1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</row>
    <row r="202" spans="1:22" s="38" customFormat="1" ht="16.5" customHeight="1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</row>
    <row r="203" spans="1:22" s="38" customFormat="1" ht="16.5" customHeight="1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</row>
    <row r="204" spans="1:22" s="38" customFormat="1" ht="16.5" customHeight="1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</row>
    <row r="205" spans="1:22" s="38" customFormat="1" ht="16.5" customHeight="1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</row>
    <row r="206" spans="1:22" s="38" customFormat="1" ht="16.5" customHeight="1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</row>
    <row r="207" spans="1:22" s="38" customFormat="1" ht="16.5" customHeight="1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</row>
    <row r="208" spans="1:22" s="38" customFormat="1" ht="16.5" customHeight="1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</row>
    <row r="209" spans="1:22" s="38" customFormat="1" ht="16.5" customHeight="1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</row>
    <row r="210" spans="1:22" s="38" customFormat="1" ht="16.5" customHeight="1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</row>
    <row r="211" spans="1:22" s="38" customFormat="1" ht="16.5" customHeight="1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</row>
    <row r="212" spans="1:22" s="38" customFormat="1" ht="16.5" customHeight="1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</row>
    <row r="213" spans="1:22" s="38" customFormat="1" ht="16.5" customHeight="1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</row>
    <row r="214" spans="1:22" s="38" customFormat="1" ht="16.5" customHeight="1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</row>
    <row r="215" spans="1:22" s="38" customFormat="1" ht="16.5" customHeight="1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</row>
    <row r="216" spans="1:22" s="38" customFormat="1" ht="16.5" customHeight="1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</row>
    <row r="217" spans="1:22" s="38" customFormat="1" ht="16.5" customHeight="1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</row>
    <row r="218" spans="1:22" s="38" customFormat="1" ht="16.5" customHeight="1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</row>
    <row r="219" spans="1:22" s="38" customFormat="1" ht="16.5" customHeight="1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</row>
    <row r="220" spans="1:22" s="38" customFormat="1" ht="16.5" customHeight="1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</row>
    <row r="221" spans="1:22" s="38" customFormat="1" ht="16.5" customHeight="1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</row>
    <row r="222" spans="1:22" s="38" customFormat="1" ht="16.5" customHeight="1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</row>
    <row r="223" spans="1:22" s="38" customFormat="1" ht="16.5" customHeight="1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</row>
    <row r="224" spans="1:22" s="38" customFormat="1" ht="16.5" customHeight="1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</row>
    <row r="225" spans="1:22" s="38" customFormat="1" ht="16.5" customHeight="1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</row>
    <row r="226" spans="1:22" s="38" customFormat="1" ht="16.5" customHeight="1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</row>
    <row r="227" spans="1:22" s="38" customFormat="1" ht="16.5" customHeight="1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</row>
    <row r="228" spans="1:22" s="38" customFormat="1" ht="16.5" customHeight="1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</row>
    <row r="229" spans="1:22" s="38" customFormat="1" ht="16.5" customHeight="1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</row>
    <row r="230" spans="1:22" s="38" customFormat="1" ht="16.5" customHeight="1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</row>
    <row r="231" spans="1:22" s="38" customFormat="1" ht="16.5" customHeight="1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</row>
    <row r="232" spans="1:22" s="38" customFormat="1" ht="16.5" customHeight="1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</row>
    <row r="233" spans="1:22" s="38" customFormat="1" ht="16.5" customHeight="1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</row>
    <row r="234" spans="1:22" s="38" customFormat="1" ht="16.5" customHeight="1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</row>
    <row r="235" spans="1:22" s="38" customFormat="1" ht="16.5" customHeight="1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</row>
    <row r="236" spans="1:22" s="38" customFormat="1" ht="16.5" customHeight="1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</row>
    <row r="237" spans="1:22" s="38" customFormat="1" ht="16.5" customHeight="1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</row>
    <row r="238" spans="1:22" s="38" customFormat="1" ht="16.5" customHeight="1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</row>
    <row r="239" spans="1:22" s="38" customFormat="1" ht="16.5" customHeight="1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</row>
    <row r="240" spans="1:22" s="38" customFormat="1" ht="16.5" customHeight="1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</row>
    <row r="241" spans="1:22" s="38" customFormat="1" ht="16.5" customHeight="1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</row>
    <row r="242" spans="1:22" s="38" customFormat="1" ht="16.5" customHeight="1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</row>
    <row r="243" spans="1:22" s="38" customFormat="1" ht="16.5" customHeight="1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</row>
    <row r="244" spans="1:22" s="38" customFormat="1" ht="16.5" customHeight="1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</row>
    <row r="245" spans="1:22" s="38" customFormat="1" ht="16.5" customHeight="1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</row>
    <row r="246" spans="1:22" s="38" customFormat="1" ht="16.5" customHeight="1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</row>
    <row r="247" spans="1:22" s="38" customFormat="1" ht="16.5" customHeight="1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</row>
    <row r="248" spans="1:22" s="38" customFormat="1" ht="16.5" customHeight="1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</row>
    <row r="249" spans="1:22" s="38" customFormat="1" ht="16.5" customHeight="1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</row>
    <row r="250" spans="1:22" s="38" customFormat="1" ht="16.5" customHeight="1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</row>
    <row r="251" spans="1:22" s="38" customFormat="1" ht="16.5" customHeight="1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</row>
    <row r="252" spans="1:22" s="38" customFormat="1" ht="16.5" customHeight="1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</row>
    <row r="253" spans="1:22" s="38" customFormat="1" ht="16.5" customHeight="1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</row>
    <row r="254" spans="1:22" s="38" customFormat="1" ht="16.5" customHeight="1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</row>
    <row r="255" spans="1:22" s="38" customFormat="1" ht="16.5" customHeight="1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</row>
    <row r="256" spans="1:22" s="38" customFormat="1" ht="16.5" customHeight="1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</row>
    <row r="257" spans="1:22" s="38" customFormat="1" ht="16.5" customHeight="1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</row>
    <row r="258" spans="1:22" s="38" customFormat="1" ht="16.5" customHeight="1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</row>
    <row r="259" spans="1:22" s="38" customFormat="1" ht="16.5" customHeight="1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</row>
    <row r="260" spans="1:22" s="38" customFormat="1" ht="16.5" customHeight="1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</row>
    <row r="261" spans="1:22" s="38" customFormat="1" ht="16.5" customHeight="1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</row>
    <row r="262" spans="1:22" s="38" customFormat="1" ht="16.5" customHeight="1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</row>
    <row r="263" spans="1:22" s="38" customFormat="1" ht="16.5" customHeight="1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</row>
    <row r="264" spans="1:22" s="38" customFormat="1" ht="16.5" customHeight="1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</row>
    <row r="265" spans="1:22" s="38" customFormat="1" ht="16.5" customHeight="1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</row>
    <row r="266" spans="1:22" s="38" customFormat="1" ht="16.5" customHeight="1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</row>
    <row r="267" spans="1:22" s="38" customFormat="1" ht="16.5" customHeight="1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</row>
    <row r="268" spans="1:22" s="38" customFormat="1" ht="16.5" customHeight="1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</row>
    <row r="269" spans="1:22" s="38" customFormat="1" ht="16.5" customHeight="1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</row>
    <row r="270" spans="1:22" s="38" customFormat="1" ht="16.5" customHeight="1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</row>
    <row r="271" spans="1:22" s="38" customFormat="1" ht="16.5" customHeight="1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</row>
    <row r="272" spans="1:22" s="38" customFormat="1" ht="16.5" customHeight="1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</row>
    <row r="273" spans="1:22" s="38" customFormat="1" ht="16.5" customHeight="1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</row>
    <row r="274" spans="1:22" s="38" customFormat="1" ht="16.5" customHeight="1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</row>
    <row r="275" spans="1:22" s="38" customFormat="1" ht="16.5" customHeight="1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</row>
    <row r="276" spans="1:22" s="38" customFormat="1" ht="16.5" customHeight="1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</row>
    <row r="277" spans="1:22" s="38" customFormat="1" ht="16.5" customHeight="1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</row>
    <row r="278" spans="1:22" s="38" customFormat="1" ht="16.5" customHeight="1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</row>
    <row r="279" spans="1:22" s="38" customFormat="1" ht="16.5" customHeight="1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</row>
    <row r="280" spans="1:22" s="38" customFormat="1" ht="16.5" customHeight="1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</row>
    <row r="281" spans="1:22" s="38" customFormat="1" ht="16.5" customHeight="1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</row>
    <row r="282" spans="1:22" s="38" customFormat="1" ht="16.5" customHeight="1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</row>
    <row r="283" spans="1:22" s="38" customFormat="1" ht="16.5" customHeight="1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</row>
    <row r="284" spans="1:22" s="38" customFormat="1" ht="16.5" customHeight="1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</row>
    <row r="285" spans="1:22" s="38" customFormat="1" ht="16.5" customHeight="1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</row>
    <row r="286" spans="1:22" s="38" customFormat="1" ht="16.5" customHeight="1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</row>
    <row r="287" spans="1:22" s="38" customFormat="1" ht="16.5" customHeight="1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</row>
    <row r="288" spans="1:22" s="38" customFormat="1" ht="16.5" customHeight="1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</row>
    <row r="289" spans="1:22" s="38" customFormat="1" ht="16.5" customHeight="1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</row>
    <row r="290" spans="1:22" s="38" customFormat="1" ht="16.5" customHeight="1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</row>
    <row r="291" spans="1:22" s="38" customFormat="1" ht="16.5" customHeight="1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</row>
    <row r="292" spans="1:22" s="38" customFormat="1" ht="16.5" customHeight="1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</row>
    <row r="293" spans="1:22" s="38" customFormat="1" ht="16.5" customHeight="1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</row>
    <row r="294" spans="1:22" s="38" customFormat="1" ht="16.5" customHeight="1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</row>
    <row r="295" spans="1:22" s="38" customFormat="1" ht="16.5" customHeight="1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</row>
    <row r="296" spans="1:22" s="38" customFormat="1" ht="16.5" customHeight="1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</row>
    <row r="297" spans="1:22" s="38" customFormat="1" ht="16.5" customHeight="1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</row>
    <row r="298" spans="1:22" s="38" customFormat="1" ht="16.5" customHeight="1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</row>
    <row r="299" spans="1:22" s="38" customFormat="1" ht="16.5" customHeight="1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</row>
    <row r="300" spans="1:22" s="38" customFormat="1" ht="16.5" customHeight="1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</row>
    <row r="301" spans="1:22" s="38" customFormat="1" ht="16.5" customHeight="1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</row>
    <row r="302" spans="1:22" s="38" customFormat="1" ht="16.5" customHeight="1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</row>
    <row r="303" spans="1:22" s="38" customFormat="1" ht="16.5" customHeight="1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</row>
    <row r="304" spans="1:22" s="38" customFormat="1" ht="16.5" customHeight="1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</row>
    <row r="305" spans="1:22" s="38" customFormat="1" ht="16.5" customHeight="1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</row>
    <row r="306" spans="1:22" s="38" customFormat="1" ht="16.5" customHeight="1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</row>
    <row r="307" spans="1:22" s="38" customFormat="1" ht="16.5" customHeight="1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</row>
    <row r="308" spans="1:22" s="38" customFormat="1" ht="16.5" customHeight="1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</row>
    <row r="309" spans="1:22" s="38" customFormat="1" ht="16.5" customHeight="1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</row>
    <row r="310" spans="1:22" s="38" customFormat="1" ht="16.5" customHeight="1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</row>
    <row r="311" spans="1:22" s="38" customFormat="1" ht="16.5" customHeight="1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</row>
    <row r="312" spans="1:22" s="38" customFormat="1" ht="16.5" customHeight="1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</row>
    <row r="313" spans="1:22" s="38" customFormat="1" ht="16.5" customHeight="1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</row>
    <row r="314" spans="1:22" s="38" customFormat="1" ht="16.5" customHeight="1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</row>
    <row r="315" spans="1:22" s="38" customFormat="1" ht="16.5" customHeight="1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</row>
    <row r="316" spans="1:22" s="38" customFormat="1" ht="16.5" customHeight="1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</row>
    <row r="317" spans="1:22" s="38" customFormat="1" ht="16.5" customHeight="1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</row>
    <row r="318" spans="1:22" s="38" customFormat="1" ht="16.5" customHeight="1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</row>
    <row r="319" spans="1:22" s="38" customFormat="1" ht="16.5" customHeight="1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</row>
    <row r="320" spans="1:22" s="38" customFormat="1" ht="16.5" customHeight="1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</row>
    <row r="321" spans="1:22" s="38" customFormat="1" ht="16.5" customHeight="1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</row>
    <row r="322" spans="1:22" s="38" customFormat="1" ht="16.5" customHeight="1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</row>
    <row r="323" spans="1:22" s="38" customFormat="1" ht="16.5" customHeight="1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</row>
    <row r="324" spans="1:22" s="38" customFormat="1" ht="16.5" customHeight="1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</row>
    <row r="325" spans="1:22" s="38" customFormat="1" ht="16.5" customHeight="1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</row>
    <row r="326" spans="1:22" s="38" customFormat="1" ht="16.5" customHeight="1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</row>
    <row r="327" spans="1:22" s="38" customFormat="1" ht="16.5" customHeight="1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</row>
    <row r="328" spans="1:22" s="38" customFormat="1" ht="16.5" customHeight="1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</row>
    <row r="329" spans="1:22" s="38" customFormat="1" ht="16.5" customHeight="1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</row>
    <row r="330" spans="1:22" s="38" customFormat="1" ht="16.5" customHeight="1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</row>
    <row r="331" spans="1:22" s="38" customFormat="1" ht="16.5" customHeight="1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</row>
    <row r="332" spans="1:22" s="38" customFormat="1" ht="16.5" customHeight="1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</row>
    <row r="333" spans="1:22" s="38" customFormat="1" ht="16.5" customHeight="1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</row>
    <row r="334" spans="1:22" s="38" customFormat="1" ht="16.5" customHeight="1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</row>
    <row r="335" spans="1:22" s="38" customFormat="1" ht="16.5" customHeight="1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</row>
    <row r="336" spans="1:22" s="38" customFormat="1" ht="16.5" customHeight="1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</row>
    <row r="337" spans="1:22" s="38" customFormat="1" ht="16.5" customHeight="1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</row>
    <row r="338" spans="1:22" s="38" customFormat="1" ht="16.5" customHeight="1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</row>
    <row r="339" spans="1:22" s="38" customFormat="1" ht="16.5" customHeight="1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</row>
    <row r="340" spans="1:22" s="38" customFormat="1" ht="16.5" customHeight="1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</row>
    <row r="341" spans="1:22" s="38" customFormat="1" ht="16.5" customHeight="1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</row>
    <row r="342" spans="1:22" s="38" customFormat="1" ht="16.5" customHeight="1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</row>
    <row r="343" spans="1:22" s="38" customFormat="1" ht="16.5" customHeight="1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</row>
    <row r="344" spans="1:22" s="38" customFormat="1" ht="16.5" customHeight="1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</row>
    <row r="345" spans="1:22" s="38" customFormat="1" ht="16.5" customHeight="1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</row>
    <row r="346" spans="1:22" s="38" customFormat="1" ht="16.5" customHeight="1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</row>
    <row r="347" spans="1:22" s="38" customFormat="1" ht="16.5" customHeight="1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</row>
    <row r="348" spans="1:22" s="38" customFormat="1" ht="16.5" customHeight="1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</row>
    <row r="349" spans="1:22" s="38" customFormat="1" ht="16.5" customHeight="1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</row>
    <row r="350" spans="1:22" s="38" customFormat="1" ht="16.5" customHeight="1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</row>
    <row r="351" spans="1:22" s="38" customFormat="1" ht="16.5" customHeight="1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</row>
    <row r="352" spans="1:22" s="38" customFormat="1" ht="16.5" customHeight="1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</row>
    <row r="353" spans="1:22" s="38" customFormat="1" ht="16.5" customHeight="1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</row>
    <row r="354" spans="1:22" s="38" customFormat="1" ht="16.5" customHeight="1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</row>
    <row r="355" spans="1:22" s="38" customFormat="1" ht="16.5" customHeight="1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</row>
    <row r="356" spans="1:22" s="38" customFormat="1" ht="16.5" customHeight="1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</row>
    <row r="357" spans="1:22" s="38" customFormat="1" ht="16.5" customHeight="1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</row>
    <row r="358" spans="1:22" s="38" customFormat="1" ht="16.5" customHeight="1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</row>
    <row r="359" spans="1:22" s="38" customFormat="1" ht="16.5" customHeight="1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</row>
    <row r="360" spans="1:22" s="38" customFormat="1" ht="16.5" customHeight="1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</row>
    <row r="361" spans="1:22" s="38" customFormat="1" ht="16.5" customHeight="1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</row>
    <row r="362" spans="1:22" s="38" customFormat="1" ht="16.5" customHeight="1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</row>
    <row r="363" spans="1:22" s="38" customFormat="1" ht="16.5" customHeight="1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</row>
    <row r="364" spans="1:22" s="38" customFormat="1" ht="16.5" customHeight="1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</row>
    <row r="365" spans="1:22" s="38" customFormat="1" ht="16.5" customHeight="1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</row>
    <row r="366" spans="1:22" s="38" customFormat="1" ht="16.5" customHeight="1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</row>
    <row r="367" spans="1:22" s="38" customFormat="1" ht="16.5" customHeight="1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</row>
    <row r="368" spans="1:22" s="38" customFormat="1" ht="16.5" customHeight="1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</row>
    <row r="369" spans="1:22" s="38" customFormat="1" ht="16.5" customHeight="1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</row>
    <row r="370" spans="1:22" s="38" customFormat="1" ht="16.5" customHeight="1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</row>
    <row r="371" spans="1:22" s="38" customFormat="1" ht="16.5" customHeight="1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</row>
    <row r="372" spans="1:22" s="38" customFormat="1" ht="16.5" customHeight="1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</row>
    <row r="373" spans="1:22" s="38" customFormat="1" ht="16.5" customHeight="1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</row>
    <row r="374" spans="1:22" s="38" customFormat="1" ht="16.5" customHeight="1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</row>
    <row r="375" spans="1:22" s="38" customFormat="1" ht="16.5" customHeight="1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</row>
    <row r="376" spans="1:22" s="38" customFormat="1" ht="16.5" customHeight="1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</row>
    <row r="377" spans="1:22" s="38" customFormat="1" ht="16.5" customHeight="1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</row>
    <row r="378" spans="1:22" s="38" customFormat="1" ht="16.5" customHeight="1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</row>
    <row r="379" spans="1:22" s="38" customFormat="1" ht="16.5" customHeight="1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</row>
    <row r="380" spans="1:22" s="38" customFormat="1" ht="16.5" customHeight="1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</row>
    <row r="381" spans="1:22" s="38" customFormat="1" ht="16.5" customHeight="1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</row>
    <row r="382" spans="1:22" s="38" customFormat="1" ht="16.5" customHeight="1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</row>
    <row r="383" spans="1:22" s="38" customFormat="1" ht="16.5" customHeight="1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</row>
    <row r="384" spans="1:22" s="38" customFormat="1" ht="16.5" customHeight="1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</row>
    <row r="385" spans="1:22" s="38" customFormat="1" ht="16.5" customHeight="1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</row>
    <row r="386" spans="1:22" s="38" customFormat="1" ht="16.5" customHeight="1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</row>
    <row r="387" spans="1:22" s="38" customFormat="1" ht="16.5" customHeight="1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</row>
    <row r="388" spans="1:22" s="38" customFormat="1" ht="16.5" customHeight="1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</row>
    <row r="389" spans="1:22" s="38" customFormat="1" ht="16.5" customHeight="1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</row>
    <row r="390" spans="1:22" s="38" customFormat="1" ht="16.5" customHeight="1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</row>
    <row r="391" spans="1:22" s="38" customFormat="1" ht="16.5" customHeight="1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</row>
    <row r="392" spans="1:22" s="38" customFormat="1" ht="16.5" customHeight="1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</row>
    <row r="393" spans="1:22" s="38" customFormat="1" ht="16.5" customHeight="1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</row>
    <row r="394" spans="1:22" s="38" customFormat="1" ht="16.5" customHeight="1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</row>
    <row r="395" spans="1:22" s="38" customFormat="1" ht="16.5" customHeight="1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</row>
    <row r="396" spans="1:22" s="38" customFormat="1" ht="16.5" customHeight="1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</row>
    <row r="397" spans="1:22" s="38" customFormat="1" ht="16.5" customHeight="1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</row>
    <row r="398" spans="1:22" s="38" customFormat="1" ht="16.5" customHeight="1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</row>
    <row r="399" spans="1:22" s="38" customFormat="1" ht="16.5" customHeight="1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</row>
    <row r="400" spans="1:22" s="38" customFormat="1" ht="16.5" customHeight="1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</row>
    <row r="401" spans="1:22" s="38" customFormat="1" ht="16.5" customHeight="1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</row>
    <row r="402" spans="1:22" s="38" customFormat="1" ht="16.5" customHeight="1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</row>
    <row r="403" spans="1:22" s="38" customFormat="1" ht="16.5" customHeight="1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</row>
    <row r="404" spans="1:22" s="38" customFormat="1" ht="16.5" customHeight="1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</row>
    <row r="405" spans="1:22" s="38" customFormat="1" ht="16.5" customHeight="1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</row>
    <row r="406" spans="1:22" s="38" customFormat="1" ht="16.5" customHeight="1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</row>
    <row r="407" spans="1:22" s="38" customFormat="1" ht="16.5" customHeight="1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</row>
    <row r="408" spans="1:22" s="38" customFormat="1" ht="16.5" customHeight="1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</row>
    <row r="409" spans="1:22" s="38" customFormat="1" ht="16.5" customHeight="1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</row>
    <row r="410" spans="1:22" s="38" customFormat="1" ht="16.5" customHeight="1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</row>
    <row r="411" spans="1:22" s="38" customFormat="1" ht="16.5" customHeight="1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</row>
    <row r="412" spans="1:22" s="38" customFormat="1" ht="16.5" customHeight="1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</row>
    <row r="413" spans="1:22" s="38" customFormat="1" ht="16.5" customHeight="1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</row>
    <row r="414" spans="1:22" s="38" customFormat="1" ht="16.5" customHeight="1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</row>
    <row r="415" spans="1:22" s="38" customFormat="1" ht="16.5" customHeight="1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</row>
    <row r="416" spans="1:22" s="38" customFormat="1" ht="16.5" customHeight="1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</row>
    <row r="417" spans="1:22" s="38" customFormat="1" ht="16.5" customHeight="1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</row>
    <row r="418" spans="1:22" s="38" customFormat="1" ht="16.5" customHeight="1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</row>
    <row r="419" spans="1:22" s="38" customFormat="1" ht="16.5" customHeight="1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</row>
    <row r="420" spans="1:22" s="38" customFormat="1" ht="16.5" customHeight="1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</row>
    <row r="421" spans="1:22" s="38" customFormat="1" ht="16.5" customHeight="1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</row>
    <row r="422" spans="1:22" s="38" customFormat="1" ht="16.5" customHeight="1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</row>
    <row r="423" spans="1:22" s="38" customFormat="1" ht="16.5" customHeight="1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</row>
    <row r="424" spans="1:22" s="38" customFormat="1" ht="16.5" customHeight="1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</row>
    <row r="425" spans="1:22" s="38" customFormat="1" ht="16.5" customHeight="1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</row>
    <row r="426" spans="1:22" s="38" customFormat="1" ht="16.5" customHeight="1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</row>
    <row r="427" spans="1:22" s="38" customFormat="1" ht="16.5" customHeight="1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</row>
    <row r="428" spans="1:22" s="38" customFormat="1" ht="16.5" customHeight="1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</row>
    <row r="429" spans="1:22" s="38" customFormat="1" ht="16.5" customHeight="1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</row>
    <row r="430" spans="1:22" s="38" customFormat="1" ht="16.5" customHeight="1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</row>
    <row r="431" spans="1:22" s="38" customFormat="1" ht="16.5" customHeight="1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</row>
    <row r="432" spans="1:22" s="38" customFormat="1" ht="16.5" customHeight="1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</row>
    <row r="433" spans="1:22" s="38" customFormat="1" ht="16.5" customHeight="1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</row>
    <row r="434" spans="1:22" s="38" customFormat="1" ht="16.5" customHeight="1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</row>
    <row r="435" spans="1:22" s="38" customFormat="1" ht="16.5" customHeight="1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</row>
    <row r="436" spans="1:22" s="38" customFormat="1" ht="16.5" customHeight="1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</row>
    <row r="437" spans="1:22" s="38" customFormat="1" ht="16.5" customHeight="1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</row>
    <row r="438" spans="1:22" s="38" customFormat="1" ht="16.5" customHeight="1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</row>
    <row r="439" spans="1:22" s="38" customFormat="1" ht="16.5" customHeight="1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</row>
    <row r="440" spans="1:22" s="38" customFormat="1" ht="16.5" customHeight="1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</row>
    <row r="441" spans="1:22" s="38" customFormat="1" ht="16.5" customHeight="1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</row>
    <row r="442" spans="1:22" s="38" customFormat="1" ht="16.5" customHeight="1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</row>
    <row r="443" spans="1:22" s="38" customFormat="1" ht="16.5" customHeight="1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</row>
    <row r="444" spans="1:22" s="38" customFormat="1" ht="16.5" customHeight="1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</row>
    <row r="445" spans="1:22" s="38" customFormat="1" ht="16.5" customHeight="1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</row>
    <row r="446" spans="1:22" s="38" customFormat="1" ht="16.5" customHeight="1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</row>
    <row r="447" spans="1:22" s="38" customFormat="1" ht="16.5" customHeight="1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</row>
    <row r="448" spans="1:22" s="38" customFormat="1" ht="16.5" customHeight="1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</row>
    <row r="449" spans="1:22" s="38" customFormat="1" ht="16.5" customHeight="1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</row>
    <row r="450" spans="1:22" s="38" customFormat="1" ht="16.5" customHeight="1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</row>
  </sheetData>
  <autoFilter ref="A3:U61">
    <sortState ref="A4:U61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455" priority="35378" operator="greaterThan">
      <formula>0.9</formula>
    </cfRule>
    <cfRule type="cellIs" dxfId="1454" priority="35379" operator="greaterThan">
      <formula>0.85</formula>
    </cfRule>
  </conditionalFormatting>
  <conditionalFormatting sqref="N4">
    <cfRule type="cellIs" dxfId="1453" priority="1039" operator="greaterThan">
      <formula>0.9</formula>
    </cfRule>
    <cfRule type="cellIs" dxfId="1452" priority="1040" operator="greaterThan">
      <formula>0.85</formula>
    </cfRule>
  </conditionalFormatting>
  <conditionalFormatting sqref="N5">
    <cfRule type="cellIs" dxfId="1451" priority="1021" operator="greaterThan">
      <formula>0.9</formula>
    </cfRule>
    <cfRule type="cellIs" dxfId="1450" priority="1022" operator="greaterThan">
      <formula>0.85</formula>
    </cfRule>
  </conditionalFormatting>
  <conditionalFormatting sqref="N6">
    <cfRule type="cellIs" dxfId="1449" priority="1003" operator="greaterThan">
      <formula>0.9</formula>
    </cfRule>
    <cfRule type="cellIs" dxfId="1448" priority="1004" operator="greaterThan">
      <formula>0.85</formula>
    </cfRule>
  </conditionalFormatting>
  <conditionalFormatting sqref="N7">
    <cfRule type="cellIs" dxfId="1447" priority="985" operator="greaterThan">
      <formula>0.9</formula>
    </cfRule>
    <cfRule type="cellIs" dxfId="1446" priority="986" operator="greaterThan">
      <formula>0.85</formula>
    </cfRule>
  </conditionalFormatting>
  <conditionalFormatting sqref="N8">
    <cfRule type="cellIs" dxfId="1445" priority="967" operator="greaterThan">
      <formula>0.9</formula>
    </cfRule>
    <cfRule type="cellIs" dxfId="1444" priority="968" operator="greaterThan">
      <formula>0.85</formula>
    </cfRule>
  </conditionalFormatting>
  <conditionalFormatting sqref="N9">
    <cfRule type="cellIs" dxfId="1443" priority="949" operator="greaterThan">
      <formula>0.9</formula>
    </cfRule>
    <cfRule type="cellIs" dxfId="1442" priority="950" operator="greaterThan">
      <formula>0.85</formula>
    </cfRule>
  </conditionalFormatting>
  <conditionalFormatting sqref="N10">
    <cfRule type="cellIs" dxfId="1441" priority="931" operator="greaterThan">
      <formula>0.9</formula>
    </cfRule>
    <cfRule type="cellIs" dxfId="1440" priority="932" operator="greaterThan">
      <formula>0.85</formula>
    </cfRule>
  </conditionalFormatting>
  <conditionalFormatting sqref="N11">
    <cfRule type="cellIs" dxfId="1439" priority="913" operator="greaterThan">
      <formula>0.9</formula>
    </cfRule>
    <cfRule type="cellIs" dxfId="1438" priority="914" operator="greaterThan">
      <formula>0.85</formula>
    </cfRule>
  </conditionalFormatting>
  <conditionalFormatting sqref="N12">
    <cfRule type="cellIs" dxfId="1437" priority="895" operator="greaterThan">
      <formula>0.9</formula>
    </cfRule>
    <cfRule type="cellIs" dxfId="1436" priority="896" operator="greaterThan">
      <formula>0.85</formula>
    </cfRule>
  </conditionalFormatting>
  <conditionalFormatting sqref="N13">
    <cfRule type="cellIs" dxfId="1435" priority="877" operator="greaterThan">
      <formula>0.9</formula>
    </cfRule>
    <cfRule type="cellIs" dxfId="1434" priority="878" operator="greaterThan">
      <formula>0.85</formula>
    </cfRule>
  </conditionalFormatting>
  <conditionalFormatting sqref="N14">
    <cfRule type="cellIs" dxfId="1433" priority="859" operator="greaterThan">
      <formula>0.9</formula>
    </cfRule>
    <cfRule type="cellIs" dxfId="1432" priority="860" operator="greaterThan">
      <formula>0.85</formula>
    </cfRule>
  </conditionalFormatting>
  <conditionalFormatting sqref="N15">
    <cfRule type="cellIs" dxfId="1431" priority="841" operator="greaterThan">
      <formula>0.9</formula>
    </cfRule>
    <cfRule type="cellIs" dxfId="1430" priority="842" operator="greaterThan">
      <formula>0.85</formula>
    </cfRule>
  </conditionalFormatting>
  <conditionalFormatting sqref="N16">
    <cfRule type="cellIs" dxfId="1429" priority="823" operator="greaterThan">
      <formula>0.9</formula>
    </cfRule>
    <cfRule type="cellIs" dxfId="1428" priority="824" operator="greaterThan">
      <formula>0.85</formula>
    </cfRule>
  </conditionalFormatting>
  <conditionalFormatting sqref="N17">
    <cfRule type="cellIs" dxfId="1427" priority="805" operator="greaterThan">
      <formula>0.9</formula>
    </cfRule>
    <cfRule type="cellIs" dxfId="1426" priority="806" operator="greaterThan">
      <formula>0.85</formula>
    </cfRule>
  </conditionalFormatting>
  <conditionalFormatting sqref="N18">
    <cfRule type="cellIs" dxfId="1425" priority="787" operator="greaterThan">
      <formula>0.9</formula>
    </cfRule>
    <cfRule type="cellIs" dxfId="1424" priority="788" operator="greaterThan">
      <formula>0.85</formula>
    </cfRule>
  </conditionalFormatting>
  <conditionalFormatting sqref="N19">
    <cfRule type="cellIs" dxfId="1423" priority="769" operator="greaterThan">
      <formula>0.9</formula>
    </cfRule>
    <cfRule type="cellIs" dxfId="1422" priority="770" operator="greaterThan">
      <formula>0.85</formula>
    </cfRule>
  </conditionalFormatting>
  <conditionalFormatting sqref="N20">
    <cfRule type="cellIs" dxfId="1421" priority="751" operator="greaterThan">
      <formula>0.9</formula>
    </cfRule>
    <cfRule type="cellIs" dxfId="1420" priority="752" operator="greaterThan">
      <formula>0.85</formula>
    </cfRule>
  </conditionalFormatting>
  <conditionalFormatting sqref="N21">
    <cfRule type="cellIs" dxfId="1419" priority="733" operator="greaterThan">
      <formula>0.9</formula>
    </cfRule>
    <cfRule type="cellIs" dxfId="1418" priority="734" operator="greaterThan">
      <formula>0.85</formula>
    </cfRule>
  </conditionalFormatting>
  <conditionalFormatting sqref="N22">
    <cfRule type="cellIs" dxfId="1417" priority="715" operator="greaterThan">
      <formula>0.9</formula>
    </cfRule>
    <cfRule type="cellIs" dxfId="1416" priority="716" operator="greaterThan">
      <formula>0.85</formula>
    </cfRule>
  </conditionalFormatting>
  <conditionalFormatting sqref="N23">
    <cfRule type="cellIs" dxfId="1415" priority="697" operator="greaterThan">
      <formula>0.9</formula>
    </cfRule>
    <cfRule type="cellIs" dxfId="1414" priority="698" operator="greaterThan">
      <formula>0.85</formula>
    </cfRule>
  </conditionalFormatting>
  <conditionalFormatting sqref="N24">
    <cfRule type="cellIs" dxfId="1413" priority="679" operator="greaterThan">
      <formula>0.9</formula>
    </cfRule>
    <cfRule type="cellIs" dxfId="1412" priority="680" operator="greaterThan">
      <formula>0.85</formula>
    </cfRule>
  </conditionalFormatting>
  <conditionalFormatting sqref="N25">
    <cfRule type="cellIs" dxfId="1411" priority="661" operator="greaterThan">
      <formula>0.9</formula>
    </cfRule>
    <cfRule type="cellIs" dxfId="1410" priority="662" operator="greaterThan">
      <formula>0.85</formula>
    </cfRule>
  </conditionalFormatting>
  <conditionalFormatting sqref="N26">
    <cfRule type="cellIs" dxfId="1409" priority="643" operator="greaterThan">
      <formula>0.9</formula>
    </cfRule>
    <cfRule type="cellIs" dxfId="1408" priority="644" operator="greaterThan">
      <formula>0.85</formula>
    </cfRule>
  </conditionalFormatting>
  <conditionalFormatting sqref="N27">
    <cfRule type="cellIs" dxfId="1407" priority="625" operator="greaterThan">
      <formula>0.9</formula>
    </cfRule>
    <cfRule type="cellIs" dxfId="1406" priority="626" operator="greaterThan">
      <formula>0.85</formula>
    </cfRule>
  </conditionalFormatting>
  <conditionalFormatting sqref="N28">
    <cfRule type="cellIs" dxfId="1405" priority="607" operator="greaterThan">
      <formula>0.9</formula>
    </cfRule>
    <cfRule type="cellIs" dxfId="1404" priority="608" operator="greaterThan">
      <formula>0.85</formula>
    </cfRule>
  </conditionalFormatting>
  <conditionalFormatting sqref="N29">
    <cfRule type="cellIs" dxfId="1403" priority="589" operator="greaterThan">
      <formula>0.9</formula>
    </cfRule>
    <cfRule type="cellIs" dxfId="1402" priority="590" operator="greaterThan">
      <formula>0.85</formula>
    </cfRule>
  </conditionalFormatting>
  <conditionalFormatting sqref="N30">
    <cfRule type="cellIs" dxfId="1401" priority="571" operator="greaterThan">
      <formula>0.9</formula>
    </cfRule>
    <cfRule type="cellIs" dxfId="1400" priority="572" operator="greaterThan">
      <formula>0.85</formula>
    </cfRule>
  </conditionalFormatting>
  <conditionalFormatting sqref="N31">
    <cfRule type="cellIs" dxfId="1399" priority="553" operator="greaterThan">
      <formula>0.9</formula>
    </cfRule>
    <cfRule type="cellIs" dxfId="1398" priority="554" operator="greaterThan">
      <formula>0.85</formula>
    </cfRule>
  </conditionalFormatting>
  <conditionalFormatting sqref="N32">
    <cfRule type="cellIs" dxfId="1397" priority="535" operator="greaterThan">
      <formula>0.9</formula>
    </cfRule>
    <cfRule type="cellIs" dxfId="1396" priority="536" operator="greaterThan">
      <formula>0.85</formula>
    </cfRule>
  </conditionalFormatting>
  <conditionalFormatting sqref="N33">
    <cfRule type="cellIs" dxfId="1395" priority="517" operator="greaterThan">
      <formula>0.9</formula>
    </cfRule>
    <cfRule type="cellIs" dxfId="1394" priority="518" operator="greaterThan">
      <formula>0.85</formula>
    </cfRule>
  </conditionalFormatting>
  <conditionalFormatting sqref="N34">
    <cfRule type="cellIs" dxfId="1393" priority="499" operator="greaterThan">
      <formula>0.9</formula>
    </cfRule>
    <cfRule type="cellIs" dxfId="1392" priority="500" operator="greaterThan">
      <formula>0.85</formula>
    </cfRule>
  </conditionalFormatting>
  <conditionalFormatting sqref="N35">
    <cfRule type="cellIs" dxfId="1391" priority="481" operator="greaterThan">
      <formula>0.9</formula>
    </cfRule>
    <cfRule type="cellIs" dxfId="1390" priority="482" operator="greaterThan">
      <formula>0.85</formula>
    </cfRule>
  </conditionalFormatting>
  <conditionalFormatting sqref="N36">
    <cfRule type="cellIs" dxfId="1389" priority="463" operator="greaterThan">
      <formula>0.9</formula>
    </cfRule>
    <cfRule type="cellIs" dxfId="1388" priority="464" operator="greaterThan">
      <formula>0.85</formula>
    </cfRule>
  </conditionalFormatting>
  <conditionalFormatting sqref="N37">
    <cfRule type="cellIs" dxfId="1387" priority="445" operator="greaterThan">
      <formula>0.9</formula>
    </cfRule>
    <cfRule type="cellIs" dxfId="1386" priority="446" operator="greaterThan">
      <formula>0.85</formula>
    </cfRule>
  </conditionalFormatting>
  <conditionalFormatting sqref="N38">
    <cfRule type="cellIs" dxfId="1385" priority="427" operator="greaterThan">
      <formula>0.9</formula>
    </cfRule>
    <cfRule type="cellIs" dxfId="1384" priority="428" operator="greaterThan">
      <formula>0.85</formula>
    </cfRule>
  </conditionalFormatting>
  <conditionalFormatting sqref="N39">
    <cfRule type="cellIs" dxfId="1383" priority="409" operator="greaterThan">
      <formula>0.9</formula>
    </cfRule>
    <cfRule type="cellIs" dxfId="1382" priority="410" operator="greaterThan">
      <formula>0.85</formula>
    </cfRule>
  </conditionalFormatting>
  <conditionalFormatting sqref="N40">
    <cfRule type="cellIs" dxfId="1381" priority="391" operator="greaterThan">
      <formula>0.9</formula>
    </cfRule>
    <cfRule type="cellIs" dxfId="1380" priority="392" operator="greaterThan">
      <formula>0.85</formula>
    </cfRule>
  </conditionalFormatting>
  <conditionalFormatting sqref="N41">
    <cfRule type="cellIs" dxfId="1379" priority="373" operator="greaterThan">
      <formula>0.9</formula>
    </cfRule>
    <cfRule type="cellIs" dxfId="1378" priority="374" operator="greaterThan">
      <formula>0.85</formula>
    </cfRule>
  </conditionalFormatting>
  <conditionalFormatting sqref="N42">
    <cfRule type="cellIs" dxfId="1377" priority="355" operator="greaterThan">
      <formula>0.9</formula>
    </cfRule>
    <cfRule type="cellIs" dxfId="1376" priority="356" operator="greaterThan">
      <formula>0.85</formula>
    </cfRule>
  </conditionalFormatting>
  <conditionalFormatting sqref="N43">
    <cfRule type="cellIs" dxfId="1375" priority="337" operator="greaterThan">
      <formula>0.9</formula>
    </cfRule>
    <cfRule type="cellIs" dxfId="1374" priority="338" operator="greaterThan">
      <formula>0.85</formula>
    </cfRule>
  </conditionalFormatting>
  <conditionalFormatting sqref="N44">
    <cfRule type="cellIs" dxfId="1373" priority="319" operator="greaterThan">
      <formula>0.9</formula>
    </cfRule>
    <cfRule type="cellIs" dxfId="1372" priority="320" operator="greaterThan">
      <formula>0.85</formula>
    </cfRule>
  </conditionalFormatting>
  <conditionalFormatting sqref="N45">
    <cfRule type="cellIs" dxfId="1371" priority="301" operator="greaterThan">
      <formula>0.9</formula>
    </cfRule>
    <cfRule type="cellIs" dxfId="1370" priority="302" operator="greaterThan">
      <formula>0.85</formula>
    </cfRule>
  </conditionalFormatting>
  <conditionalFormatting sqref="N46">
    <cfRule type="cellIs" dxfId="1369" priority="283" operator="greaterThan">
      <formula>0.9</formula>
    </cfRule>
    <cfRule type="cellIs" dxfId="1368" priority="284" operator="greaterThan">
      <formula>0.85</formula>
    </cfRule>
  </conditionalFormatting>
  <conditionalFormatting sqref="N47">
    <cfRule type="cellIs" dxfId="1367" priority="265" operator="greaterThan">
      <formula>0.9</formula>
    </cfRule>
    <cfRule type="cellIs" dxfId="1366" priority="266" operator="greaterThan">
      <formula>0.85</formula>
    </cfRule>
  </conditionalFormatting>
  <conditionalFormatting sqref="N48">
    <cfRule type="cellIs" dxfId="1365" priority="247" operator="greaterThan">
      <formula>0.9</formula>
    </cfRule>
    <cfRule type="cellIs" dxfId="1364" priority="248" operator="greaterThan">
      <formula>0.85</formula>
    </cfRule>
  </conditionalFormatting>
  <conditionalFormatting sqref="N49">
    <cfRule type="cellIs" dxfId="1363" priority="229" operator="greaterThan">
      <formula>0.9</formula>
    </cfRule>
    <cfRule type="cellIs" dxfId="1362" priority="230" operator="greaterThan">
      <formula>0.85</formula>
    </cfRule>
  </conditionalFormatting>
  <conditionalFormatting sqref="N50">
    <cfRule type="cellIs" dxfId="1361" priority="211" operator="greaterThan">
      <formula>0.9</formula>
    </cfRule>
    <cfRule type="cellIs" dxfId="1360" priority="212" operator="greaterThan">
      <formula>0.85</formula>
    </cfRule>
  </conditionalFormatting>
  <conditionalFormatting sqref="N51">
    <cfRule type="cellIs" dxfId="1359" priority="193" operator="greaterThan">
      <formula>0.9</formula>
    </cfRule>
    <cfRule type="cellIs" dxfId="1358" priority="194" operator="greaterThan">
      <formula>0.85</formula>
    </cfRule>
  </conditionalFormatting>
  <conditionalFormatting sqref="N52">
    <cfRule type="cellIs" dxfId="1357" priority="175" operator="greaterThan">
      <formula>0.9</formula>
    </cfRule>
    <cfRule type="cellIs" dxfId="1356" priority="176" operator="greaterThan">
      <formula>0.85</formula>
    </cfRule>
  </conditionalFormatting>
  <conditionalFormatting sqref="N53">
    <cfRule type="cellIs" dxfId="1355" priority="157" operator="greaterThan">
      <formula>0.9</formula>
    </cfRule>
    <cfRule type="cellIs" dxfId="1354" priority="158" operator="greaterThan">
      <formula>0.85</formula>
    </cfRule>
  </conditionalFormatting>
  <conditionalFormatting sqref="N54">
    <cfRule type="cellIs" dxfId="1353" priority="139" operator="greaterThan">
      <formula>0.9</formula>
    </cfRule>
    <cfRule type="cellIs" dxfId="1352" priority="140" operator="greaterThan">
      <formula>0.85</formula>
    </cfRule>
  </conditionalFormatting>
  <conditionalFormatting sqref="N55">
    <cfRule type="cellIs" dxfId="1351" priority="121" operator="greaterThan">
      <formula>0.9</formula>
    </cfRule>
    <cfRule type="cellIs" dxfId="1350" priority="122" operator="greaterThan">
      <formula>0.85</formula>
    </cfRule>
  </conditionalFormatting>
  <conditionalFormatting sqref="N56">
    <cfRule type="cellIs" dxfId="1349" priority="103" operator="greaterThan">
      <formula>0.9</formula>
    </cfRule>
    <cfRule type="cellIs" dxfId="1348" priority="104" operator="greaterThan">
      <formula>0.85</formula>
    </cfRule>
  </conditionalFormatting>
  <conditionalFormatting sqref="N57">
    <cfRule type="cellIs" dxfId="1347" priority="85" operator="greaterThan">
      <formula>0.9</formula>
    </cfRule>
    <cfRule type="cellIs" dxfId="1346" priority="86" operator="greaterThan">
      <formula>0.85</formula>
    </cfRule>
  </conditionalFormatting>
  <conditionalFormatting sqref="N58">
    <cfRule type="cellIs" dxfId="1345" priority="67" operator="greaterThan">
      <formula>0.9</formula>
    </cfRule>
    <cfRule type="cellIs" dxfId="1344" priority="68" operator="greaterThan">
      <formula>0.85</formula>
    </cfRule>
  </conditionalFormatting>
  <conditionalFormatting sqref="N59">
    <cfRule type="cellIs" dxfId="1343" priority="49" operator="greaterThan">
      <formula>0.9</formula>
    </cfRule>
    <cfRule type="cellIs" dxfId="1342" priority="50" operator="greaterThan">
      <formula>0.85</formula>
    </cfRule>
  </conditionalFormatting>
  <conditionalFormatting sqref="N60">
    <cfRule type="cellIs" dxfId="1341" priority="31" operator="greaterThan">
      <formula>0.9</formula>
    </cfRule>
    <cfRule type="cellIs" dxfId="1340" priority="32" operator="greaterThan">
      <formula>0.85</formula>
    </cfRule>
  </conditionalFormatting>
  <conditionalFormatting sqref="N61">
    <cfRule type="cellIs" dxfId="1339" priority="13" operator="greaterThan">
      <formula>0.9</formula>
    </cfRule>
    <cfRule type="cellIs" dxfId="1338" priority="14" operator="greaterThan">
      <formula>0.85</formula>
    </cfRule>
  </conditionalFormatting>
  <conditionalFormatting sqref="E4:E61">
    <cfRule type="expression" dxfId="3" priority="71836">
      <formula>AND(IF(OR($Q4=1,$Q4=2),1,0),IF(#REF!&lt;=20,1,0))</formula>
    </cfRule>
    <cfRule type="expression" dxfId="2" priority="71837">
      <formula>AND(IF($Q4=2,1,0),IF(#REF!&lt;30,1,0))</formula>
    </cfRule>
    <cfRule type="expression" dxfId="1" priority="71838">
      <formula>AND(IF($Q4=3,1,0),IF(#REF!&lt;30,1,0))</formula>
    </cfRule>
    <cfRule type="expression" dxfId="0" priority="71839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>
      <selection activeCell="D20" sqref="D20"/>
    </sheetView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20" t="s">
        <v>69</v>
      </c>
      <c r="B4" s="121"/>
      <c r="C4" s="121"/>
      <c r="D4" s="51" t="s">
        <v>484</v>
      </c>
      <c r="E4" s="51" t="s">
        <v>485</v>
      </c>
      <c r="F4" s="51" t="s">
        <v>486</v>
      </c>
      <c r="G4" s="51" t="s">
        <v>487</v>
      </c>
      <c r="H4" s="51" t="s">
        <v>488</v>
      </c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20" t="s">
        <v>70</v>
      </c>
      <c r="B5" s="121"/>
      <c r="C5" s="121"/>
    </row>
    <row r="6" spans="1:48" x14ac:dyDescent="0.3">
      <c r="A6" s="120" t="s">
        <v>71</v>
      </c>
      <c r="B6" s="121"/>
      <c r="C6" s="121"/>
    </row>
    <row r="7" spans="1:48" x14ac:dyDescent="0.3">
      <c r="A7" s="53" t="s">
        <v>72</v>
      </c>
      <c r="B7" s="54"/>
      <c r="C7" s="55"/>
      <c r="D7" s="56" t="str">
        <f t="shared" ref="D7:W7" si="0">D4&amp;IF(D5="","",","&amp;D5)&amp;IF(D6="","",","&amp;D6)</f>
        <v>무실동</v>
      </c>
      <c r="E7" s="56" t="str">
        <f t="shared" si="0"/>
        <v>지정면</v>
      </c>
      <c r="F7" s="56" t="str">
        <f t="shared" si="0"/>
        <v>반곡동</v>
      </c>
      <c r="G7" s="56" t="str">
        <f t="shared" si="0"/>
        <v>단계동</v>
      </c>
      <c r="H7" s="56" t="str">
        <f t="shared" si="0"/>
        <v>단구동</v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9">
        <v>8</v>
      </c>
      <c r="B8" s="59" t="s">
        <v>73</v>
      </c>
      <c r="C8" s="9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91">
        <v>7</v>
      </c>
      <c r="B9" s="61" t="s">
        <v>73</v>
      </c>
      <c r="C9" s="92">
        <v>8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x14ac:dyDescent="0.3">
      <c r="A10" s="93">
        <v>6</v>
      </c>
      <c r="B10" s="57" t="s">
        <v>73</v>
      </c>
      <c r="C10" s="94">
        <v>7</v>
      </c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x14ac:dyDescent="0.3">
      <c r="A11" s="93">
        <v>5</v>
      </c>
      <c r="B11" s="57" t="s">
        <v>73</v>
      </c>
      <c r="C11" s="94">
        <v>6</v>
      </c>
      <c r="D11" s="58" t="s">
        <v>576</v>
      </c>
      <c r="E11" s="58" t="s">
        <v>578</v>
      </c>
      <c r="F11" s="58" t="s">
        <v>580</v>
      </c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96" x14ac:dyDescent="0.3">
      <c r="A12" s="93">
        <v>4</v>
      </c>
      <c r="B12" s="57" t="s">
        <v>73</v>
      </c>
      <c r="C12" s="94">
        <v>5</v>
      </c>
      <c r="D12" s="58" t="s">
        <v>582</v>
      </c>
      <c r="E12" s="58" t="s">
        <v>586</v>
      </c>
      <c r="F12" s="58" t="s">
        <v>588</v>
      </c>
      <c r="G12" s="58" t="s">
        <v>584</v>
      </c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120" x14ac:dyDescent="0.3">
      <c r="A13" s="95">
        <v>3</v>
      </c>
      <c r="B13" s="62" t="s">
        <v>73</v>
      </c>
      <c r="C13" s="96">
        <v>4</v>
      </c>
      <c r="D13" s="63" t="s">
        <v>595</v>
      </c>
      <c r="E13" s="63" t="s">
        <v>601</v>
      </c>
      <c r="F13" s="63" t="s">
        <v>599</v>
      </c>
      <c r="G13" s="63" t="s">
        <v>597</v>
      </c>
      <c r="H13" s="63" t="s">
        <v>591</v>
      </c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ht="168" x14ac:dyDescent="0.3">
      <c r="A14" s="95">
        <v>2.5</v>
      </c>
      <c r="B14" s="62" t="s">
        <v>73</v>
      </c>
      <c r="C14" s="96">
        <v>3</v>
      </c>
      <c r="D14" s="63"/>
      <c r="E14" s="63" t="s">
        <v>608</v>
      </c>
      <c r="F14" s="63" t="s">
        <v>603</v>
      </c>
      <c r="G14" s="63" t="s">
        <v>605</v>
      </c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x14ac:dyDescent="0.3">
      <c r="A15" s="95">
        <v>2</v>
      </c>
      <c r="B15" s="62" t="s">
        <v>73</v>
      </c>
      <c r="C15" s="96">
        <v>2.5</v>
      </c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x14ac:dyDescent="0.3">
      <c r="A16" s="97">
        <v>1.5</v>
      </c>
      <c r="B16" s="64" t="s">
        <v>73</v>
      </c>
      <c r="C16" s="98">
        <v>2</v>
      </c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x14ac:dyDescent="0.3">
      <c r="A17" s="97">
        <v>1</v>
      </c>
      <c r="B17" s="64" t="s">
        <v>73</v>
      </c>
      <c r="C17" s="98">
        <v>1.5</v>
      </c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60</v>
      </c>
      <c r="B20" s="54"/>
      <c r="C20" s="55"/>
      <c r="D20" s="56" t="str">
        <f t="shared" ref="D20:W20" si="1">D7</f>
        <v>무실동</v>
      </c>
      <c r="E20" s="56" t="str">
        <f t="shared" si="1"/>
        <v>지정면</v>
      </c>
      <c r="F20" s="56" t="str">
        <f t="shared" si="1"/>
        <v>반곡동</v>
      </c>
      <c r="G20" s="56" t="str">
        <f t="shared" si="1"/>
        <v>단계동</v>
      </c>
      <c r="H20" s="56" t="str">
        <f t="shared" si="1"/>
        <v>단구동</v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9">
        <f t="shared" ref="A21:C30" si="2">IF(A8="","",A8)</f>
        <v>8</v>
      </c>
      <c r="B21" s="59" t="str">
        <f t="shared" si="2"/>
        <v>~</v>
      </c>
      <c r="C21" s="90" t="str">
        <f t="shared" si="2"/>
        <v/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91">
        <f t="shared" si="2"/>
        <v>7</v>
      </c>
      <c r="B22" s="61" t="str">
        <f t="shared" si="2"/>
        <v>~</v>
      </c>
      <c r="C22" s="92">
        <f t="shared" si="2"/>
        <v>8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x14ac:dyDescent="0.3">
      <c r="A23" s="93">
        <f t="shared" si="2"/>
        <v>6</v>
      </c>
      <c r="B23" s="57" t="str">
        <f t="shared" si="2"/>
        <v>~</v>
      </c>
      <c r="C23" s="94">
        <f t="shared" si="2"/>
        <v>7</v>
      </c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x14ac:dyDescent="0.3">
      <c r="A24" s="93">
        <f t="shared" si="2"/>
        <v>5</v>
      </c>
      <c r="B24" s="57" t="str">
        <f t="shared" si="2"/>
        <v>~</v>
      </c>
      <c r="C24" s="94">
        <f t="shared" si="2"/>
        <v>6</v>
      </c>
      <c r="D24" s="58" t="s">
        <v>577</v>
      </c>
      <c r="E24" s="58" t="s">
        <v>579</v>
      </c>
      <c r="F24" s="58" t="s">
        <v>581</v>
      </c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84" x14ac:dyDescent="0.3">
      <c r="A25" s="93">
        <f t="shared" si="2"/>
        <v>4</v>
      </c>
      <c r="B25" s="57" t="str">
        <f t="shared" si="2"/>
        <v>~</v>
      </c>
      <c r="C25" s="94">
        <f t="shared" si="2"/>
        <v>5</v>
      </c>
      <c r="D25" s="58" t="s">
        <v>583</v>
      </c>
      <c r="E25" s="58" t="s">
        <v>587</v>
      </c>
      <c r="F25" s="58" t="s">
        <v>589</v>
      </c>
      <c r="G25" s="58" t="s">
        <v>585</v>
      </c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ht="84" x14ac:dyDescent="0.3">
      <c r="A26" s="95">
        <f t="shared" si="2"/>
        <v>3</v>
      </c>
      <c r="B26" s="62" t="str">
        <f t="shared" si="2"/>
        <v>~</v>
      </c>
      <c r="C26" s="96">
        <f t="shared" si="2"/>
        <v>4</v>
      </c>
      <c r="D26" s="63"/>
      <c r="E26" s="63" t="s">
        <v>590</v>
      </c>
      <c r="F26" s="63" t="s">
        <v>600</v>
      </c>
      <c r="G26" s="63" t="s">
        <v>593</v>
      </c>
      <c r="H26" s="63" t="s">
        <v>592</v>
      </c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95">
        <f t="shared" si="2"/>
        <v>2.5</v>
      </c>
      <c r="B27" s="62" t="str">
        <f t="shared" si="2"/>
        <v>~</v>
      </c>
      <c r="C27" s="96">
        <f t="shared" si="2"/>
        <v>3</v>
      </c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95">
        <f t="shared" si="2"/>
        <v>2</v>
      </c>
      <c r="B28" s="62" t="str">
        <f t="shared" si="2"/>
        <v>~</v>
      </c>
      <c r="C28" s="96">
        <f t="shared" si="2"/>
        <v>2.5</v>
      </c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7">
        <f t="shared" si="2"/>
        <v>1.5</v>
      </c>
      <c r="B29" s="64" t="str">
        <f t="shared" si="2"/>
        <v>~</v>
      </c>
      <c r="C29" s="98">
        <f t="shared" si="2"/>
        <v>2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7">
        <f t="shared" si="2"/>
        <v>1</v>
      </c>
      <c r="B30" s="64" t="str">
        <f t="shared" si="2"/>
        <v>~</v>
      </c>
      <c r="C30" s="98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74</v>
      </c>
      <c r="B33" s="54"/>
      <c r="C33" s="55"/>
      <c r="D33" s="56" t="str">
        <f t="shared" ref="D33:W33" si="3">D20</f>
        <v>무실동</v>
      </c>
      <c r="E33" s="56" t="str">
        <f t="shared" si="3"/>
        <v>지정면</v>
      </c>
      <c r="F33" s="56" t="str">
        <f t="shared" si="3"/>
        <v>반곡동</v>
      </c>
      <c r="G33" s="56" t="str">
        <f t="shared" si="3"/>
        <v>단계동</v>
      </c>
      <c r="H33" s="56" t="str">
        <f t="shared" si="3"/>
        <v>단구동</v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9">
        <f t="shared" ref="A34:C43" si="4">IF(A21="","",A21)</f>
        <v>8</v>
      </c>
      <c r="B34" s="59" t="str">
        <f t="shared" si="4"/>
        <v>~</v>
      </c>
      <c r="C34" s="90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91">
        <f t="shared" si="4"/>
        <v>7</v>
      </c>
      <c r="B35" s="61" t="str">
        <f t="shared" si="4"/>
        <v>~</v>
      </c>
      <c r="C35" s="92">
        <f t="shared" si="4"/>
        <v>8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93">
        <f t="shared" si="4"/>
        <v>6</v>
      </c>
      <c r="B36" s="57" t="str">
        <f t="shared" si="4"/>
        <v>~</v>
      </c>
      <c r="C36" s="94">
        <f t="shared" si="4"/>
        <v>7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93">
        <f t="shared" si="4"/>
        <v>5</v>
      </c>
      <c r="B37" s="57" t="str">
        <f t="shared" si="4"/>
        <v>~</v>
      </c>
      <c r="C37" s="94">
        <f t="shared" si="4"/>
        <v>6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x14ac:dyDescent="0.3">
      <c r="A38" s="93">
        <f t="shared" si="4"/>
        <v>4</v>
      </c>
      <c r="B38" s="57" t="str">
        <f t="shared" si="4"/>
        <v>~</v>
      </c>
      <c r="C38" s="94">
        <f t="shared" si="4"/>
        <v>5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ht="24" x14ac:dyDescent="0.3">
      <c r="A39" s="95">
        <f t="shared" si="4"/>
        <v>3</v>
      </c>
      <c r="B39" s="62" t="str">
        <f t="shared" si="4"/>
        <v>~</v>
      </c>
      <c r="C39" s="96">
        <f t="shared" si="4"/>
        <v>4</v>
      </c>
      <c r="D39" s="63" t="s">
        <v>596</v>
      </c>
      <c r="E39" s="63" t="s">
        <v>594</v>
      </c>
      <c r="F39" s="63"/>
      <c r="G39" s="63" t="s">
        <v>598</v>
      </c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ht="96" x14ac:dyDescent="0.3">
      <c r="A40" s="95">
        <f t="shared" si="4"/>
        <v>2.5</v>
      </c>
      <c r="B40" s="62" t="str">
        <f t="shared" si="4"/>
        <v>~</v>
      </c>
      <c r="C40" s="96">
        <f t="shared" si="4"/>
        <v>3</v>
      </c>
      <c r="D40" s="63"/>
      <c r="E40" s="63" t="s">
        <v>607</v>
      </c>
      <c r="F40" s="63" t="s">
        <v>604</v>
      </c>
      <c r="G40" s="63" t="s">
        <v>606</v>
      </c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95">
        <f t="shared" si="4"/>
        <v>2</v>
      </c>
      <c r="B41" s="62" t="str">
        <f t="shared" si="4"/>
        <v>~</v>
      </c>
      <c r="C41" s="96">
        <f t="shared" si="4"/>
        <v>2.5</v>
      </c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x14ac:dyDescent="0.3">
      <c r="A42" s="97">
        <f t="shared" si="4"/>
        <v>1.5</v>
      </c>
      <c r="B42" s="64" t="str">
        <f t="shared" si="4"/>
        <v>~</v>
      </c>
      <c r="C42" s="98">
        <f t="shared" si="4"/>
        <v>2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7">
        <f t="shared" si="4"/>
        <v>1</v>
      </c>
      <c r="B43" s="64" t="str">
        <f t="shared" si="4"/>
        <v>~</v>
      </c>
      <c r="C43" s="98">
        <f t="shared" si="4"/>
        <v>1.5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75</v>
      </c>
      <c r="B46" s="54"/>
      <c r="C46" s="55"/>
      <c r="D46" s="56" t="str">
        <f t="shared" ref="D46:W46" si="5">D33</f>
        <v>무실동</v>
      </c>
      <c r="E46" s="56" t="str">
        <f t="shared" si="5"/>
        <v>지정면</v>
      </c>
      <c r="F46" s="56" t="str">
        <f t="shared" si="5"/>
        <v>반곡동</v>
      </c>
      <c r="G46" s="56" t="str">
        <f t="shared" si="5"/>
        <v>단계동</v>
      </c>
      <c r="H46" s="56" t="str">
        <f t="shared" si="5"/>
        <v>단구동</v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9">
        <f t="shared" ref="A47:C56" si="6">IF(A34="","",A34)</f>
        <v>8</v>
      </c>
      <c r="B47" s="59" t="str">
        <f t="shared" si="6"/>
        <v>~</v>
      </c>
      <c r="C47" s="90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91">
        <f t="shared" si="6"/>
        <v>7</v>
      </c>
      <c r="B48" s="61" t="str">
        <f t="shared" si="6"/>
        <v>~</v>
      </c>
      <c r="C48" s="92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93">
        <f t="shared" si="6"/>
        <v>6</v>
      </c>
      <c r="B49" s="57" t="str">
        <f t="shared" si="6"/>
        <v>~</v>
      </c>
      <c r="C49" s="94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93">
        <f t="shared" si="6"/>
        <v>5</v>
      </c>
      <c r="B50" s="57" t="str">
        <f t="shared" si="6"/>
        <v>~</v>
      </c>
      <c r="C50" s="94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93">
        <f t="shared" si="6"/>
        <v>4</v>
      </c>
      <c r="B51" s="57" t="str">
        <f t="shared" si="6"/>
        <v>~</v>
      </c>
      <c r="C51" s="94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95">
        <f t="shared" si="6"/>
        <v>3</v>
      </c>
      <c r="B52" s="62" t="str">
        <f t="shared" si="6"/>
        <v>~</v>
      </c>
      <c r="C52" s="96">
        <f t="shared" si="6"/>
        <v>4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95">
        <f t="shared" si="6"/>
        <v>2.5</v>
      </c>
      <c r="B53" s="62" t="str">
        <f t="shared" si="6"/>
        <v>~</v>
      </c>
      <c r="C53" s="96">
        <f t="shared" si="6"/>
        <v>3</v>
      </c>
      <c r="D53" s="63"/>
      <c r="E53" s="63" t="s">
        <v>609</v>
      </c>
      <c r="F53" s="63"/>
      <c r="G53" s="63" t="s">
        <v>602</v>
      </c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95">
        <f t="shared" si="6"/>
        <v>2</v>
      </c>
      <c r="B54" s="62" t="str">
        <f t="shared" si="6"/>
        <v>~</v>
      </c>
      <c r="C54" s="96">
        <f t="shared" si="6"/>
        <v>2.5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7">
        <f t="shared" si="6"/>
        <v>1.5</v>
      </c>
      <c r="B55" s="64" t="str">
        <f t="shared" si="6"/>
        <v>~</v>
      </c>
      <c r="C55" s="98">
        <f t="shared" si="6"/>
        <v>2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7">
        <f t="shared" si="6"/>
        <v>1</v>
      </c>
      <c r="B56" s="64" t="str">
        <f t="shared" si="6"/>
        <v>~</v>
      </c>
      <c r="C56" s="98">
        <f t="shared" si="6"/>
        <v>1.5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67</v>
      </c>
      <c r="B59" s="54"/>
      <c r="C59" s="55"/>
      <c r="D59" s="56" t="str">
        <f t="shared" ref="D59:W59" si="7">D46</f>
        <v>무실동</v>
      </c>
      <c r="E59" s="56" t="str">
        <f t="shared" si="7"/>
        <v>지정면</v>
      </c>
      <c r="F59" s="56" t="str">
        <f t="shared" si="7"/>
        <v>반곡동</v>
      </c>
      <c r="G59" s="56" t="str">
        <f t="shared" si="7"/>
        <v>단계동</v>
      </c>
      <c r="H59" s="56" t="str">
        <f t="shared" si="7"/>
        <v>단구동</v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9">
        <f t="shared" ref="A60:C69" si="8">IF(A47="","",A47)</f>
        <v>8</v>
      </c>
      <c r="B60" s="59" t="str">
        <f t="shared" si="8"/>
        <v>~</v>
      </c>
      <c r="C60" s="90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91">
        <f t="shared" si="8"/>
        <v>7</v>
      </c>
      <c r="B61" s="61" t="str">
        <f t="shared" si="8"/>
        <v>~</v>
      </c>
      <c r="C61" s="92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93">
        <f t="shared" si="8"/>
        <v>6</v>
      </c>
      <c r="B62" s="57" t="str">
        <f t="shared" si="8"/>
        <v>~</v>
      </c>
      <c r="C62" s="94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93">
        <f t="shared" si="8"/>
        <v>5</v>
      </c>
      <c r="B63" s="57" t="str">
        <f t="shared" si="8"/>
        <v>~</v>
      </c>
      <c r="C63" s="94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93">
        <f t="shared" si="8"/>
        <v>4</v>
      </c>
      <c r="B64" s="57" t="str">
        <f t="shared" si="8"/>
        <v>~</v>
      </c>
      <c r="C64" s="94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95">
        <f t="shared" si="8"/>
        <v>3</v>
      </c>
      <c r="B65" s="62" t="str">
        <f t="shared" si="8"/>
        <v>~</v>
      </c>
      <c r="C65" s="96">
        <f t="shared" si="8"/>
        <v>4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95">
        <f t="shared" si="8"/>
        <v>2.5</v>
      </c>
      <c r="B66" s="62" t="str">
        <f t="shared" si="8"/>
        <v>~</v>
      </c>
      <c r="C66" s="96">
        <f t="shared" si="8"/>
        <v>3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95">
        <f t="shared" si="8"/>
        <v>2</v>
      </c>
      <c r="B67" s="62" t="str">
        <f t="shared" si="8"/>
        <v>~</v>
      </c>
      <c r="C67" s="96">
        <f t="shared" si="8"/>
        <v>2.5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7">
        <f t="shared" si="8"/>
        <v>1.5</v>
      </c>
      <c r="B68" s="64" t="str">
        <f t="shared" si="8"/>
        <v>~</v>
      </c>
      <c r="C68" s="98">
        <f t="shared" si="8"/>
        <v>2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7">
        <f t="shared" si="8"/>
        <v>1</v>
      </c>
      <c r="B69" s="64" t="str">
        <f t="shared" si="8"/>
        <v>~</v>
      </c>
      <c r="C69" s="98">
        <f t="shared" si="8"/>
        <v>1.5</v>
      </c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3" t="s">
        <v>76</v>
      </c>
      <c r="B1" s="74"/>
    </row>
    <row r="2" spans="1:2" x14ac:dyDescent="0.3">
      <c r="A2" t="s">
        <v>77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61"/>
  <sheetViews>
    <sheetView topLeftCell="A31" zoomScaleNormal="100" workbookViewId="0">
      <selection activeCell="O7" sqref="O7"/>
    </sheetView>
  </sheetViews>
  <sheetFormatPr defaultRowHeight="16.5" x14ac:dyDescent="0.3"/>
  <sheetData>
    <row r="1" spans="1:38" x14ac:dyDescent="0.3">
      <c r="A1" t="s">
        <v>78</v>
      </c>
      <c r="B1">
        <v>114285</v>
      </c>
      <c r="C1">
        <v>3</v>
      </c>
      <c r="D1" t="s">
        <v>79</v>
      </c>
      <c r="E1" t="s">
        <v>80</v>
      </c>
      <c r="F1">
        <v>359</v>
      </c>
      <c r="G1">
        <v>33.28</v>
      </c>
      <c r="H1">
        <v>110.03</v>
      </c>
      <c r="I1">
        <v>24.19</v>
      </c>
      <c r="J1">
        <v>79.97</v>
      </c>
      <c r="K1">
        <v>157</v>
      </c>
      <c r="L1">
        <v>33000</v>
      </c>
      <c r="M1">
        <v>13</v>
      </c>
      <c r="N1">
        <v>27000</v>
      </c>
      <c r="O1" t="s">
        <v>81</v>
      </c>
      <c r="T1">
        <v>2</v>
      </c>
      <c r="U1">
        <v>1</v>
      </c>
      <c r="V1" t="s">
        <v>82</v>
      </c>
      <c r="W1" t="s">
        <v>83</v>
      </c>
      <c r="X1">
        <v>10</v>
      </c>
      <c r="Y1">
        <v>10</v>
      </c>
      <c r="Z1" t="s">
        <v>84</v>
      </c>
      <c r="AA1" t="s">
        <v>85</v>
      </c>
      <c r="AB1" t="s">
        <v>86</v>
      </c>
      <c r="AC1" t="s">
        <v>87</v>
      </c>
      <c r="AD1" t="s">
        <v>88</v>
      </c>
      <c r="AG1" t="s">
        <v>89</v>
      </c>
      <c r="AH1">
        <v>0</v>
      </c>
      <c r="AI1">
        <v>546</v>
      </c>
      <c r="AJ1">
        <v>69</v>
      </c>
      <c r="AK1">
        <v>24</v>
      </c>
      <c r="AL1">
        <v>1</v>
      </c>
    </row>
    <row r="2" spans="1:38" x14ac:dyDescent="0.3">
      <c r="A2" t="s">
        <v>78</v>
      </c>
      <c r="B2">
        <v>114285</v>
      </c>
      <c r="C2">
        <v>1</v>
      </c>
      <c r="D2" t="s">
        <v>79</v>
      </c>
      <c r="E2" t="s">
        <v>80</v>
      </c>
      <c r="F2">
        <v>359</v>
      </c>
      <c r="G2">
        <v>24.93</v>
      </c>
      <c r="H2">
        <v>82.42</v>
      </c>
      <c r="I2">
        <v>18.14</v>
      </c>
      <c r="J2">
        <v>59.97</v>
      </c>
      <c r="K2">
        <v>126</v>
      </c>
      <c r="L2">
        <v>28000</v>
      </c>
      <c r="M2">
        <v>8</v>
      </c>
      <c r="N2">
        <v>23500</v>
      </c>
      <c r="O2">
        <v>19</v>
      </c>
      <c r="T2">
        <v>2</v>
      </c>
      <c r="U2">
        <v>1</v>
      </c>
      <c r="V2" t="s">
        <v>82</v>
      </c>
      <c r="W2" t="s">
        <v>90</v>
      </c>
      <c r="X2">
        <v>10</v>
      </c>
      <c r="Y2">
        <v>10</v>
      </c>
      <c r="Z2" t="s">
        <v>84</v>
      </c>
      <c r="AA2" t="s">
        <v>85</v>
      </c>
      <c r="AB2" t="s">
        <v>86</v>
      </c>
      <c r="AC2" t="s">
        <v>87</v>
      </c>
      <c r="AD2" t="s">
        <v>88</v>
      </c>
      <c r="AG2" t="s">
        <v>89</v>
      </c>
      <c r="AH2">
        <v>0</v>
      </c>
      <c r="AI2">
        <v>546</v>
      </c>
      <c r="AJ2">
        <v>69</v>
      </c>
      <c r="AK2">
        <v>24</v>
      </c>
      <c r="AL2">
        <v>1</v>
      </c>
    </row>
    <row r="3" spans="1:38" x14ac:dyDescent="0.3">
      <c r="A3" t="s">
        <v>91</v>
      </c>
      <c r="B3">
        <v>115931</v>
      </c>
      <c r="C3">
        <v>7</v>
      </c>
      <c r="D3" t="s">
        <v>92</v>
      </c>
      <c r="E3" t="s">
        <v>93</v>
      </c>
      <c r="F3">
        <v>920</v>
      </c>
      <c r="G3">
        <v>35.35</v>
      </c>
      <c r="H3">
        <v>116.86</v>
      </c>
      <c r="I3">
        <v>25.69</v>
      </c>
      <c r="J3">
        <v>84.94</v>
      </c>
      <c r="K3">
        <v>62</v>
      </c>
      <c r="L3">
        <v>32000</v>
      </c>
      <c r="M3" t="s">
        <v>94</v>
      </c>
      <c r="N3">
        <v>28000</v>
      </c>
      <c r="O3">
        <v>20</v>
      </c>
      <c r="T3">
        <v>3</v>
      </c>
      <c r="U3">
        <v>2</v>
      </c>
      <c r="V3" t="s">
        <v>82</v>
      </c>
      <c r="W3" t="s">
        <v>95</v>
      </c>
      <c r="X3">
        <v>29</v>
      </c>
      <c r="Y3">
        <v>18</v>
      </c>
      <c r="Z3" t="s">
        <v>96</v>
      </c>
      <c r="AA3" t="s">
        <v>97</v>
      </c>
      <c r="AB3" t="s">
        <v>86</v>
      </c>
      <c r="AC3" t="s">
        <v>87</v>
      </c>
      <c r="AD3" t="s">
        <v>88</v>
      </c>
      <c r="AG3" t="s">
        <v>98</v>
      </c>
      <c r="AH3">
        <v>0</v>
      </c>
      <c r="AI3">
        <v>0</v>
      </c>
      <c r="AJ3">
        <v>0</v>
      </c>
      <c r="AK3">
        <v>614</v>
      </c>
      <c r="AL3">
        <v>1.23</v>
      </c>
    </row>
    <row r="4" spans="1:38" x14ac:dyDescent="0.3">
      <c r="A4" t="s">
        <v>91</v>
      </c>
      <c r="B4">
        <v>113434</v>
      </c>
      <c r="C4">
        <v>4</v>
      </c>
      <c r="D4" t="s">
        <v>99</v>
      </c>
      <c r="E4" t="s">
        <v>100</v>
      </c>
      <c r="F4">
        <v>703</v>
      </c>
      <c r="G4">
        <v>31.31</v>
      </c>
      <c r="H4">
        <v>103.51</v>
      </c>
      <c r="I4">
        <v>22.68</v>
      </c>
      <c r="J4">
        <v>74.989999999999995</v>
      </c>
      <c r="K4">
        <v>308</v>
      </c>
      <c r="L4">
        <v>30000</v>
      </c>
      <c r="M4" t="s">
        <v>101</v>
      </c>
      <c r="N4">
        <v>24000</v>
      </c>
      <c r="O4" t="s">
        <v>81</v>
      </c>
      <c r="T4">
        <v>3</v>
      </c>
      <c r="U4">
        <v>2</v>
      </c>
      <c r="V4" t="s">
        <v>82</v>
      </c>
      <c r="W4" t="s">
        <v>102</v>
      </c>
      <c r="X4">
        <v>20</v>
      </c>
      <c r="Y4">
        <v>13</v>
      </c>
      <c r="Z4" t="s">
        <v>103</v>
      </c>
      <c r="AA4" t="s">
        <v>104</v>
      </c>
      <c r="AB4" t="s">
        <v>86</v>
      </c>
      <c r="AC4" t="s">
        <v>87</v>
      </c>
      <c r="AD4" t="s">
        <v>88</v>
      </c>
      <c r="AG4" t="s">
        <v>105</v>
      </c>
      <c r="AH4">
        <v>0</v>
      </c>
      <c r="AI4">
        <v>220</v>
      </c>
      <c r="AJ4">
        <v>17</v>
      </c>
      <c r="AK4">
        <v>968</v>
      </c>
      <c r="AL4">
        <v>1.4</v>
      </c>
    </row>
    <row r="5" spans="1:38" x14ac:dyDescent="0.3">
      <c r="A5" t="s">
        <v>91</v>
      </c>
      <c r="B5">
        <v>113434</v>
      </c>
      <c r="C5">
        <v>1</v>
      </c>
      <c r="D5" t="s">
        <v>99</v>
      </c>
      <c r="E5" t="s">
        <v>100</v>
      </c>
      <c r="F5">
        <v>703</v>
      </c>
      <c r="G5">
        <v>25.35</v>
      </c>
      <c r="H5">
        <v>83.81</v>
      </c>
      <c r="I5">
        <v>18.14</v>
      </c>
      <c r="J5">
        <v>59.99</v>
      </c>
      <c r="K5">
        <v>227</v>
      </c>
      <c r="L5">
        <v>25000</v>
      </c>
      <c r="M5" t="s">
        <v>94</v>
      </c>
      <c r="N5">
        <v>20000</v>
      </c>
      <c r="O5" t="s">
        <v>94</v>
      </c>
      <c r="T5">
        <v>3</v>
      </c>
      <c r="U5">
        <v>1</v>
      </c>
      <c r="V5" t="s">
        <v>82</v>
      </c>
      <c r="W5" t="s">
        <v>106</v>
      </c>
      <c r="X5">
        <v>5</v>
      </c>
      <c r="Y5">
        <v>5</v>
      </c>
      <c r="Z5" t="s">
        <v>107</v>
      </c>
      <c r="AA5" t="s">
        <v>108</v>
      </c>
      <c r="AB5" t="s">
        <v>86</v>
      </c>
      <c r="AC5" t="s">
        <v>87</v>
      </c>
      <c r="AD5" t="s">
        <v>88</v>
      </c>
      <c r="AG5" t="s">
        <v>109</v>
      </c>
      <c r="AH5">
        <v>0</v>
      </c>
      <c r="AI5">
        <v>0</v>
      </c>
      <c r="AJ5">
        <v>0</v>
      </c>
      <c r="AK5">
        <v>400</v>
      </c>
      <c r="AL5">
        <v>0.49</v>
      </c>
    </row>
    <row r="6" spans="1:38" x14ac:dyDescent="0.3">
      <c r="A6" t="s">
        <v>91</v>
      </c>
      <c r="B6">
        <v>115931</v>
      </c>
      <c r="C6">
        <v>1</v>
      </c>
      <c r="D6" t="s">
        <v>92</v>
      </c>
      <c r="E6" t="s">
        <v>93</v>
      </c>
      <c r="F6">
        <v>920</v>
      </c>
      <c r="G6">
        <v>24.93</v>
      </c>
      <c r="H6">
        <v>82.43</v>
      </c>
      <c r="I6">
        <v>18.13</v>
      </c>
      <c r="J6">
        <v>59.96</v>
      </c>
      <c r="K6">
        <v>372</v>
      </c>
      <c r="L6">
        <v>21000</v>
      </c>
      <c r="M6" t="s">
        <v>94</v>
      </c>
      <c r="N6">
        <v>19000</v>
      </c>
      <c r="O6">
        <v>15</v>
      </c>
      <c r="T6">
        <v>5</v>
      </c>
      <c r="U6">
        <v>3</v>
      </c>
      <c r="V6" t="s">
        <v>82</v>
      </c>
      <c r="W6" t="s">
        <v>110</v>
      </c>
      <c r="X6">
        <v>29</v>
      </c>
      <c r="Y6">
        <v>19</v>
      </c>
      <c r="Z6" t="s">
        <v>111</v>
      </c>
      <c r="AA6" t="s">
        <v>112</v>
      </c>
      <c r="AB6" t="s">
        <v>86</v>
      </c>
      <c r="AC6" t="s">
        <v>87</v>
      </c>
      <c r="AD6" t="s">
        <v>88</v>
      </c>
      <c r="AG6" t="s">
        <v>113</v>
      </c>
      <c r="AH6">
        <v>0</v>
      </c>
      <c r="AI6">
        <v>278</v>
      </c>
      <c r="AJ6">
        <v>16</v>
      </c>
      <c r="AK6">
        <v>1109</v>
      </c>
      <c r="AL6">
        <v>1.32</v>
      </c>
    </row>
    <row r="7" spans="1:38" x14ac:dyDescent="0.3">
      <c r="A7" t="s">
        <v>114</v>
      </c>
      <c r="B7">
        <v>117765</v>
      </c>
      <c r="C7">
        <v>3</v>
      </c>
      <c r="D7" t="s">
        <v>115</v>
      </c>
      <c r="E7" t="s">
        <v>116</v>
      </c>
      <c r="F7">
        <v>536</v>
      </c>
      <c r="G7">
        <v>33.56</v>
      </c>
      <c r="H7">
        <v>110.96</v>
      </c>
      <c r="I7">
        <v>25.7</v>
      </c>
      <c r="J7">
        <v>84.96</v>
      </c>
      <c r="K7">
        <v>243</v>
      </c>
      <c r="L7">
        <v>50000</v>
      </c>
      <c r="M7">
        <v>10</v>
      </c>
      <c r="N7">
        <v>32000</v>
      </c>
      <c r="O7" t="s">
        <v>101</v>
      </c>
      <c r="T7">
        <v>3</v>
      </c>
      <c r="U7">
        <v>2</v>
      </c>
      <c r="V7" t="s">
        <v>82</v>
      </c>
      <c r="W7">
        <v>113</v>
      </c>
      <c r="X7">
        <v>15</v>
      </c>
      <c r="Y7">
        <v>12</v>
      </c>
      <c r="Z7" t="s">
        <v>117</v>
      </c>
      <c r="AA7" t="s">
        <v>118</v>
      </c>
      <c r="AB7" t="s">
        <v>86</v>
      </c>
      <c r="AC7" t="s">
        <v>87</v>
      </c>
      <c r="AD7" t="s">
        <v>119</v>
      </c>
      <c r="AG7" t="s">
        <v>120</v>
      </c>
      <c r="AH7">
        <v>0</v>
      </c>
      <c r="AI7">
        <v>219</v>
      </c>
      <c r="AJ7">
        <v>22</v>
      </c>
      <c r="AK7">
        <v>436</v>
      </c>
      <c r="AL7">
        <v>1.21</v>
      </c>
    </row>
    <row r="8" spans="1:38" x14ac:dyDescent="0.3">
      <c r="A8" t="s">
        <v>114</v>
      </c>
      <c r="B8">
        <v>117764</v>
      </c>
      <c r="C8">
        <v>3</v>
      </c>
      <c r="D8" t="s">
        <v>121</v>
      </c>
      <c r="E8" t="s">
        <v>116</v>
      </c>
      <c r="F8">
        <v>624</v>
      </c>
      <c r="G8">
        <v>33.369999999999997</v>
      </c>
      <c r="H8">
        <v>110.33</v>
      </c>
      <c r="I8">
        <v>25.7</v>
      </c>
      <c r="J8">
        <v>84.96</v>
      </c>
      <c r="K8">
        <v>266</v>
      </c>
      <c r="L8">
        <v>49000</v>
      </c>
      <c r="M8">
        <v>5</v>
      </c>
      <c r="N8">
        <v>30000</v>
      </c>
      <c r="O8">
        <v>2</v>
      </c>
      <c r="T8">
        <v>3</v>
      </c>
      <c r="U8">
        <v>2</v>
      </c>
      <c r="V8" t="s">
        <v>82</v>
      </c>
      <c r="W8" t="s">
        <v>122</v>
      </c>
      <c r="X8">
        <v>15</v>
      </c>
      <c r="Y8">
        <v>9</v>
      </c>
      <c r="Z8" t="s">
        <v>123</v>
      </c>
      <c r="AA8" t="s">
        <v>124</v>
      </c>
      <c r="AB8" t="s">
        <v>86</v>
      </c>
      <c r="AC8" t="s">
        <v>87</v>
      </c>
      <c r="AD8" t="s">
        <v>88</v>
      </c>
      <c r="AG8" t="s">
        <v>125</v>
      </c>
      <c r="AH8">
        <v>13</v>
      </c>
      <c r="AI8">
        <v>192</v>
      </c>
      <c r="AJ8">
        <v>16</v>
      </c>
      <c r="AK8">
        <v>363</v>
      </c>
      <c r="AL8">
        <v>1.22</v>
      </c>
    </row>
    <row r="9" spans="1:38" x14ac:dyDescent="0.3">
      <c r="A9" t="s">
        <v>114</v>
      </c>
      <c r="B9">
        <v>120519</v>
      </c>
      <c r="C9">
        <v>3</v>
      </c>
      <c r="D9" t="s">
        <v>126</v>
      </c>
      <c r="E9" t="s">
        <v>127</v>
      </c>
      <c r="F9">
        <v>776</v>
      </c>
      <c r="G9">
        <v>34.700000000000003</v>
      </c>
      <c r="H9">
        <v>114.73</v>
      </c>
      <c r="I9">
        <v>25.7</v>
      </c>
      <c r="J9">
        <v>84.97</v>
      </c>
      <c r="K9">
        <v>428</v>
      </c>
      <c r="L9">
        <v>45000</v>
      </c>
      <c r="M9" t="s">
        <v>101</v>
      </c>
      <c r="N9">
        <v>26000</v>
      </c>
      <c r="O9" t="s">
        <v>81</v>
      </c>
      <c r="T9">
        <v>3</v>
      </c>
      <c r="U9">
        <v>2</v>
      </c>
      <c r="V9" t="s">
        <v>82</v>
      </c>
      <c r="W9" t="s">
        <v>128</v>
      </c>
      <c r="X9">
        <v>18</v>
      </c>
      <c r="Y9">
        <v>5</v>
      </c>
      <c r="Z9" t="s">
        <v>129</v>
      </c>
      <c r="AA9" t="s">
        <v>130</v>
      </c>
      <c r="AB9" t="s">
        <v>86</v>
      </c>
      <c r="AC9" t="s">
        <v>87</v>
      </c>
      <c r="AD9" t="s">
        <v>131</v>
      </c>
      <c r="AG9" t="s">
        <v>132</v>
      </c>
      <c r="AH9">
        <v>0</v>
      </c>
      <c r="AI9">
        <v>302</v>
      </c>
      <c r="AJ9">
        <v>28</v>
      </c>
      <c r="AK9">
        <v>274</v>
      </c>
      <c r="AL9">
        <v>0.67</v>
      </c>
    </row>
    <row r="10" spans="1:38" x14ac:dyDescent="0.3">
      <c r="A10" t="s">
        <v>114</v>
      </c>
      <c r="B10">
        <v>111850</v>
      </c>
      <c r="C10">
        <v>3</v>
      </c>
      <c r="D10" t="s">
        <v>133</v>
      </c>
      <c r="E10" t="s">
        <v>134</v>
      </c>
      <c r="F10">
        <v>1116</v>
      </c>
      <c r="G10">
        <v>34.299999999999997</v>
      </c>
      <c r="H10">
        <v>113.41</v>
      </c>
      <c r="I10">
        <v>25.7</v>
      </c>
      <c r="J10">
        <v>84.96</v>
      </c>
      <c r="K10">
        <v>472</v>
      </c>
      <c r="L10">
        <v>45000</v>
      </c>
      <c r="M10" t="s">
        <v>94</v>
      </c>
      <c r="N10">
        <v>30000</v>
      </c>
      <c r="O10">
        <v>4</v>
      </c>
      <c r="T10">
        <v>1</v>
      </c>
      <c r="U10">
        <v>1</v>
      </c>
      <c r="V10" t="s">
        <v>82</v>
      </c>
      <c r="W10" t="s">
        <v>135</v>
      </c>
      <c r="X10">
        <v>7</v>
      </c>
      <c r="Y10">
        <v>7</v>
      </c>
      <c r="Z10" t="s">
        <v>136</v>
      </c>
      <c r="AA10" t="s">
        <v>137</v>
      </c>
      <c r="AB10" t="s">
        <v>86</v>
      </c>
      <c r="AC10" t="s">
        <v>87</v>
      </c>
      <c r="AD10" t="s">
        <v>88</v>
      </c>
      <c r="AG10" t="s">
        <v>138</v>
      </c>
      <c r="AH10">
        <v>0</v>
      </c>
      <c r="AI10">
        <v>388</v>
      </c>
      <c r="AJ10">
        <v>63</v>
      </c>
      <c r="AK10">
        <v>11</v>
      </c>
      <c r="AL10">
        <v>0.34</v>
      </c>
    </row>
    <row r="11" spans="1:38" x14ac:dyDescent="0.3">
      <c r="A11" t="s">
        <v>114</v>
      </c>
      <c r="B11">
        <v>118527</v>
      </c>
      <c r="C11">
        <v>3</v>
      </c>
      <c r="D11" t="s">
        <v>139</v>
      </c>
      <c r="E11" t="s">
        <v>140</v>
      </c>
      <c r="F11">
        <v>794</v>
      </c>
      <c r="G11">
        <v>33.840000000000003</v>
      </c>
      <c r="H11">
        <v>111.87</v>
      </c>
      <c r="I11">
        <v>25.7</v>
      </c>
      <c r="J11">
        <v>84.98</v>
      </c>
      <c r="K11">
        <v>263</v>
      </c>
      <c r="L11">
        <v>41000</v>
      </c>
      <c r="M11" t="s">
        <v>101</v>
      </c>
      <c r="N11">
        <v>30000</v>
      </c>
      <c r="O11">
        <v>26</v>
      </c>
      <c r="T11">
        <v>3</v>
      </c>
      <c r="U11">
        <v>1</v>
      </c>
      <c r="V11" t="s">
        <v>82</v>
      </c>
      <c r="W11">
        <v>77</v>
      </c>
      <c r="X11">
        <v>6</v>
      </c>
      <c r="Y11">
        <v>6</v>
      </c>
      <c r="Z11" t="s">
        <v>141</v>
      </c>
      <c r="AA11" t="s">
        <v>142</v>
      </c>
      <c r="AB11" t="s">
        <v>86</v>
      </c>
      <c r="AC11" t="s">
        <v>87</v>
      </c>
      <c r="AD11" t="s">
        <v>131</v>
      </c>
      <c r="AG11" t="s">
        <v>143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114</v>
      </c>
      <c r="B12">
        <v>111661</v>
      </c>
      <c r="C12">
        <v>2</v>
      </c>
      <c r="D12" t="s">
        <v>144</v>
      </c>
      <c r="E12" t="s">
        <v>134</v>
      </c>
      <c r="F12">
        <v>882</v>
      </c>
      <c r="G12">
        <v>34.33</v>
      </c>
      <c r="H12">
        <v>113.49</v>
      </c>
      <c r="I12">
        <v>25.7</v>
      </c>
      <c r="J12">
        <v>84.96</v>
      </c>
      <c r="K12">
        <v>407</v>
      </c>
      <c r="L12">
        <v>41000</v>
      </c>
      <c r="M12">
        <v>16</v>
      </c>
      <c r="N12">
        <v>28000</v>
      </c>
      <c r="O12" t="s">
        <v>94</v>
      </c>
      <c r="T12">
        <v>1</v>
      </c>
      <c r="U12">
        <v>1</v>
      </c>
      <c r="V12" t="s">
        <v>82</v>
      </c>
      <c r="W12" t="s">
        <v>145</v>
      </c>
      <c r="X12">
        <v>7</v>
      </c>
      <c r="Y12">
        <v>7</v>
      </c>
      <c r="Z12" t="s">
        <v>136</v>
      </c>
      <c r="AA12" t="s">
        <v>137</v>
      </c>
      <c r="AB12" t="s">
        <v>86</v>
      </c>
      <c r="AC12" t="s">
        <v>87</v>
      </c>
      <c r="AD12" t="s">
        <v>88</v>
      </c>
      <c r="AG12" t="s">
        <v>138</v>
      </c>
      <c r="AH12">
        <v>0</v>
      </c>
      <c r="AI12">
        <v>388</v>
      </c>
      <c r="AJ12">
        <v>63</v>
      </c>
      <c r="AK12">
        <v>11</v>
      </c>
      <c r="AL12">
        <v>0.34</v>
      </c>
    </row>
    <row r="13" spans="1:38" x14ac:dyDescent="0.3">
      <c r="A13" t="s">
        <v>114</v>
      </c>
      <c r="B13">
        <v>111403</v>
      </c>
      <c r="C13">
        <v>4</v>
      </c>
      <c r="D13" t="s">
        <v>146</v>
      </c>
      <c r="E13" t="s">
        <v>147</v>
      </c>
      <c r="F13">
        <v>1243</v>
      </c>
      <c r="G13">
        <v>34.24</v>
      </c>
      <c r="H13">
        <v>113.21</v>
      </c>
      <c r="I13">
        <v>25.7</v>
      </c>
      <c r="J13">
        <v>84.97</v>
      </c>
      <c r="K13">
        <v>24</v>
      </c>
      <c r="L13">
        <v>41000</v>
      </c>
      <c r="M13">
        <v>24</v>
      </c>
      <c r="N13">
        <v>30000</v>
      </c>
      <c r="O13" t="s">
        <v>101</v>
      </c>
      <c r="T13">
        <v>3</v>
      </c>
      <c r="U13">
        <v>2</v>
      </c>
      <c r="V13" t="s">
        <v>82</v>
      </c>
      <c r="W13" t="s">
        <v>148</v>
      </c>
      <c r="X13">
        <v>19</v>
      </c>
      <c r="Y13">
        <v>12</v>
      </c>
      <c r="Z13" t="s">
        <v>149</v>
      </c>
      <c r="AA13" t="s">
        <v>150</v>
      </c>
      <c r="AB13" t="s">
        <v>86</v>
      </c>
      <c r="AC13" t="s">
        <v>87</v>
      </c>
      <c r="AD13" t="s">
        <v>88</v>
      </c>
      <c r="AG13" t="s">
        <v>151</v>
      </c>
      <c r="AH13">
        <v>0</v>
      </c>
      <c r="AI13">
        <v>227</v>
      </c>
      <c r="AJ13">
        <v>0</v>
      </c>
      <c r="AK13">
        <v>0</v>
      </c>
      <c r="AL13">
        <v>0</v>
      </c>
    </row>
    <row r="14" spans="1:38" x14ac:dyDescent="0.3">
      <c r="A14" t="s">
        <v>114</v>
      </c>
      <c r="B14">
        <v>118431</v>
      </c>
      <c r="C14">
        <v>3</v>
      </c>
      <c r="D14" t="s">
        <v>152</v>
      </c>
      <c r="E14" t="s">
        <v>140</v>
      </c>
      <c r="F14">
        <v>548</v>
      </c>
      <c r="G14">
        <v>33.17</v>
      </c>
      <c r="H14">
        <v>109.66</v>
      </c>
      <c r="I14">
        <v>25.7</v>
      </c>
      <c r="J14">
        <v>84.98</v>
      </c>
      <c r="K14">
        <v>180</v>
      </c>
      <c r="L14">
        <v>40000</v>
      </c>
      <c r="M14" t="s">
        <v>101</v>
      </c>
      <c r="N14">
        <v>27000</v>
      </c>
      <c r="O14" t="s">
        <v>101</v>
      </c>
      <c r="T14">
        <v>3</v>
      </c>
      <c r="U14">
        <v>2</v>
      </c>
      <c r="V14" t="s">
        <v>82</v>
      </c>
      <c r="W14" t="s">
        <v>153</v>
      </c>
      <c r="X14">
        <v>18</v>
      </c>
      <c r="Y14">
        <v>5</v>
      </c>
      <c r="Z14" t="s">
        <v>129</v>
      </c>
      <c r="AA14" t="s">
        <v>130</v>
      </c>
      <c r="AB14" t="s">
        <v>86</v>
      </c>
      <c r="AC14" t="s">
        <v>87</v>
      </c>
      <c r="AD14" t="s">
        <v>131</v>
      </c>
      <c r="AG14" t="s">
        <v>132</v>
      </c>
      <c r="AH14">
        <v>0</v>
      </c>
      <c r="AI14">
        <v>302</v>
      </c>
      <c r="AJ14">
        <v>28</v>
      </c>
      <c r="AK14">
        <v>274</v>
      </c>
      <c r="AL14">
        <v>0.67</v>
      </c>
    </row>
    <row r="15" spans="1:38" x14ac:dyDescent="0.3">
      <c r="A15" t="s">
        <v>114</v>
      </c>
      <c r="B15">
        <v>114282</v>
      </c>
      <c r="C15">
        <v>2</v>
      </c>
      <c r="D15" t="s">
        <v>154</v>
      </c>
      <c r="E15" t="s">
        <v>155</v>
      </c>
      <c r="F15">
        <v>892</v>
      </c>
      <c r="G15">
        <v>33.57</v>
      </c>
      <c r="H15">
        <v>111</v>
      </c>
      <c r="I15">
        <v>25.68</v>
      </c>
      <c r="J15">
        <v>84.9</v>
      </c>
      <c r="K15">
        <v>532</v>
      </c>
      <c r="L15">
        <v>40000</v>
      </c>
      <c r="M15">
        <v>4</v>
      </c>
      <c r="N15">
        <v>30000</v>
      </c>
      <c r="O15" t="s">
        <v>94</v>
      </c>
      <c r="T15">
        <v>4</v>
      </c>
      <c r="U15">
        <v>2</v>
      </c>
      <c r="V15" t="s">
        <v>82</v>
      </c>
      <c r="W15">
        <v>146</v>
      </c>
      <c r="X15">
        <v>15</v>
      </c>
      <c r="Y15">
        <v>11</v>
      </c>
      <c r="Z15" t="s">
        <v>156</v>
      </c>
      <c r="AA15" t="s">
        <v>157</v>
      </c>
      <c r="AB15" t="s">
        <v>86</v>
      </c>
      <c r="AC15" t="s">
        <v>87</v>
      </c>
      <c r="AD15" t="s">
        <v>88</v>
      </c>
      <c r="AG15" t="s">
        <v>158</v>
      </c>
      <c r="AH15">
        <v>7</v>
      </c>
      <c r="AI15">
        <v>224</v>
      </c>
      <c r="AJ15">
        <v>19</v>
      </c>
      <c r="AK15">
        <v>642</v>
      </c>
      <c r="AL15">
        <v>1.39</v>
      </c>
    </row>
    <row r="16" spans="1:38" x14ac:dyDescent="0.3">
      <c r="A16" t="s">
        <v>114</v>
      </c>
      <c r="B16">
        <v>114283</v>
      </c>
      <c r="C16">
        <v>2</v>
      </c>
      <c r="D16" t="s">
        <v>159</v>
      </c>
      <c r="E16" t="s">
        <v>155</v>
      </c>
      <c r="F16">
        <v>824</v>
      </c>
      <c r="G16">
        <v>33.549999999999997</v>
      </c>
      <c r="H16">
        <v>110.92</v>
      </c>
      <c r="I16">
        <v>25.68</v>
      </c>
      <c r="J16">
        <v>84.9</v>
      </c>
      <c r="K16">
        <v>494</v>
      </c>
      <c r="L16">
        <v>40000</v>
      </c>
      <c r="M16">
        <v>6</v>
      </c>
      <c r="N16">
        <v>30000</v>
      </c>
      <c r="O16" t="s">
        <v>81</v>
      </c>
      <c r="T16">
        <v>3</v>
      </c>
      <c r="U16">
        <v>2</v>
      </c>
      <c r="V16" t="s">
        <v>82</v>
      </c>
      <c r="W16" t="s">
        <v>160</v>
      </c>
      <c r="X16">
        <v>24</v>
      </c>
      <c r="Y16">
        <v>18</v>
      </c>
      <c r="Z16" t="s">
        <v>161</v>
      </c>
      <c r="AA16" t="s">
        <v>162</v>
      </c>
      <c r="AB16" t="s">
        <v>86</v>
      </c>
      <c r="AC16" t="s">
        <v>87</v>
      </c>
      <c r="AD16" t="s">
        <v>88</v>
      </c>
      <c r="AG16" t="s">
        <v>163</v>
      </c>
      <c r="AH16">
        <v>0</v>
      </c>
      <c r="AI16">
        <v>228</v>
      </c>
      <c r="AJ16">
        <v>15</v>
      </c>
      <c r="AK16">
        <v>739</v>
      </c>
      <c r="AL16">
        <v>1.31</v>
      </c>
    </row>
    <row r="17" spans="1:38" x14ac:dyDescent="0.3">
      <c r="A17" t="s">
        <v>114</v>
      </c>
      <c r="B17">
        <v>113162</v>
      </c>
      <c r="C17">
        <v>2</v>
      </c>
      <c r="D17" t="s">
        <v>164</v>
      </c>
      <c r="E17" t="s">
        <v>100</v>
      </c>
      <c r="F17">
        <v>713</v>
      </c>
      <c r="G17">
        <v>34.299999999999997</v>
      </c>
      <c r="H17">
        <v>113.42</v>
      </c>
      <c r="I17">
        <v>25.62</v>
      </c>
      <c r="J17">
        <v>84.7</v>
      </c>
      <c r="K17">
        <v>178</v>
      </c>
      <c r="L17">
        <v>39000</v>
      </c>
      <c r="M17">
        <v>9</v>
      </c>
      <c r="N17">
        <v>27000</v>
      </c>
      <c r="O17" t="s">
        <v>101</v>
      </c>
      <c r="T17">
        <v>4</v>
      </c>
      <c r="U17">
        <v>2</v>
      </c>
      <c r="V17" t="s">
        <v>82</v>
      </c>
      <c r="W17">
        <v>137</v>
      </c>
      <c r="X17">
        <v>15</v>
      </c>
      <c r="Y17">
        <v>15</v>
      </c>
      <c r="Z17" t="s">
        <v>165</v>
      </c>
      <c r="AA17" t="s">
        <v>166</v>
      </c>
      <c r="AB17" t="s">
        <v>86</v>
      </c>
      <c r="AC17" t="s">
        <v>87</v>
      </c>
      <c r="AD17" t="s">
        <v>88</v>
      </c>
      <c r="AG17" t="s">
        <v>167</v>
      </c>
      <c r="AH17">
        <v>0</v>
      </c>
      <c r="AI17">
        <v>246</v>
      </c>
      <c r="AJ17">
        <v>19</v>
      </c>
      <c r="AK17">
        <v>266</v>
      </c>
      <c r="AL17">
        <v>2.2200000000000002</v>
      </c>
    </row>
    <row r="18" spans="1:38" x14ac:dyDescent="0.3">
      <c r="A18" t="s">
        <v>114</v>
      </c>
      <c r="B18">
        <v>120519</v>
      </c>
      <c r="C18">
        <v>1</v>
      </c>
      <c r="D18" t="s">
        <v>126</v>
      </c>
      <c r="E18" t="s">
        <v>127</v>
      </c>
      <c r="F18">
        <v>776</v>
      </c>
      <c r="G18">
        <v>24.79</v>
      </c>
      <c r="H18">
        <v>81.96</v>
      </c>
      <c r="I18">
        <v>18.14</v>
      </c>
      <c r="J18">
        <v>59.99</v>
      </c>
      <c r="K18">
        <v>172</v>
      </c>
      <c r="L18">
        <v>35000</v>
      </c>
      <c r="M18" t="s">
        <v>94</v>
      </c>
      <c r="N18">
        <v>19000</v>
      </c>
      <c r="O18" t="s">
        <v>101</v>
      </c>
      <c r="T18">
        <v>3</v>
      </c>
      <c r="U18">
        <v>2</v>
      </c>
      <c r="V18" t="s">
        <v>82</v>
      </c>
      <c r="W18">
        <v>102</v>
      </c>
      <c r="X18">
        <v>15</v>
      </c>
      <c r="Y18">
        <v>8</v>
      </c>
      <c r="Z18" t="s">
        <v>168</v>
      </c>
      <c r="AA18" t="s">
        <v>169</v>
      </c>
      <c r="AB18" t="s">
        <v>86</v>
      </c>
      <c r="AC18" t="s">
        <v>87</v>
      </c>
      <c r="AD18" t="s">
        <v>131</v>
      </c>
      <c r="AG18" t="s">
        <v>170</v>
      </c>
      <c r="AH18">
        <v>0</v>
      </c>
      <c r="AI18">
        <v>4</v>
      </c>
      <c r="AJ18">
        <v>19</v>
      </c>
      <c r="AK18">
        <v>70</v>
      </c>
      <c r="AL18">
        <v>0.51</v>
      </c>
    </row>
    <row r="19" spans="1:38" x14ac:dyDescent="0.3">
      <c r="A19" t="s">
        <v>114</v>
      </c>
      <c r="B19">
        <v>117765</v>
      </c>
      <c r="C19">
        <v>1</v>
      </c>
      <c r="D19" t="s">
        <v>115</v>
      </c>
      <c r="E19" t="s">
        <v>116</v>
      </c>
      <c r="F19">
        <v>536</v>
      </c>
      <c r="G19">
        <v>24.55</v>
      </c>
      <c r="H19">
        <v>81.19</v>
      </c>
      <c r="I19">
        <v>18.14</v>
      </c>
      <c r="J19">
        <v>59.98</v>
      </c>
      <c r="K19">
        <v>128</v>
      </c>
      <c r="L19">
        <v>35000</v>
      </c>
      <c r="M19" t="s">
        <v>94</v>
      </c>
      <c r="N19">
        <v>21000</v>
      </c>
      <c r="O19" t="s">
        <v>101</v>
      </c>
      <c r="T19">
        <v>3</v>
      </c>
      <c r="U19">
        <v>2</v>
      </c>
      <c r="V19" t="s">
        <v>82</v>
      </c>
      <c r="W19">
        <v>104</v>
      </c>
      <c r="X19">
        <v>15</v>
      </c>
      <c r="Y19">
        <v>9</v>
      </c>
      <c r="Z19" t="s">
        <v>171</v>
      </c>
      <c r="AA19" t="s">
        <v>172</v>
      </c>
      <c r="AB19" t="s">
        <v>86</v>
      </c>
      <c r="AC19" t="s">
        <v>87</v>
      </c>
      <c r="AD19" t="s">
        <v>119</v>
      </c>
      <c r="AG19" t="s">
        <v>173</v>
      </c>
      <c r="AH19">
        <v>0</v>
      </c>
      <c r="AI19">
        <v>218</v>
      </c>
      <c r="AJ19">
        <v>23</v>
      </c>
      <c r="AK19">
        <v>429</v>
      </c>
      <c r="AL19">
        <v>1.22</v>
      </c>
    </row>
    <row r="20" spans="1:38" x14ac:dyDescent="0.3">
      <c r="A20" t="s">
        <v>114</v>
      </c>
      <c r="B20">
        <v>114284</v>
      </c>
      <c r="C20">
        <v>2</v>
      </c>
      <c r="D20" t="s">
        <v>174</v>
      </c>
      <c r="E20" t="s">
        <v>175</v>
      </c>
      <c r="F20">
        <v>1430</v>
      </c>
      <c r="G20">
        <v>33.51</v>
      </c>
      <c r="H20">
        <v>110.8</v>
      </c>
      <c r="I20">
        <v>25.7</v>
      </c>
      <c r="J20">
        <v>84.98</v>
      </c>
      <c r="K20">
        <v>880</v>
      </c>
      <c r="L20">
        <v>35000</v>
      </c>
      <c r="M20">
        <v>4</v>
      </c>
      <c r="N20">
        <v>26000</v>
      </c>
      <c r="O20" t="s">
        <v>94</v>
      </c>
      <c r="T20">
        <v>3</v>
      </c>
      <c r="U20">
        <v>1</v>
      </c>
      <c r="V20" t="s">
        <v>82</v>
      </c>
      <c r="W20">
        <v>73</v>
      </c>
      <c r="X20">
        <v>15</v>
      </c>
      <c r="Y20">
        <v>5</v>
      </c>
      <c r="Z20" t="s">
        <v>176</v>
      </c>
      <c r="AA20" t="s">
        <v>177</v>
      </c>
      <c r="AB20" t="s">
        <v>86</v>
      </c>
      <c r="AC20" t="s">
        <v>87</v>
      </c>
      <c r="AD20" t="s">
        <v>88</v>
      </c>
      <c r="AG20" t="s">
        <v>178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 x14ac:dyDescent="0.3">
      <c r="A21" t="s">
        <v>114</v>
      </c>
      <c r="B21">
        <v>117764</v>
      </c>
      <c r="C21">
        <v>1</v>
      </c>
      <c r="D21" t="s">
        <v>121</v>
      </c>
      <c r="E21" t="s">
        <v>116</v>
      </c>
      <c r="F21">
        <v>624</v>
      </c>
      <c r="G21">
        <v>24.68</v>
      </c>
      <c r="H21">
        <v>81.61</v>
      </c>
      <c r="I21">
        <v>18.14</v>
      </c>
      <c r="J21">
        <v>59.98</v>
      </c>
      <c r="K21">
        <v>157</v>
      </c>
      <c r="L21">
        <v>33000</v>
      </c>
      <c r="M21" t="s">
        <v>94</v>
      </c>
      <c r="N21">
        <v>23000</v>
      </c>
      <c r="O21">
        <v>6</v>
      </c>
      <c r="T21">
        <v>3</v>
      </c>
      <c r="U21">
        <v>2</v>
      </c>
      <c r="V21" t="s">
        <v>82</v>
      </c>
      <c r="W21" t="s">
        <v>179</v>
      </c>
      <c r="X21">
        <v>15</v>
      </c>
      <c r="Y21">
        <v>9</v>
      </c>
      <c r="Z21" t="s">
        <v>123</v>
      </c>
      <c r="AA21" t="s">
        <v>124</v>
      </c>
      <c r="AB21" t="s">
        <v>86</v>
      </c>
      <c r="AC21" t="s">
        <v>87</v>
      </c>
      <c r="AD21" t="s">
        <v>88</v>
      </c>
      <c r="AG21" t="s">
        <v>125</v>
      </c>
      <c r="AH21">
        <v>13</v>
      </c>
      <c r="AI21">
        <v>192</v>
      </c>
      <c r="AJ21">
        <v>16</v>
      </c>
      <c r="AK21">
        <v>363</v>
      </c>
      <c r="AL21">
        <v>1.22</v>
      </c>
    </row>
    <row r="22" spans="1:38" x14ac:dyDescent="0.3">
      <c r="A22" t="s">
        <v>114</v>
      </c>
      <c r="B22">
        <v>118527</v>
      </c>
      <c r="C22">
        <v>2</v>
      </c>
      <c r="D22" t="s">
        <v>139</v>
      </c>
      <c r="E22" t="s">
        <v>140</v>
      </c>
      <c r="F22">
        <v>794</v>
      </c>
      <c r="G22">
        <v>24.36</v>
      </c>
      <c r="H22">
        <v>80.540000000000006</v>
      </c>
      <c r="I22">
        <v>18.14</v>
      </c>
      <c r="J22">
        <v>59.98</v>
      </c>
      <c r="K22">
        <v>34</v>
      </c>
      <c r="L22">
        <v>30000</v>
      </c>
      <c r="M22">
        <v>9</v>
      </c>
      <c r="N22">
        <v>23000</v>
      </c>
      <c r="O22">
        <v>28</v>
      </c>
      <c r="T22">
        <v>4</v>
      </c>
      <c r="U22">
        <v>2</v>
      </c>
      <c r="V22" t="s">
        <v>82</v>
      </c>
      <c r="W22">
        <v>135</v>
      </c>
      <c r="X22">
        <v>15</v>
      </c>
      <c r="Y22">
        <v>12</v>
      </c>
      <c r="Z22" t="s">
        <v>180</v>
      </c>
      <c r="AA22" t="s">
        <v>181</v>
      </c>
      <c r="AB22" t="s">
        <v>86</v>
      </c>
      <c r="AC22" t="s">
        <v>87</v>
      </c>
      <c r="AD22" t="s">
        <v>131</v>
      </c>
      <c r="AG22" t="s">
        <v>182</v>
      </c>
      <c r="AH22">
        <v>0</v>
      </c>
      <c r="AI22">
        <v>307</v>
      </c>
      <c r="AJ22">
        <v>26</v>
      </c>
      <c r="AK22">
        <v>0</v>
      </c>
      <c r="AL22">
        <v>0</v>
      </c>
    </row>
    <row r="23" spans="1:38" x14ac:dyDescent="0.3">
      <c r="A23" t="s">
        <v>114</v>
      </c>
      <c r="B23">
        <v>114283</v>
      </c>
      <c r="C23">
        <v>1</v>
      </c>
      <c r="D23" t="s">
        <v>159</v>
      </c>
      <c r="E23" t="s">
        <v>155</v>
      </c>
      <c r="F23">
        <v>824</v>
      </c>
      <c r="G23">
        <v>25.14</v>
      </c>
      <c r="H23">
        <v>83.12</v>
      </c>
      <c r="I23">
        <v>18.14</v>
      </c>
      <c r="J23">
        <v>59.99</v>
      </c>
      <c r="K23">
        <v>244</v>
      </c>
      <c r="L23">
        <v>29000</v>
      </c>
      <c r="M23">
        <v>4</v>
      </c>
      <c r="N23">
        <v>21000</v>
      </c>
      <c r="O23">
        <v>8</v>
      </c>
      <c r="T23">
        <v>3</v>
      </c>
      <c r="U23">
        <v>2</v>
      </c>
      <c r="V23" t="s">
        <v>82</v>
      </c>
      <c r="W23" t="s">
        <v>183</v>
      </c>
      <c r="X23">
        <v>24</v>
      </c>
      <c r="Y23">
        <v>18</v>
      </c>
      <c r="Z23" t="s">
        <v>161</v>
      </c>
      <c r="AA23" t="s">
        <v>162</v>
      </c>
      <c r="AB23" t="s">
        <v>86</v>
      </c>
      <c r="AC23" t="s">
        <v>87</v>
      </c>
      <c r="AD23" t="s">
        <v>88</v>
      </c>
      <c r="AG23" t="s">
        <v>163</v>
      </c>
      <c r="AH23">
        <v>0</v>
      </c>
      <c r="AI23">
        <v>228</v>
      </c>
      <c r="AJ23">
        <v>15</v>
      </c>
      <c r="AK23">
        <v>739</v>
      </c>
      <c r="AL23">
        <v>1.31</v>
      </c>
    </row>
    <row r="24" spans="1:38" x14ac:dyDescent="0.3">
      <c r="A24" t="s">
        <v>114</v>
      </c>
      <c r="B24">
        <v>111661</v>
      </c>
      <c r="C24">
        <v>1</v>
      </c>
      <c r="D24" t="s">
        <v>144</v>
      </c>
      <c r="E24" t="s">
        <v>134</v>
      </c>
      <c r="F24">
        <v>882</v>
      </c>
      <c r="G24">
        <v>25.92</v>
      </c>
      <c r="H24">
        <v>85.69</v>
      </c>
      <c r="I24">
        <v>18.13</v>
      </c>
      <c r="J24">
        <v>59.94</v>
      </c>
      <c r="K24">
        <v>337</v>
      </c>
      <c r="L24">
        <v>29000</v>
      </c>
      <c r="M24">
        <v>7</v>
      </c>
      <c r="N24">
        <v>20000</v>
      </c>
      <c r="O24">
        <v>2</v>
      </c>
      <c r="T24">
        <v>1</v>
      </c>
      <c r="U24">
        <v>1</v>
      </c>
      <c r="V24" t="s">
        <v>82</v>
      </c>
      <c r="W24" t="s">
        <v>184</v>
      </c>
      <c r="X24">
        <v>7</v>
      </c>
      <c r="Y24">
        <v>7</v>
      </c>
      <c r="Z24" t="s">
        <v>136</v>
      </c>
      <c r="AA24" t="s">
        <v>137</v>
      </c>
      <c r="AB24" t="s">
        <v>86</v>
      </c>
      <c r="AC24" t="s">
        <v>87</v>
      </c>
      <c r="AD24" t="s">
        <v>88</v>
      </c>
      <c r="AG24" t="s">
        <v>138</v>
      </c>
      <c r="AH24">
        <v>0</v>
      </c>
      <c r="AI24">
        <v>388</v>
      </c>
      <c r="AJ24">
        <v>63</v>
      </c>
      <c r="AK24">
        <v>11</v>
      </c>
      <c r="AL24">
        <v>0.34</v>
      </c>
    </row>
    <row r="25" spans="1:38" x14ac:dyDescent="0.3">
      <c r="A25" t="s">
        <v>114</v>
      </c>
      <c r="B25">
        <v>111850</v>
      </c>
      <c r="C25">
        <v>1</v>
      </c>
      <c r="D25" t="s">
        <v>133</v>
      </c>
      <c r="E25" t="s">
        <v>134</v>
      </c>
      <c r="F25">
        <v>1116</v>
      </c>
      <c r="G25">
        <v>25.58</v>
      </c>
      <c r="H25">
        <v>84.57</v>
      </c>
      <c r="I25">
        <v>18.14</v>
      </c>
      <c r="J25">
        <v>59.99</v>
      </c>
      <c r="K25">
        <v>571</v>
      </c>
      <c r="L25">
        <v>29000</v>
      </c>
      <c r="M25">
        <v>28</v>
      </c>
      <c r="N25">
        <v>22000</v>
      </c>
      <c r="O25">
        <v>4</v>
      </c>
      <c r="T25">
        <v>1</v>
      </c>
      <c r="U25">
        <v>1</v>
      </c>
      <c r="V25" t="s">
        <v>82</v>
      </c>
      <c r="W25" t="s">
        <v>185</v>
      </c>
      <c r="X25">
        <v>7</v>
      </c>
      <c r="Y25">
        <v>7</v>
      </c>
      <c r="Z25" t="s">
        <v>136</v>
      </c>
      <c r="AA25" t="s">
        <v>137</v>
      </c>
      <c r="AB25" t="s">
        <v>86</v>
      </c>
      <c r="AC25" t="s">
        <v>87</v>
      </c>
      <c r="AD25" t="s">
        <v>88</v>
      </c>
      <c r="AG25" t="s">
        <v>138</v>
      </c>
      <c r="AH25">
        <v>0</v>
      </c>
      <c r="AI25">
        <v>388</v>
      </c>
      <c r="AJ25">
        <v>63</v>
      </c>
      <c r="AK25">
        <v>11</v>
      </c>
      <c r="AL25">
        <v>0.34</v>
      </c>
    </row>
    <row r="26" spans="1:38" x14ac:dyDescent="0.3">
      <c r="A26" t="s">
        <v>114</v>
      </c>
      <c r="B26">
        <v>111403</v>
      </c>
      <c r="C26">
        <v>1</v>
      </c>
      <c r="D26" t="s">
        <v>146</v>
      </c>
      <c r="E26" t="s">
        <v>147</v>
      </c>
      <c r="F26">
        <v>1243</v>
      </c>
      <c r="G26">
        <v>25.73</v>
      </c>
      <c r="H26">
        <v>85.09</v>
      </c>
      <c r="I26">
        <v>18.14</v>
      </c>
      <c r="J26">
        <v>59.99</v>
      </c>
      <c r="K26">
        <v>532</v>
      </c>
      <c r="L26">
        <v>29000</v>
      </c>
      <c r="M26">
        <v>27</v>
      </c>
      <c r="N26">
        <v>20000</v>
      </c>
      <c r="O26">
        <v>18</v>
      </c>
      <c r="T26">
        <v>4</v>
      </c>
      <c r="U26">
        <v>2</v>
      </c>
      <c r="V26" t="s">
        <v>82</v>
      </c>
      <c r="W26">
        <v>156</v>
      </c>
      <c r="X26">
        <v>15</v>
      </c>
      <c r="Y26">
        <v>11</v>
      </c>
      <c r="Z26" t="s">
        <v>186</v>
      </c>
      <c r="AA26" t="s">
        <v>187</v>
      </c>
      <c r="AB26" t="s">
        <v>86</v>
      </c>
      <c r="AC26" t="s">
        <v>87</v>
      </c>
      <c r="AD26" t="s">
        <v>88</v>
      </c>
      <c r="AG26" t="s">
        <v>188</v>
      </c>
      <c r="AH26">
        <v>0</v>
      </c>
      <c r="AI26">
        <v>169</v>
      </c>
      <c r="AJ26">
        <v>20</v>
      </c>
      <c r="AK26">
        <v>333</v>
      </c>
      <c r="AL26">
        <v>1.36</v>
      </c>
    </row>
    <row r="27" spans="1:38" x14ac:dyDescent="0.3">
      <c r="A27" t="s">
        <v>114</v>
      </c>
      <c r="B27">
        <v>114282</v>
      </c>
      <c r="C27">
        <v>1</v>
      </c>
      <c r="D27" t="s">
        <v>154</v>
      </c>
      <c r="E27" t="s">
        <v>155</v>
      </c>
      <c r="F27">
        <v>892</v>
      </c>
      <c r="G27">
        <v>25.13</v>
      </c>
      <c r="H27">
        <v>83.09</v>
      </c>
      <c r="I27">
        <v>18.14</v>
      </c>
      <c r="J27">
        <v>59.99</v>
      </c>
      <c r="K27">
        <v>270</v>
      </c>
      <c r="L27">
        <v>28000</v>
      </c>
      <c r="M27" t="s">
        <v>101</v>
      </c>
      <c r="N27">
        <v>20000</v>
      </c>
      <c r="O27" t="s">
        <v>101</v>
      </c>
      <c r="T27">
        <v>3</v>
      </c>
      <c r="U27">
        <v>2</v>
      </c>
      <c r="V27" t="s">
        <v>82</v>
      </c>
      <c r="W27">
        <v>126</v>
      </c>
      <c r="X27">
        <v>15</v>
      </c>
      <c r="Y27">
        <v>11</v>
      </c>
      <c r="Z27" t="s">
        <v>156</v>
      </c>
      <c r="AA27" t="s">
        <v>157</v>
      </c>
      <c r="AB27" t="s">
        <v>86</v>
      </c>
      <c r="AC27" t="s">
        <v>87</v>
      </c>
      <c r="AD27" t="s">
        <v>88</v>
      </c>
      <c r="AG27" t="s">
        <v>158</v>
      </c>
      <c r="AH27">
        <v>7</v>
      </c>
      <c r="AI27">
        <v>224</v>
      </c>
      <c r="AJ27">
        <v>19</v>
      </c>
      <c r="AK27">
        <v>642</v>
      </c>
      <c r="AL27">
        <v>1.39</v>
      </c>
    </row>
    <row r="28" spans="1:38" x14ac:dyDescent="0.3">
      <c r="A28" t="s">
        <v>114</v>
      </c>
      <c r="B28">
        <v>118431</v>
      </c>
      <c r="C28">
        <v>1</v>
      </c>
      <c r="D28" t="s">
        <v>152</v>
      </c>
      <c r="E28" t="s">
        <v>140</v>
      </c>
      <c r="F28">
        <v>548</v>
      </c>
      <c r="G28">
        <v>24.59</v>
      </c>
      <c r="H28">
        <v>81.3</v>
      </c>
      <c r="I28">
        <v>18.14</v>
      </c>
      <c r="J28">
        <v>59.98</v>
      </c>
      <c r="K28">
        <v>178</v>
      </c>
      <c r="L28">
        <v>27000</v>
      </c>
      <c r="M28" t="s">
        <v>101</v>
      </c>
      <c r="N28">
        <v>22000</v>
      </c>
      <c r="O28" t="s">
        <v>81</v>
      </c>
      <c r="T28">
        <v>3</v>
      </c>
      <c r="U28">
        <v>2</v>
      </c>
      <c r="V28" t="s">
        <v>82</v>
      </c>
      <c r="W28" t="s">
        <v>189</v>
      </c>
      <c r="X28">
        <v>18</v>
      </c>
      <c r="Y28">
        <v>5</v>
      </c>
      <c r="Z28" t="s">
        <v>129</v>
      </c>
      <c r="AA28" t="s">
        <v>130</v>
      </c>
      <c r="AB28" t="s">
        <v>86</v>
      </c>
      <c r="AC28" t="s">
        <v>87</v>
      </c>
      <c r="AD28" t="s">
        <v>131</v>
      </c>
      <c r="AG28" t="s">
        <v>132</v>
      </c>
      <c r="AH28">
        <v>0</v>
      </c>
      <c r="AI28">
        <v>302</v>
      </c>
      <c r="AJ28">
        <v>28</v>
      </c>
      <c r="AK28">
        <v>274</v>
      </c>
      <c r="AL28">
        <v>0.67</v>
      </c>
    </row>
    <row r="29" spans="1:38" x14ac:dyDescent="0.3">
      <c r="A29" t="s">
        <v>114</v>
      </c>
      <c r="B29">
        <v>113162</v>
      </c>
      <c r="C29">
        <v>1</v>
      </c>
      <c r="D29" t="s">
        <v>164</v>
      </c>
      <c r="E29" t="s">
        <v>100</v>
      </c>
      <c r="F29">
        <v>713</v>
      </c>
      <c r="G29">
        <v>24.62</v>
      </c>
      <c r="H29">
        <v>81.400000000000006</v>
      </c>
      <c r="I29">
        <v>18.079999999999998</v>
      </c>
      <c r="J29">
        <v>59.78</v>
      </c>
      <c r="K29">
        <v>280</v>
      </c>
      <c r="L29">
        <v>27000</v>
      </c>
      <c r="M29">
        <v>9</v>
      </c>
      <c r="N29">
        <v>20000</v>
      </c>
      <c r="O29">
        <v>18</v>
      </c>
      <c r="T29">
        <v>3</v>
      </c>
      <c r="U29">
        <v>2</v>
      </c>
      <c r="V29" t="s">
        <v>82</v>
      </c>
      <c r="W29">
        <v>105</v>
      </c>
      <c r="X29">
        <v>15</v>
      </c>
      <c r="Y29">
        <v>15</v>
      </c>
      <c r="Z29" t="s">
        <v>165</v>
      </c>
      <c r="AA29" t="s">
        <v>166</v>
      </c>
      <c r="AB29" t="s">
        <v>86</v>
      </c>
      <c r="AC29" t="s">
        <v>87</v>
      </c>
      <c r="AD29" t="s">
        <v>88</v>
      </c>
      <c r="AG29" t="s">
        <v>167</v>
      </c>
      <c r="AH29">
        <v>0</v>
      </c>
      <c r="AI29">
        <v>246</v>
      </c>
      <c r="AJ29">
        <v>19</v>
      </c>
      <c r="AK29">
        <v>266</v>
      </c>
      <c r="AL29">
        <v>2.2200000000000002</v>
      </c>
    </row>
    <row r="30" spans="1:38" x14ac:dyDescent="0.3">
      <c r="A30" t="s">
        <v>114</v>
      </c>
      <c r="B30">
        <v>114284</v>
      </c>
      <c r="C30">
        <v>1</v>
      </c>
      <c r="D30" t="s">
        <v>174</v>
      </c>
      <c r="E30" t="s">
        <v>175</v>
      </c>
      <c r="F30">
        <v>1430</v>
      </c>
      <c r="G30">
        <v>24.07</v>
      </c>
      <c r="H30">
        <v>79.599999999999994</v>
      </c>
      <c r="I30">
        <v>18.13</v>
      </c>
      <c r="J30">
        <v>59.94</v>
      </c>
      <c r="K30">
        <v>470</v>
      </c>
      <c r="L30">
        <v>25500</v>
      </c>
      <c r="M30">
        <v>6</v>
      </c>
      <c r="N30">
        <v>20000</v>
      </c>
      <c r="O30" t="s">
        <v>94</v>
      </c>
      <c r="T30">
        <v>2</v>
      </c>
      <c r="U30">
        <v>1</v>
      </c>
      <c r="V30" t="s">
        <v>190</v>
      </c>
      <c r="W30">
        <v>61</v>
      </c>
      <c r="X30">
        <v>15</v>
      </c>
      <c r="Y30">
        <v>5</v>
      </c>
      <c r="Z30" t="s">
        <v>176</v>
      </c>
      <c r="AA30" t="s">
        <v>177</v>
      </c>
      <c r="AB30" t="s">
        <v>86</v>
      </c>
      <c r="AC30" t="s">
        <v>87</v>
      </c>
      <c r="AD30" t="s">
        <v>88</v>
      </c>
      <c r="AG30" t="s">
        <v>178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 x14ac:dyDescent="0.3">
      <c r="A31" t="s">
        <v>191</v>
      </c>
      <c r="B31">
        <v>105025</v>
      </c>
      <c r="C31">
        <v>4</v>
      </c>
      <c r="D31" t="s">
        <v>192</v>
      </c>
      <c r="E31" t="s">
        <v>193</v>
      </c>
      <c r="F31">
        <v>717</v>
      </c>
      <c r="G31">
        <v>33.4</v>
      </c>
      <c r="H31">
        <v>110.42</v>
      </c>
      <c r="I31">
        <v>25.56</v>
      </c>
      <c r="J31">
        <v>84.52</v>
      </c>
      <c r="K31">
        <v>236</v>
      </c>
      <c r="L31">
        <v>30000</v>
      </c>
      <c r="M31">
        <v>10</v>
      </c>
      <c r="N31">
        <v>27000</v>
      </c>
      <c r="O31">
        <v>16</v>
      </c>
      <c r="T31">
        <v>3</v>
      </c>
      <c r="U31">
        <v>2</v>
      </c>
      <c r="V31" t="s">
        <v>82</v>
      </c>
      <c r="W31">
        <v>126</v>
      </c>
      <c r="X31">
        <v>24</v>
      </c>
      <c r="Y31">
        <v>24</v>
      </c>
      <c r="Z31" t="s">
        <v>194</v>
      </c>
      <c r="AA31" t="s">
        <v>195</v>
      </c>
      <c r="AB31" t="s">
        <v>86</v>
      </c>
      <c r="AC31" t="s">
        <v>87</v>
      </c>
      <c r="AD31" t="s">
        <v>196</v>
      </c>
      <c r="AG31" t="s">
        <v>197</v>
      </c>
      <c r="AH31">
        <v>0</v>
      </c>
      <c r="AI31">
        <v>962</v>
      </c>
      <c r="AJ31">
        <v>69</v>
      </c>
      <c r="AK31">
        <v>212</v>
      </c>
      <c r="AL31">
        <v>1.68</v>
      </c>
    </row>
    <row r="32" spans="1:38" x14ac:dyDescent="0.3">
      <c r="A32" t="s">
        <v>198</v>
      </c>
      <c r="B32">
        <v>109370</v>
      </c>
      <c r="C32">
        <v>1</v>
      </c>
      <c r="D32" t="s">
        <v>199</v>
      </c>
      <c r="E32" t="s">
        <v>200</v>
      </c>
      <c r="F32">
        <v>850</v>
      </c>
      <c r="G32">
        <v>34.06</v>
      </c>
      <c r="H32">
        <v>112.61</v>
      </c>
      <c r="I32">
        <v>25.7</v>
      </c>
      <c r="J32">
        <v>84.99</v>
      </c>
      <c r="K32">
        <v>246</v>
      </c>
      <c r="L32">
        <v>48000</v>
      </c>
      <c r="M32" t="s">
        <v>94</v>
      </c>
      <c r="N32">
        <v>36000</v>
      </c>
      <c r="O32" t="s">
        <v>94</v>
      </c>
      <c r="T32">
        <v>2</v>
      </c>
      <c r="U32">
        <v>1</v>
      </c>
      <c r="V32" t="s">
        <v>82</v>
      </c>
      <c r="W32">
        <v>57</v>
      </c>
      <c r="X32">
        <v>5</v>
      </c>
      <c r="Y32">
        <v>5</v>
      </c>
      <c r="Z32" t="s">
        <v>201</v>
      </c>
      <c r="AA32" t="s">
        <v>202</v>
      </c>
      <c r="AB32" t="s">
        <v>86</v>
      </c>
      <c r="AC32" t="s">
        <v>87</v>
      </c>
      <c r="AD32" t="s">
        <v>196</v>
      </c>
      <c r="AG32" t="s">
        <v>203</v>
      </c>
      <c r="AH32">
        <v>0</v>
      </c>
      <c r="AI32">
        <v>0</v>
      </c>
      <c r="AJ32">
        <v>0</v>
      </c>
      <c r="AK32">
        <v>0</v>
      </c>
      <c r="AL32">
        <v>0</v>
      </c>
    </row>
    <row r="33" spans="1:38" x14ac:dyDescent="0.3">
      <c r="A33" t="s">
        <v>198</v>
      </c>
      <c r="B33">
        <v>106689</v>
      </c>
      <c r="C33">
        <v>1</v>
      </c>
      <c r="D33" t="s">
        <v>204</v>
      </c>
      <c r="E33" t="s">
        <v>205</v>
      </c>
      <c r="F33">
        <v>682</v>
      </c>
      <c r="G33">
        <v>34.729999999999997</v>
      </c>
      <c r="H33">
        <v>114.81</v>
      </c>
      <c r="I33">
        <v>25.69</v>
      </c>
      <c r="J33">
        <v>84.95</v>
      </c>
      <c r="K33">
        <v>216</v>
      </c>
      <c r="L33">
        <v>48000</v>
      </c>
      <c r="M33" t="s">
        <v>101</v>
      </c>
      <c r="N33">
        <v>37000</v>
      </c>
      <c r="O33">
        <v>1</v>
      </c>
      <c r="T33">
        <v>3</v>
      </c>
      <c r="U33">
        <v>1</v>
      </c>
      <c r="V33" t="s">
        <v>190</v>
      </c>
      <c r="W33">
        <v>95</v>
      </c>
      <c r="X33">
        <v>19</v>
      </c>
      <c r="Y33">
        <v>8</v>
      </c>
      <c r="Z33" t="s">
        <v>206</v>
      </c>
      <c r="AA33" t="s">
        <v>207</v>
      </c>
      <c r="AB33" t="s">
        <v>86</v>
      </c>
      <c r="AC33" t="s">
        <v>87</v>
      </c>
      <c r="AD33" t="s">
        <v>196</v>
      </c>
      <c r="AG33" t="s">
        <v>208</v>
      </c>
      <c r="AH33">
        <v>0</v>
      </c>
      <c r="AI33">
        <v>308</v>
      </c>
      <c r="AJ33">
        <v>21</v>
      </c>
      <c r="AK33">
        <v>249</v>
      </c>
      <c r="AL33">
        <v>0.72</v>
      </c>
    </row>
    <row r="34" spans="1:38" x14ac:dyDescent="0.3">
      <c r="A34" t="s">
        <v>198</v>
      </c>
      <c r="B34">
        <v>109839</v>
      </c>
      <c r="C34">
        <v>1</v>
      </c>
      <c r="D34" t="s">
        <v>209</v>
      </c>
      <c r="E34" t="s">
        <v>210</v>
      </c>
      <c r="F34">
        <v>418</v>
      </c>
      <c r="G34">
        <v>33.14</v>
      </c>
      <c r="H34">
        <v>109.58</v>
      </c>
      <c r="I34">
        <v>25.68</v>
      </c>
      <c r="J34">
        <v>84.92</v>
      </c>
      <c r="K34">
        <v>258</v>
      </c>
      <c r="L34">
        <v>40000</v>
      </c>
      <c r="M34">
        <v>4</v>
      </c>
      <c r="N34">
        <v>35000</v>
      </c>
      <c r="O34" t="s">
        <v>94</v>
      </c>
      <c r="T34">
        <v>3</v>
      </c>
      <c r="U34">
        <v>1</v>
      </c>
      <c r="V34" t="s">
        <v>82</v>
      </c>
      <c r="W34">
        <v>79</v>
      </c>
      <c r="X34">
        <v>15</v>
      </c>
      <c r="Y34">
        <v>9</v>
      </c>
      <c r="Z34" t="s">
        <v>211</v>
      </c>
      <c r="AA34" t="s">
        <v>212</v>
      </c>
      <c r="AB34" t="s">
        <v>86</v>
      </c>
      <c r="AC34" t="s">
        <v>87</v>
      </c>
      <c r="AD34" t="s">
        <v>196</v>
      </c>
      <c r="AG34" t="s">
        <v>213</v>
      </c>
      <c r="AH34">
        <v>0</v>
      </c>
      <c r="AI34">
        <v>182</v>
      </c>
      <c r="AJ34">
        <v>30</v>
      </c>
      <c r="AK34">
        <v>337</v>
      </c>
      <c r="AL34">
        <v>0.93</v>
      </c>
    </row>
    <row r="35" spans="1:38" x14ac:dyDescent="0.3">
      <c r="A35" t="s">
        <v>198</v>
      </c>
      <c r="B35">
        <v>141657</v>
      </c>
      <c r="C35">
        <v>2</v>
      </c>
      <c r="D35" t="s">
        <v>214</v>
      </c>
      <c r="E35" t="s">
        <v>215</v>
      </c>
      <c r="F35">
        <v>728</v>
      </c>
      <c r="G35">
        <v>33.15</v>
      </c>
      <c r="H35">
        <v>109.6</v>
      </c>
      <c r="I35">
        <v>25.68</v>
      </c>
      <c r="J35">
        <v>84.91</v>
      </c>
      <c r="K35">
        <v>191</v>
      </c>
      <c r="L35">
        <v>39000</v>
      </c>
      <c r="M35">
        <v>9</v>
      </c>
      <c r="N35">
        <v>29000</v>
      </c>
      <c r="O35" t="s">
        <v>94</v>
      </c>
      <c r="T35">
        <v>3</v>
      </c>
      <c r="U35">
        <v>2</v>
      </c>
      <c r="V35" t="s">
        <v>82</v>
      </c>
      <c r="W35" t="s">
        <v>216</v>
      </c>
      <c r="X35">
        <v>20</v>
      </c>
      <c r="Y35">
        <v>12</v>
      </c>
      <c r="Z35" t="s">
        <v>217</v>
      </c>
      <c r="AA35" t="s">
        <v>218</v>
      </c>
      <c r="AB35" t="s">
        <v>86</v>
      </c>
      <c r="AC35" t="s">
        <v>87</v>
      </c>
      <c r="AD35" t="s">
        <v>196</v>
      </c>
      <c r="AG35" t="s">
        <v>219</v>
      </c>
      <c r="AH35">
        <v>0</v>
      </c>
      <c r="AI35">
        <v>238</v>
      </c>
      <c r="AJ35">
        <v>20</v>
      </c>
      <c r="AK35">
        <v>459</v>
      </c>
      <c r="AL35">
        <v>1.32</v>
      </c>
    </row>
    <row r="36" spans="1:38" x14ac:dyDescent="0.3">
      <c r="A36" t="s">
        <v>198</v>
      </c>
      <c r="B36">
        <v>113931</v>
      </c>
      <c r="C36">
        <v>3</v>
      </c>
      <c r="D36" t="s">
        <v>220</v>
      </c>
      <c r="E36" t="s">
        <v>221</v>
      </c>
      <c r="F36">
        <v>508</v>
      </c>
      <c r="G36">
        <v>33.659999999999997</v>
      </c>
      <c r="H36">
        <v>111.28</v>
      </c>
      <c r="I36">
        <v>25.7</v>
      </c>
      <c r="J36">
        <v>84.99</v>
      </c>
      <c r="K36">
        <v>84</v>
      </c>
      <c r="L36">
        <v>37500</v>
      </c>
      <c r="M36" t="s">
        <v>101</v>
      </c>
      <c r="N36">
        <v>30000</v>
      </c>
      <c r="O36">
        <v>6</v>
      </c>
      <c r="T36">
        <v>1</v>
      </c>
      <c r="U36">
        <v>1</v>
      </c>
      <c r="V36" t="s">
        <v>82</v>
      </c>
      <c r="W36" t="s">
        <v>222</v>
      </c>
      <c r="X36">
        <v>7</v>
      </c>
      <c r="Y36">
        <v>7</v>
      </c>
      <c r="Z36" t="s">
        <v>136</v>
      </c>
      <c r="AA36" t="s">
        <v>137</v>
      </c>
      <c r="AB36" t="s">
        <v>86</v>
      </c>
      <c r="AC36" t="s">
        <v>87</v>
      </c>
      <c r="AD36" t="s">
        <v>88</v>
      </c>
      <c r="AG36" t="s">
        <v>138</v>
      </c>
      <c r="AH36">
        <v>0</v>
      </c>
      <c r="AI36">
        <v>388</v>
      </c>
      <c r="AJ36">
        <v>63</v>
      </c>
      <c r="AK36">
        <v>11</v>
      </c>
      <c r="AL36">
        <v>0.34</v>
      </c>
    </row>
    <row r="37" spans="1:38" x14ac:dyDescent="0.3">
      <c r="A37" t="s">
        <v>198</v>
      </c>
      <c r="B37">
        <v>117793</v>
      </c>
      <c r="C37">
        <v>2</v>
      </c>
      <c r="D37" t="s">
        <v>223</v>
      </c>
      <c r="E37" t="s">
        <v>224</v>
      </c>
      <c r="F37">
        <v>855</v>
      </c>
      <c r="G37">
        <v>33.549999999999997</v>
      </c>
      <c r="H37">
        <v>110.93</v>
      </c>
      <c r="I37">
        <v>25.7</v>
      </c>
      <c r="J37">
        <v>84.98</v>
      </c>
      <c r="K37">
        <v>601</v>
      </c>
      <c r="L37">
        <v>36500</v>
      </c>
      <c r="M37" t="s">
        <v>101</v>
      </c>
      <c r="N37">
        <v>30000</v>
      </c>
      <c r="O37" t="s">
        <v>94</v>
      </c>
      <c r="T37">
        <v>3</v>
      </c>
      <c r="U37">
        <v>1</v>
      </c>
      <c r="V37" t="s">
        <v>82</v>
      </c>
      <c r="W37">
        <v>80</v>
      </c>
      <c r="X37">
        <v>15</v>
      </c>
      <c r="Y37">
        <v>14</v>
      </c>
      <c r="Z37" t="s">
        <v>225</v>
      </c>
      <c r="AA37" t="s">
        <v>226</v>
      </c>
      <c r="AB37" t="s">
        <v>86</v>
      </c>
      <c r="AC37" t="s">
        <v>87</v>
      </c>
      <c r="AD37" t="s">
        <v>88</v>
      </c>
      <c r="AG37" t="s">
        <v>227</v>
      </c>
      <c r="AH37">
        <v>0</v>
      </c>
      <c r="AI37">
        <v>175</v>
      </c>
      <c r="AJ37">
        <v>17</v>
      </c>
      <c r="AK37">
        <v>0</v>
      </c>
      <c r="AL37">
        <v>0</v>
      </c>
    </row>
    <row r="38" spans="1:38" x14ac:dyDescent="0.3">
      <c r="A38" t="s">
        <v>198</v>
      </c>
      <c r="B38">
        <v>105031</v>
      </c>
      <c r="C38">
        <v>2</v>
      </c>
      <c r="D38" t="s">
        <v>228</v>
      </c>
      <c r="E38" t="s">
        <v>229</v>
      </c>
      <c r="F38">
        <v>1110</v>
      </c>
      <c r="G38">
        <v>33</v>
      </c>
      <c r="H38">
        <v>109.12</v>
      </c>
      <c r="I38">
        <v>25.68</v>
      </c>
      <c r="J38">
        <v>84.92</v>
      </c>
      <c r="K38">
        <v>770</v>
      </c>
      <c r="L38">
        <v>35000</v>
      </c>
      <c r="M38" t="s">
        <v>94</v>
      </c>
      <c r="N38">
        <v>30000</v>
      </c>
      <c r="O38" t="s">
        <v>101</v>
      </c>
      <c r="T38">
        <v>3</v>
      </c>
      <c r="U38">
        <v>1</v>
      </c>
      <c r="V38" t="s">
        <v>190</v>
      </c>
      <c r="W38">
        <v>79</v>
      </c>
      <c r="X38">
        <v>15</v>
      </c>
      <c r="Y38">
        <v>10</v>
      </c>
      <c r="Z38" t="s">
        <v>230</v>
      </c>
      <c r="AA38" t="s">
        <v>231</v>
      </c>
      <c r="AB38" t="s">
        <v>86</v>
      </c>
      <c r="AC38" t="s">
        <v>87</v>
      </c>
      <c r="AD38" t="s">
        <v>196</v>
      </c>
      <c r="AG38" t="s">
        <v>232</v>
      </c>
      <c r="AH38">
        <v>0</v>
      </c>
      <c r="AI38">
        <v>214</v>
      </c>
      <c r="AJ38">
        <v>22</v>
      </c>
      <c r="AK38">
        <v>532</v>
      </c>
      <c r="AL38">
        <v>0.82</v>
      </c>
    </row>
    <row r="39" spans="1:38" x14ac:dyDescent="0.3">
      <c r="A39" t="s">
        <v>198</v>
      </c>
      <c r="B39">
        <v>106118</v>
      </c>
      <c r="C39">
        <v>2</v>
      </c>
      <c r="D39" t="s">
        <v>233</v>
      </c>
      <c r="E39" t="s">
        <v>234</v>
      </c>
      <c r="F39">
        <v>424</v>
      </c>
      <c r="G39">
        <v>33.18</v>
      </c>
      <c r="H39">
        <v>109.69</v>
      </c>
      <c r="I39">
        <v>25.7</v>
      </c>
      <c r="J39">
        <v>84.97</v>
      </c>
      <c r="K39">
        <v>251</v>
      </c>
      <c r="L39">
        <v>32500</v>
      </c>
      <c r="M39" t="s">
        <v>94</v>
      </c>
      <c r="N39">
        <v>27000</v>
      </c>
      <c r="O39" t="s">
        <v>94</v>
      </c>
      <c r="T39">
        <v>4</v>
      </c>
      <c r="U39">
        <v>2</v>
      </c>
      <c r="V39" t="s">
        <v>82</v>
      </c>
      <c r="W39" t="s">
        <v>235</v>
      </c>
      <c r="X39">
        <v>15</v>
      </c>
      <c r="Y39">
        <v>8</v>
      </c>
      <c r="Z39" t="s">
        <v>236</v>
      </c>
      <c r="AA39" t="s">
        <v>237</v>
      </c>
      <c r="AB39" t="s">
        <v>86</v>
      </c>
      <c r="AC39" t="s">
        <v>87</v>
      </c>
      <c r="AD39" t="s">
        <v>196</v>
      </c>
      <c r="AG39" t="s">
        <v>238</v>
      </c>
      <c r="AH39">
        <v>0</v>
      </c>
      <c r="AI39">
        <v>217</v>
      </c>
      <c r="AJ39">
        <v>21</v>
      </c>
      <c r="AK39">
        <v>511</v>
      </c>
      <c r="AL39">
        <v>1.28</v>
      </c>
    </row>
    <row r="40" spans="1:38" x14ac:dyDescent="0.3">
      <c r="A40" t="s">
        <v>198</v>
      </c>
      <c r="B40">
        <v>113931</v>
      </c>
      <c r="C40">
        <v>1</v>
      </c>
      <c r="D40" t="s">
        <v>220</v>
      </c>
      <c r="E40" t="s">
        <v>221</v>
      </c>
      <c r="F40">
        <v>508</v>
      </c>
      <c r="G40">
        <v>25.57</v>
      </c>
      <c r="H40">
        <v>84.53</v>
      </c>
      <c r="I40">
        <v>18.100000000000001</v>
      </c>
      <c r="J40">
        <v>59.84</v>
      </c>
      <c r="K40">
        <v>164</v>
      </c>
      <c r="L40">
        <v>27000</v>
      </c>
      <c r="M40">
        <v>4</v>
      </c>
      <c r="N40">
        <v>24000</v>
      </c>
      <c r="O40" t="s">
        <v>101</v>
      </c>
      <c r="T40">
        <v>3</v>
      </c>
      <c r="U40">
        <v>2</v>
      </c>
      <c r="V40" t="s">
        <v>82</v>
      </c>
      <c r="W40" t="s">
        <v>153</v>
      </c>
      <c r="X40">
        <v>20</v>
      </c>
      <c r="Y40">
        <v>13</v>
      </c>
      <c r="Z40" t="s">
        <v>103</v>
      </c>
      <c r="AA40" t="s">
        <v>104</v>
      </c>
      <c r="AB40" t="s">
        <v>86</v>
      </c>
      <c r="AC40" t="s">
        <v>87</v>
      </c>
      <c r="AD40" t="s">
        <v>88</v>
      </c>
      <c r="AG40" t="s">
        <v>105</v>
      </c>
      <c r="AH40">
        <v>0</v>
      </c>
      <c r="AI40">
        <v>220</v>
      </c>
      <c r="AJ40">
        <v>17</v>
      </c>
      <c r="AK40">
        <v>968</v>
      </c>
      <c r="AL40">
        <v>1.4</v>
      </c>
    </row>
    <row r="41" spans="1:38" x14ac:dyDescent="0.3">
      <c r="A41" t="s">
        <v>239</v>
      </c>
      <c r="B41">
        <v>115684</v>
      </c>
      <c r="C41">
        <v>1</v>
      </c>
      <c r="D41" t="s">
        <v>240</v>
      </c>
      <c r="E41" t="s">
        <v>241</v>
      </c>
      <c r="F41">
        <v>842</v>
      </c>
      <c r="G41">
        <v>35.49</v>
      </c>
      <c r="H41">
        <v>117.35</v>
      </c>
      <c r="I41">
        <v>25.59</v>
      </c>
      <c r="J41">
        <v>84.62</v>
      </c>
      <c r="K41">
        <v>376</v>
      </c>
      <c r="L41">
        <v>22500</v>
      </c>
      <c r="M41">
        <v>7</v>
      </c>
      <c r="N41">
        <v>20000</v>
      </c>
      <c r="O41" t="s">
        <v>94</v>
      </c>
      <c r="T41">
        <v>3</v>
      </c>
      <c r="U41">
        <v>2</v>
      </c>
      <c r="V41" t="s">
        <v>82</v>
      </c>
      <c r="W41">
        <v>103</v>
      </c>
      <c r="X41">
        <v>19</v>
      </c>
      <c r="Y41">
        <v>12</v>
      </c>
      <c r="Z41" t="s">
        <v>149</v>
      </c>
      <c r="AA41" t="s">
        <v>150</v>
      </c>
      <c r="AB41" t="s">
        <v>86</v>
      </c>
      <c r="AC41" t="s">
        <v>87</v>
      </c>
      <c r="AD41" t="s">
        <v>88</v>
      </c>
      <c r="AG41" t="s">
        <v>151</v>
      </c>
      <c r="AH41">
        <v>0</v>
      </c>
      <c r="AI41">
        <v>227</v>
      </c>
      <c r="AJ41">
        <v>0</v>
      </c>
      <c r="AK41">
        <v>0</v>
      </c>
      <c r="AL41">
        <v>0</v>
      </c>
    </row>
    <row r="42" spans="1:38" x14ac:dyDescent="0.3">
      <c r="A42" t="s">
        <v>242</v>
      </c>
      <c r="B42">
        <v>125047</v>
      </c>
      <c r="C42">
        <v>3</v>
      </c>
      <c r="D42" t="s">
        <v>243</v>
      </c>
      <c r="E42" t="s">
        <v>244</v>
      </c>
      <c r="F42">
        <v>936</v>
      </c>
      <c r="G42">
        <v>33.76</v>
      </c>
      <c r="H42">
        <v>111.62</v>
      </c>
      <c r="I42">
        <v>25.7</v>
      </c>
      <c r="J42">
        <v>84.98</v>
      </c>
      <c r="K42">
        <v>272</v>
      </c>
      <c r="L42">
        <v>55534</v>
      </c>
      <c r="M42">
        <v>11</v>
      </c>
      <c r="N42">
        <v>37000</v>
      </c>
      <c r="O42" t="s">
        <v>94</v>
      </c>
      <c r="T42">
        <v>3</v>
      </c>
      <c r="U42">
        <v>2</v>
      </c>
      <c r="V42" t="s">
        <v>82</v>
      </c>
      <c r="W42" t="s">
        <v>245</v>
      </c>
      <c r="X42">
        <v>20</v>
      </c>
      <c r="Y42">
        <v>14</v>
      </c>
      <c r="Z42" t="s">
        <v>246</v>
      </c>
      <c r="AA42" t="s">
        <v>247</v>
      </c>
      <c r="AB42" t="s">
        <v>86</v>
      </c>
      <c r="AC42" t="s">
        <v>87</v>
      </c>
      <c r="AD42" t="s">
        <v>131</v>
      </c>
      <c r="AG42" t="s">
        <v>248</v>
      </c>
      <c r="AH42">
        <v>0</v>
      </c>
      <c r="AI42">
        <v>283</v>
      </c>
      <c r="AJ42">
        <v>21</v>
      </c>
      <c r="AK42">
        <v>927</v>
      </c>
      <c r="AL42">
        <v>1.22</v>
      </c>
    </row>
    <row r="43" spans="1:38" x14ac:dyDescent="0.3">
      <c r="A43" t="s">
        <v>242</v>
      </c>
      <c r="B43">
        <v>107637</v>
      </c>
      <c r="C43">
        <v>4</v>
      </c>
      <c r="D43" t="s">
        <v>249</v>
      </c>
      <c r="E43" t="s">
        <v>193</v>
      </c>
      <c r="F43">
        <v>653</v>
      </c>
      <c r="G43">
        <v>33.71</v>
      </c>
      <c r="H43">
        <v>111.46</v>
      </c>
      <c r="I43">
        <v>25.7</v>
      </c>
      <c r="J43">
        <v>84.99</v>
      </c>
      <c r="K43">
        <v>245</v>
      </c>
      <c r="L43">
        <v>49000</v>
      </c>
      <c r="M43">
        <v>12</v>
      </c>
      <c r="N43">
        <v>35000</v>
      </c>
      <c r="O43">
        <v>6</v>
      </c>
      <c r="T43">
        <v>3</v>
      </c>
      <c r="U43">
        <v>1</v>
      </c>
      <c r="V43" t="s">
        <v>190</v>
      </c>
      <c r="W43">
        <v>94</v>
      </c>
      <c r="X43">
        <v>15</v>
      </c>
      <c r="Y43">
        <v>10</v>
      </c>
      <c r="Z43" t="s">
        <v>250</v>
      </c>
      <c r="AA43" t="s">
        <v>251</v>
      </c>
      <c r="AB43" t="s">
        <v>86</v>
      </c>
      <c r="AC43" t="s">
        <v>87</v>
      </c>
      <c r="AD43" t="s">
        <v>196</v>
      </c>
      <c r="AG43" t="s">
        <v>252</v>
      </c>
      <c r="AH43">
        <v>0</v>
      </c>
      <c r="AI43">
        <v>336</v>
      </c>
      <c r="AJ43">
        <v>32</v>
      </c>
      <c r="AK43">
        <v>242</v>
      </c>
      <c r="AL43">
        <v>0.65</v>
      </c>
    </row>
    <row r="44" spans="1:38" x14ac:dyDescent="0.3">
      <c r="A44" t="s">
        <v>242</v>
      </c>
      <c r="B44">
        <v>104263</v>
      </c>
      <c r="C44">
        <v>1</v>
      </c>
      <c r="D44" t="s">
        <v>253</v>
      </c>
      <c r="E44" t="s">
        <v>254</v>
      </c>
      <c r="F44">
        <v>482</v>
      </c>
      <c r="G44">
        <v>32.79</v>
      </c>
      <c r="H44">
        <v>108.42</v>
      </c>
      <c r="I44">
        <v>25.69</v>
      </c>
      <c r="J44">
        <v>84.94</v>
      </c>
      <c r="K44">
        <v>72</v>
      </c>
      <c r="L44">
        <v>46000</v>
      </c>
      <c r="M44">
        <v>6</v>
      </c>
      <c r="N44">
        <v>33000</v>
      </c>
      <c r="O44">
        <v>12</v>
      </c>
      <c r="T44">
        <v>4</v>
      </c>
      <c r="U44">
        <v>2</v>
      </c>
      <c r="V44" t="s">
        <v>82</v>
      </c>
      <c r="W44" t="s">
        <v>255</v>
      </c>
      <c r="X44">
        <v>24</v>
      </c>
      <c r="Y44">
        <v>24</v>
      </c>
      <c r="Z44" t="s">
        <v>194</v>
      </c>
      <c r="AA44" t="s">
        <v>195</v>
      </c>
      <c r="AB44" t="s">
        <v>86</v>
      </c>
      <c r="AC44" t="s">
        <v>87</v>
      </c>
      <c r="AD44" t="s">
        <v>196</v>
      </c>
      <c r="AG44" t="s">
        <v>197</v>
      </c>
      <c r="AH44">
        <v>0</v>
      </c>
      <c r="AI44">
        <v>962</v>
      </c>
      <c r="AJ44">
        <v>69</v>
      </c>
      <c r="AK44">
        <v>212</v>
      </c>
      <c r="AL44">
        <v>1.68</v>
      </c>
    </row>
    <row r="45" spans="1:38" x14ac:dyDescent="0.3">
      <c r="A45" t="s">
        <v>242</v>
      </c>
      <c r="B45">
        <v>105372</v>
      </c>
      <c r="C45">
        <v>1</v>
      </c>
      <c r="D45" t="s">
        <v>256</v>
      </c>
      <c r="E45" t="s">
        <v>257</v>
      </c>
      <c r="F45">
        <v>526</v>
      </c>
      <c r="G45">
        <v>33.4</v>
      </c>
      <c r="H45">
        <v>110.42</v>
      </c>
      <c r="I45">
        <v>25.7</v>
      </c>
      <c r="J45">
        <v>84.98</v>
      </c>
      <c r="K45">
        <v>129</v>
      </c>
      <c r="L45">
        <v>45500</v>
      </c>
      <c r="M45">
        <v>8</v>
      </c>
      <c r="N45">
        <v>35000</v>
      </c>
      <c r="O45">
        <v>18</v>
      </c>
      <c r="T45">
        <v>3</v>
      </c>
      <c r="U45">
        <v>2</v>
      </c>
      <c r="V45" t="s">
        <v>82</v>
      </c>
      <c r="W45">
        <v>116</v>
      </c>
      <c r="X45">
        <v>24</v>
      </c>
      <c r="Y45">
        <v>24</v>
      </c>
      <c r="Z45" t="s">
        <v>258</v>
      </c>
      <c r="AA45" t="s">
        <v>259</v>
      </c>
      <c r="AB45" t="s">
        <v>86</v>
      </c>
      <c r="AC45" t="s">
        <v>87</v>
      </c>
      <c r="AD45" t="s">
        <v>196</v>
      </c>
      <c r="AG45" t="s">
        <v>260</v>
      </c>
      <c r="AH45">
        <v>0</v>
      </c>
      <c r="AI45">
        <v>905</v>
      </c>
      <c r="AJ45">
        <v>69</v>
      </c>
      <c r="AK45">
        <v>121</v>
      </c>
      <c r="AL45">
        <v>1.51</v>
      </c>
    </row>
    <row r="46" spans="1:38" x14ac:dyDescent="0.3">
      <c r="A46" t="s">
        <v>242</v>
      </c>
      <c r="B46">
        <v>107637</v>
      </c>
      <c r="C46">
        <v>1</v>
      </c>
      <c r="D46" t="s">
        <v>249</v>
      </c>
      <c r="E46" t="s">
        <v>193</v>
      </c>
      <c r="F46">
        <v>653</v>
      </c>
      <c r="G46">
        <v>29.7</v>
      </c>
      <c r="H46">
        <v>98.2</v>
      </c>
      <c r="I46">
        <v>22.77</v>
      </c>
      <c r="J46">
        <v>75.3</v>
      </c>
      <c r="K46">
        <v>221</v>
      </c>
      <c r="L46">
        <v>42000</v>
      </c>
      <c r="M46" t="s">
        <v>101</v>
      </c>
      <c r="N46">
        <v>30000</v>
      </c>
      <c r="O46">
        <v>3</v>
      </c>
      <c r="T46">
        <v>2</v>
      </c>
      <c r="U46">
        <v>1</v>
      </c>
      <c r="V46" t="s">
        <v>190</v>
      </c>
      <c r="W46" t="s">
        <v>261</v>
      </c>
      <c r="X46">
        <v>15</v>
      </c>
      <c r="Y46">
        <v>10</v>
      </c>
      <c r="Z46" t="s">
        <v>250</v>
      </c>
      <c r="AA46" t="s">
        <v>251</v>
      </c>
      <c r="AB46" t="s">
        <v>86</v>
      </c>
      <c r="AC46" t="s">
        <v>87</v>
      </c>
      <c r="AD46" t="s">
        <v>196</v>
      </c>
      <c r="AG46" t="s">
        <v>252</v>
      </c>
      <c r="AH46">
        <v>0</v>
      </c>
      <c r="AI46">
        <v>336</v>
      </c>
      <c r="AJ46">
        <v>32</v>
      </c>
      <c r="AK46">
        <v>242</v>
      </c>
      <c r="AL46">
        <v>0.65</v>
      </c>
    </row>
    <row r="47" spans="1:38" x14ac:dyDescent="0.3">
      <c r="A47" t="s">
        <v>242</v>
      </c>
      <c r="B47">
        <v>125047</v>
      </c>
      <c r="C47">
        <v>1</v>
      </c>
      <c r="D47" t="s">
        <v>243</v>
      </c>
      <c r="E47" t="s">
        <v>244</v>
      </c>
      <c r="F47">
        <v>936</v>
      </c>
      <c r="G47">
        <v>24.2</v>
      </c>
      <c r="H47">
        <v>80</v>
      </c>
      <c r="I47">
        <v>18.13</v>
      </c>
      <c r="J47">
        <v>59.96</v>
      </c>
      <c r="K47">
        <v>312</v>
      </c>
      <c r="L47">
        <v>40000</v>
      </c>
      <c r="M47">
        <v>20</v>
      </c>
      <c r="N47">
        <v>28000</v>
      </c>
      <c r="O47" t="s">
        <v>94</v>
      </c>
      <c r="T47">
        <v>3</v>
      </c>
      <c r="U47">
        <v>2</v>
      </c>
      <c r="V47" t="s">
        <v>82</v>
      </c>
      <c r="W47" t="s">
        <v>262</v>
      </c>
      <c r="X47">
        <v>20</v>
      </c>
      <c r="Y47">
        <v>14</v>
      </c>
      <c r="Z47" t="s">
        <v>246</v>
      </c>
      <c r="AA47" t="s">
        <v>247</v>
      </c>
      <c r="AB47" t="s">
        <v>86</v>
      </c>
      <c r="AC47" t="s">
        <v>87</v>
      </c>
      <c r="AD47" t="s">
        <v>131</v>
      </c>
      <c r="AG47" t="s">
        <v>248</v>
      </c>
      <c r="AH47">
        <v>0</v>
      </c>
      <c r="AI47">
        <v>283</v>
      </c>
      <c r="AJ47">
        <v>21</v>
      </c>
      <c r="AK47">
        <v>927</v>
      </c>
      <c r="AL47">
        <v>1.22</v>
      </c>
    </row>
    <row r="48" spans="1:38" x14ac:dyDescent="0.3">
      <c r="A48" t="s">
        <v>242</v>
      </c>
      <c r="B48">
        <v>128279</v>
      </c>
      <c r="C48">
        <v>1</v>
      </c>
      <c r="D48" t="s">
        <v>263</v>
      </c>
      <c r="E48" t="s">
        <v>264</v>
      </c>
      <c r="F48">
        <v>639</v>
      </c>
      <c r="G48">
        <v>26.8</v>
      </c>
      <c r="H48">
        <v>88.6</v>
      </c>
      <c r="I48">
        <v>18.12</v>
      </c>
      <c r="J48">
        <v>59.93</v>
      </c>
      <c r="K48">
        <v>337</v>
      </c>
      <c r="L48">
        <v>32000</v>
      </c>
      <c r="M48" t="s">
        <v>101</v>
      </c>
      <c r="N48">
        <v>24000</v>
      </c>
      <c r="O48" t="s">
        <v>101</v>
      </c>
      <c r="T48">
        <v>3</v>
      </c>
      <c r="U48">
        <v>2</v>
      </c>
      <c r="V48" t="s">
        <v>82</v>
      </c>
      <c r="W48" t="s">
        <v>265</v>
      </c>
      <c r="X48">
        <v>20</v>
      </c>
      <c r="Y48">
        <v>16</v>
      </c>
      <c r="Z48" t="s">
        <v>266</v>
      </c>
      <c r="AA48" t="s">
        <v>267</v>
      </c>
      <c r="AB48" t="s">
        <v>86</v>
      </c>
      <c r="AC48" t="s">
        <v>87</v>
      </c>
      <c r="AD48" t="s">
        <v>196</v>
      </c>
      <c r="AG48" t="s">
        <v>268</v>
      </c>
      <c r="AH48">
        <v>0</v>
      </c>
      <c r="AI48">
        <v>214</v>
      </c>
      <c r="AJ48">
        <v>19</v>
      </c>
      <c r="AK48">
        <v>753</v>
      </c>
      <c r="AL48">
        <v>1.32</v>
      </c>
    </row>
    <row r="49" spans="1:38" x14ac:dyDescent="0.3">
      <c r="A49" t="s">
        <v>269</v>
      </c>
      <c r="B49">
        <v>125048</v>
      </c>
      <c r="C49">
        <v>1</v>
      </c>
      <c r="D49" t="s">
        <v>270</v>
      </c>
      <c r="E49" t="s">
        <v>271</v>
      </c>
      <c r="F49">
        <v>838</v>
      </c>
      <c r="G49">
        <v>32.96</v>
      </c>
      <c r="H49">
        <v>108.96</v>
      </c>
      <c r="I49">
        <v>25.7</v>
      </c>
      <c r="J49">
        <v>84.98</v>
      </c>
      <c r="K49">
        <v>483</v>
      </c>
      <c r="L49">
        <v>48220</v>
      </c>
      <c r="M49" t="s">
        <v>101</v>
      </c>
      <c r="N49">
        <v>36000</v>
      </c>
      <c r="O49">
        <v>17</v>
      </c>
      <c r="T49">
        <v>2</v>
      </c>
      <c r="U49">
        <v>1</v>
      </c>
      <c r="V49" t="s">
        <v>190</v>
      </c>
      <c r="W49">
        <v>51</v>
      </c>
      <c r="X49">
        <v>15</v>
      </c>
      <c r="Y49">
        <v>10</v>
      </c>
      <c r="Z49" t="s">
        <v>272</v>
      </c>
      <c r="AA49" t="s">
        <v>273</v>
      </c>
      <c r="AB49" t="s">
        <v>86</v>
      </c>
      <c r="AC49" t="s">
        <v>87</v>
      </c>
      <c r="AD49" t="s">
        <v>131</v>
      </c>
      <c r="AG49" t="s">
        <v>274</v>
      </c>
      <c r="AH49">
        <v>0</v>
      </c>
      <c r="AI49">
        <v>320</v>
      </c>
      <c r="AJ49">
        <v>27</v>
      </c>
      <c r="AK49">
        <v>130</v>
      </c>
      <c r="AL49">
        <v>0.6</v>
      </c>
    </row>
    <row r="50" spans="1:38" x14ac:dyDescent="0.3">
      <c r="A50" t="s">
        <v>275</v>
      </c>
      <c r="B50">
        <v>120251</v>
      </c>
      <c r="C50">
        <v>1</v>
      </c>
      <c r="D50" t="s">
        <v>276</v>
      </c>
      <c r="E50" t="s">
        <v>127</v>
      </c>
      <c r="F50">
        <v>348</v>
      </c>
      <c r="G50">
        <v>32.76</v>
      </c>
      <c r="H50">
        <v>108.32</v>
      </c>
      <c r="I50">
        <v>25.69</v>
      </c>
      <c r="J50">
        <v>84.93</v>
      </c>
      <c r="K50">
        <v>203</v>
      </c>
      <c r="L50">
        <v>39000</v>
      </c>
      <c r="M50">
        <v>6</v>
      </c>
      <c r="N50">
        <v>32000</v>
      </c>
      <c r="O50">
        <v>13</v>
      </c>
      <c r="T50">
        <v>3</v>
      </c>
      <c r="U50">
        <v>1</v>
      </c>
      <c r="V50" t="s">
        <v>82</v>
      </c>
      <c r="W50">
        <v>61</v>
      </c>
      <c r="X50">
        <v>5</v>
      </c>
      <c r="Y50">
        <v>5</v>
      </c>
      <c r="Z50" t="s">
        <v>277</v>
      </c>
      <c r="AA50" t="s">
        <v>278</v>
      </c>
      <c r="AB50" t="s">
        <v>86</v>
      </c>
      <c r="AC50" t="s">
        <v>87</v>
      </c>
      <c r="AD50" t="s">
        <v>131</v>
      </c>
      <c r="AG50" t="s">
        <v>279</v>
      </c>
      <c r="AH50">
        <v>0</v>
      </c>
      <c r="AI50">
        <v>0</v>
      </c>
      <c r="AJ50">
        <v>0</v>
      </c>
      <c r="AK50">
        <v>0</v>
      </c>
      <c r="AL50">
        <v>0</v>
      </c>
    </row>
    <row r="51" spans="1:38" x14ac:dyDescent="0.3">
      <c r="A51" t="s">
        <v>275</v>
      </c>
      <c r="B51">
        <v>120250</v>
      </c>
      <c r="C51">
        <v>1</v>
      </c>
      <c r="D51" t="s">
        <v>280</v>
      </c>
      <c r="E51" t="s">
        <v>127</v>
      </c>
      <c r="F51">
        <v>571</v>
      </c>
      <c r="G51">
        <v>32.46</v>
      </c>
      <c r="H51">
        <v>107.31</v>
      </c>
      <c r="I51">
        <v>25.69</v>
      </c>
      <c r="J51">
        <v>84.93</v>
      </c>
      <c r="K51">
        <v>421</v>
      </c>
      <c r="L51">
        <v>37000</v>
      </c>
      <c r="M51">
        <v>7</v>
      </c>
      <c r="N51">
        <v>30000</v>
      </c>
      <c r="O51">
        <v>8</v>
      </c>
      <c r="T51">
        <v>3</v>
      </c>
      <c r="U51">
        <v>2</v>
      </c>
      <c r="V51" t="s">
        <v>82</v>
      </c>
      <c r="W51">
        <v>158</v>
      </c>
      <c r="X51">
        <v>7</v>
      </c>
      <c r="Y51">
        <v>6</v>
      </c>
      <c r="Z51" t="s">
        <v>281</v>
      </c>
      <c r="AA51" t="s">
        <v>282</v>
      </c>
      <c r="AB51" t="s">
        <v>86</v>
      </c>
      <c r="AC51" t="s">
        <v>87</v>
      </c>
      <c r="AD51" t="s">
        <v>131</v>
      </c>
      <c r="AG51" t="s">
        <v>283</v>
      </c>
      <c r="AH51">
        <v>0</v>
      </c>
      <c r="AI51">
        <v>249</v>
      </c>
      <c r="AJ51">
        <v>55</v>
      </c>
      <c r="AK51">
        <v>18</v>
      </c>
      <c r="AL51">
        <v>1.06</v>
      </c>
    </row>
    <row r="52" spans="1:38" x14ac:dyDescent="0.3">
      <c r="A52" t="s">
        <v>275</v>
      </c>
      <c r="B52">
        <v>111288</v>
      </c>
      <c r="C52">
        <v>4</v>
      </c>
      <c r="D52" t="s">
        <v>284</v>
      </c>
      <c r="E52" t="s">
        <v>285</v>
      </c>
      <c r="F52">
        <v>724</v>
      </c>
      <c r="G52">
        <v>34.53</v>
      </c>
      <c r="H52">
        <v>114.18</v>
      </c>
      <c r="I52">
        <v>25.68</v>
      </c>
      <c r="J52">
        <v>84.9</v>
      </c>
      <c r="K52">
        <v>217</v>
      </c>
      <c r="L52">
        <v>36000</v>
      </c>
      <c r="M52">
        <v>6</v>
      </c>
      <c r="N52">
        <v>27000</v>
      </c>
      <c r="O52">
        <v>5</v>
      </c>
      <c r="T52">
        <v>3</v>
      </c>
      <c r="U52">
        <v>2</v>
      </c>
      <c r="V52" t="s">
        <v>82</v>
      </c>
      <c r="W52" t="s">
        <v>286</v>
      </c>
      <c r="X52">
        <v>29</v>
      </c>
      <c r="Y52">
        <v>15</v>
      </c>
      <c r="Z52" t="s">
        <v>287</v>
      </c>
      <c r="AA52" t="s">
        <v>288</v>
      </c>
      <c r="AB52" t="s">
        <v>86</v>
      </c>
      <c r="AC52" t="s">
        <v>87</v>
      </c>
      <c r="AD52" t="s">
        <v>88</v>
      </c>
      <c r="AG52" t="s">
        <v>289</v>
      </c>
      <c r="AH52">
        <v>0</v>
      </c>
      <c r="AI52">
        <v>228</v>
      </c>
      <c r="AJ52">
        <v>15</v>
      </c>
      <c r="AK52">
        <v>1171</v>
      </c>
      <c r="AL52">
        <v>1.18</v>
      </c>
    </row>
    <row r="53" spans="1:38" x14ac:dyDescent="0.3">
      <c r="A53" t="s">
        <v>290</v>
      </c>
      <c r="B53">
        <v>121588</v>
      </c>
      <c r="C53">
        <v>3</v>
      </c>
      <c r="D53" t="s">
        <v>291</v>
      </c>
      <c r="E53" t="s">
        <v>292</v>
      </c>
      <c r="F53">
        <v>499</v>
      </c>
      <c r="G53">
        <v>34.9</v>
      </c>
      <c r="H53">
        <v>115.39</v>
      </c>
      <c r="I53">
        <v>25.7</v>
      </c>
      <c r="J53">
        <v>84.99</v>
      </c>
      <c r="K53">
        <v>121</v>
      </c>
      <c r="L53">
        <v>42000</v>
      </c>
      <c r="M53">
        <v>5</v>
      </c>
      <c r="N53">
        <v>29000</v>
      </c>
      <c r="O53" t="s">
        <v>101</v>
      </c>
      <c r="T53">
        <v>4</v>
      </c>
      <c r="U53">
        <v>2</v>
      </c>
      <c r="V53" t="s">
        <v>82</v>
      </c>
      <c r="W53" t="s">
        <v>293</v>
      </c>
      <c r="X53">
        <v>23</v>
      </c>
      <c r="Y53">
        <v>20</v>
      </c>
      <c r="Z53" t="s">
        <v>294</v>
      </c>
      <c r="AA53" t="s">
        <v>295</v>
      </c>
      <c r="AB53" t="s">
        <v>86</v>
      </c>
      <c r="AC53" t="s">
        <v>87</v>
      </c>
      <c r="AD53" t="s">
        <v>131</v>
      </c>
      <c r="AG53" t="s">
        <v>296</v>
      </c>
      <c r="AH53">
        <v>0</v>
      </c>
      <c r="AI53">
        <v>291</v>
      </c>
      <c r="AJ53">
        <v>15</v>
      </c>
      <c r="AK53">
        <v>490</v>
      </c>
      <c r="AL53">
        <v>1.99</v>
      </c>
    </row>
    <row r="54" spans="1:38" x14ac:dyDescent="0.3">
      <c r="A54" t="s">
        <v>290</v>
      </c>
      <c r="B54">
        <v>110694</v>
      </c>
      <c r="C54">
        <v>5</v>
      </c>
      <c r="D54" t="s">
        <v>297</v>
      </c>
      <c r="E54" t="s">
        <v>285</v>
      </c>
      <c r="F54">
        <v>996</v>
      </c>
      <c r="G54">
        <v>33.22</v>
      </c>
      <c r="H54">
        <v>109.82</v>
      </c>
      <c r="I54">
        <v>25.67</v>
      </c>
      <c r="J54">
        <v>84.86</v>
      </c>
      <c r="K54">
        <v>169</v>
      </c>
      <c r="L54">
        <v>41000</v>
      </c>
      <c r="M54">
        <v>4</v>
      </c>
      <c r="N54">
        <v>27000</v>
      </c>
      <c r="O54" t="s">
        <v>81</v>
      </c>
      <c r="T54">
        <v>3</v>
      </c>
      <c r="U54">
        <v>1</v>
      </c>
      <c r="V54" t="s">
        <v>82</v>
      </c>
      <c r="W54" t="s">
        <v>83</v>
      </c>
      <c r="X54">
        <v>15</v>
      </c>
      <c r="Y54">
        <v>14</v>
      </c>
      <c r="Z54" t="s">
        <v>298</v>
      </c>
      <c r="AA54" t="s">
        <v>299</v>
      </c>
      <c r="AB54" t="s">
        <v>86</v>
      </c>
      <c r="AC54" t="s">
        <v>87</v>
      </c>
      <c r="AD54" t="s">
        <v>88</v>
      </c>
      <c r="AG54" t="s">
        <v>300</v>
      </c>
      <c r="AH54">
        <v>0</v>
      </c>
      <c r="AI54">
        <v>202</v>
      </c>
      <c r="AJ54">
        <v>19</v>
      </c>
      <c r="AK54">
        <v>116</v>
      </c>
      <c r="AL54">
        <v>0.6</v>
      </c>
    </row>
    <row r="55" spans="1:38" x14ac:dyDescent="0.3">
      <c r="A55" t="s">
        <v>290</v>
      </c>
      <c r="B55">
        <v>112708</v>
      </c>
      <c r="C55">
        <v>7</v>
      </c>
      <c r="D55" t="s">
        <v>301</v>
      </c>
      <c r="E55" t="s">
        <v>100</v>
      </c>
      <c r="F55">
        <v>839</v>
      </c>
      <c r="G55">
        <v>35.01</v>
      </c>
      <c r="H55">
        <v>115.76</v>
      </c>
      <c r="I55">
        <v>25.7</v>
      </c>
      <c r="J55">
        <v>84.99</v>
      </c>
      <c r="K55">
        <v>322</v>
      </c>
      <c r="L55">
        <v>38000</v>
      </c>
      <c r="M55">
        <v>14</v>
      </c>
      <c r="N55">
        <v>32000</v>
      </c>
      <c r="O55">
        <v>11</v>
      </c>
      <c r="T55">
        <v>3</v>
      </c>
      <c r="U55">
        <v>2</v>
      </c>
      <c r="V55" t="s">
        <v>82</v>
      </c>
      <c r="W55">
        <v>115</v>
      </c>
      <c r="X55">
        <v>15</v>
      </c>
      <c r="Y55">
        <v>12</v>
      </c>
      <c r="Z55" t="s">
        <v>302</v>
      </c>
      <c r="AA55" t="s">
        <v>303</v>
      </c>
      <c r="AB55" t="s">
        <v>86</v>
      </c>
      <c r="AC55" t="s">
        <v>87</v>
      </c>
      <c r="AD55" t="s">
        <v>88</v>
      </c>
      <c r="AG55" t="s">
        <v>304</v>
      </c>
      <c r="AH55">
        <v>0</v>
      </c>
      <c r="AI55">
        <v>198</v>
      </c>
      <c r="AJ55">
        <v>20</v>
      </c>
      <c r="AK55">
        <v>425</v>
      </c>
      <c r="AL55">
        <v>1.01</v>
      </c>
    </row>
    <row r="56" spans="1:38" x14ac:dyDescent="0.3">
      <c r="A56" t="s">
        <v>290</v>
      </c>
      <c r="B56">
        <v>109371</v>
      </c>
      <c r="C56">
        <v>4</v>
      </c>
      <c r="D56" t="s">
        <v>305</v>
      </c>
      <c r="E56" t="s">
        <v>200</v>
      </c>
      <c r="F56">
        <v>566</v>
      </c>
      <c r="G56">
        <v>33.54</v>
      </c>
      <c r="H56">
        <v>110.9</v>
      </c>
      <c r="I56">
        <v>25.7</v>
      </c>
      <c r="J56">
        <v>84.98</v>
      </c>
      <c r="K56">
        <v>92</v>
      </c>
      <c r="L56">
        <v>37000</v>
      </c>
      <c r="M56">
        <v>16</v>
      </c>
      <c r="N56">
        <v>29000</v>
      </c>
      <c r="O56">
        <v>16</v>
      </c>
      <c r="T56">
        <v>3</v>
      </c>
      <c r="U56">
        <v>1</v>
      </c>
      <c r="V56" t="s">
        <v>82</v>
      </c>
      <c r="W56">
        <v>77</v>
      </c>
      <c r="X56">
        <v>15</v>
      </c>
      <c r="Y56">
        <v>15</v>
      </c>
      <c r="Z56" t="s">
        <v>306</v>
      </c>
      <c r="AA56" t="s">
        <v>307</v>
      </c>
      <c r="AB56" t="s">
        <v>86</v>
      </c>
      <c r="AC56" t="s">
        <v>87</v>
      </c>
      <c r="AD56" t="s">
        <v>196</v>
      </c>
      <c r="AG56" t="s">
        <v>308</v>
      </c>
      <c r="AH56">
        <v>0</v>
      </c>
      <c r="AI56">
        <v>207</v>
      </c>
      <c r="AJ56">
        <v>21</v>
      </c>
      <c r="AK56">
        <v>720</v>
      </c>
      <c r="AL56">
        <v>0.96</v>
      </c>
    </row>
    <row r="57" spans="1:38" x14ac:dyDescent="0.3">
      <c r="A57" t="s">
        <v>290</v>
      </c>
      <c r="B57">
        <v>110694</v>
      </c>
      <c r="C57">
        <v>4</v>
      </c>
      <c r="D57" t="s">
        <v>297</v>
      </c>
      <c r="E57" t="s">
        <v>285</v>
      </c>
      <c r="F57">
        <v>996</v>
      </c>
      <c r="G57">
        <v>29.82</v>
      </c>
      <c r="H57">
        <v>98.58</v>
      </c>
      <c r="I57">
        <v>22.04</v>
      </c>
      <c r="J57">
        <v>72.86</v>
      </c>
      <c r="K57">
        <v>323</v>
      </c>
      <c r="L57">
        <v>35500</v>
      </c>
      <c r="M57">
        <v>12</v>
      </c>
      <c r="N57">
        <v>29000</v>
      </c>
      <c r="O57" t="s">
        <v>94</v>
      </c>
      <c r="T57">
        <v>3</v>
      </c>
      <c r="U57">
        <v>1</v>
      </c>
      <c r="V57" t="s">
        <v>82</v>
      </c>
      <c r="W57" t="s">
        <v>309</v>
      </c>
      <c r="X57">
        <v>15</v>
      </c>
      <c r="Y57">
        <v>14</v>
      </c>
      <c r="Z57" t="s">
        <v>298</v>
      </c>
      <c r="AA57" t="s">
        <v>299</v>
      </c>
      <c r="AB57" t="s">
        <v>86</v>
      </c>
      <c r="AC57" t="s">
        <v>87</v>
      </c>
      <c r="AD57" t="s">
        <v>88</v>
      </c>
      <c r="AG57" t="s">
        <v>300</v>
      </c>
      <c r="AH57">
        <v>0</v>
      </c>
      <c r="AI57">
        <v>202</v>
      </c>
      <c r="AJ57">
        <v>19</v>
      </c>
      <c r="AK57">
        <v>116</v>
      </c>
      <c r="AL57">
        <v>0.6</v>
      </c>
    </row>
    <row r="58" spans="1:38" x14ac:dyDescent="0.3">
      <c r="A58" t="s">
        <v>290</v>
      </c>
      <c r="B58">
        <v>121588</v>
      </c>
      <c r="C58">
        <v>1</v>
      </c>
      <c r="D58" t="s">
        <v>291</v>
      </c>
      <c r="E58" t="s">
        <v>292</v>
      </c>
      <c r="F58">
        <v>499</v>
      </c>
      <c r="G58">
        <v>25.13</v>
      </c>
      <c r="H58">
        <v>83.09</v>
      </c>
      <c r="I58">
        <v>18.11</v>
      </c>
      <c r="J58">
        <v>59.9</v>
      </c>
      <c r="K58">
        <v>126</v>
      </c>
      <c r="L58">
        <v>32000</v>
      </c>
      <c r="M58">
        <v>7</v>
      </c>
      <c r="N58">
        <v>21000</v>
      </c>
      <c r="O58" t="s">
        <v>101</v>
      </c>
      <c r="T58">
        <v>4</v>
      </c>
      <c r="U58">
        <v>2</v>
      </c>
      <c r="V58" t="s">
        <v>82</v>
      </c>
      <c r="W58" t="s">
        <v>310</v>
      </c>
      <c r="X58">
        <v>23</v>
      </c>
      <c r="Y58">
        <v>20</v>
      </c>
      <c r="Z58" t="s">
        <v>294</v>
      </c>
      <c r="AA58" t="s">
        <v>295</v>
      </c>
      <c r="AB58" t="s">
        <v>86</v>
      </c>
      <c r="AC58" t="s">
        <v>87</v>
      </c>
      <c r="AD58" t="s">
        <v>131</v>
      </c>
      <c r="AG58" t="s">
        <v>296</v>
      </c>
      <c r="AH58">
        <v>0</v>
      </c>
      <c r="AI58">
        <v>291</v>
      </c>
      <c r="AJ58">
        <v>15</v>
      </c>
      <c r="AK58">
        <v>490</v>
      </c>
      <c r="AL58">
        <v>1.99</v>
      </c>
    </row>
    <row r="59" spans="1:38" x14ac:dyDescent="0.3">
      <c r="A59" t="s">
        <v>290</v>
      </c>
      <c r="B59">
        <v>112708</v>
      </c>
      <c r="C59">
        <v>1</v>
      </c>
      <c r="D59" t="s">
        <v>301</v>
      </c>
      <c r="E59" t="s">
        <v>100</v>
      </c>
      <c r="F59">
        <v>839</v>
      </c>
      <c r="G59">
        <v>25.34</v>
      </c>
      <c r="H59">
        <v>83.8</v>
      </c>
      <c r="I59">
        <v>18.13</v>
      </c>
      <c r="J59">
        <v>59.96</v>
      </c>
      <c r="K59">
        <v>74</v>
      </c>
      <c r="L59">
        <v>32000</v>
      </c>
      <c r="M59">
        <v>10</v>
      </c>
      <c r="N59">
        <v>25000</v>
      </c>
      <c r="O59" t="s">
        <v>101</v>
      </c>
      <c r="T59">
        <v>3</v>
      </c>
      <c r="U59">
        <v>1</v>
      </c>
      <c r="V59" t="s">
        <v>82</v>
      </c>
      <c r="W59">
        <v>78</v>
      </c>
      <c r="X59">
        <v>15</v>
      </c>
      <c r="Y59">
        <v>14</v>
      </c>
      <c r="Z59" t="s">
        <v>311</v>
      </c>
      <c r="AA59" t="s">
        <v>312</v>
      </c>
      <c r="AB59" t="s">
        <v>86</v>
      </c>
      <c r="AC59" t="s">
        <v>87</v>
      </c>
      <c r="AD59" t="s">
        <v>88</v>
      </c>
      <c r="AG59" t="s">
        <v>313</v>
      </c>
      <c r="AH59">
        <v>0</v>
      </c>
      <c r="AI59">
        <v>173</v>
      </c>
      <c r="AJ59">
        <v>18</v>
      </c>
      <c r="AK59">
        <v>248</v>
      </c>
      <c r="AL59">
        <v>1.04</v>
      </c>
    </row>
    <row r="60" spans="1:38" x14ac:dyDescent="0.3">
      <c r="A60" t="s">
        <v>290</v>
      </c>
      <c r="B60">
        <v>110694</v>
      </c>
      <c r="C60">
        <v>1</v>
      </c>
      <c r="D60" t="s">
        <v>297</v>
      </c>
      <c r="E60" t="s">
        <v>285</v>
      </c>
      <c r="F60">
        <v>996</v>
      </c>
      <c r="G60">
        <v>25.7</v>
      </c>
      <c r="H60">
        <v>84.96</v>
      </c>
      <c r="I60">
        <v>18.399999999999999</v>
      </c>
      <c r="J60">
        <v>60.84</v>
      </c>
      <c r="K60">
        <v>337</v>
      </c>
      <c r="L60">
        <v>29500</v>
      </c>
      <c r="M60">
        <v>4</v>
      </c>
      <c r="N60">
        <v>24000</v>
      </c>
      <c r="O60" t="s">
        <v>81</v>
      </c>
      <c r="T60">
        <v>2</v>
      </c>
      <c r="U60">
        <v>1</v>
      </c>
      <c r="V60" t="s">
        <v>82</v>
      </c>
      <c r="W60" t="s">
        <v>314</v>
      </c>
      <c r="X60">
        <v>10</v>
      </c>
      <c r="Y60">
        <v>10</v>
      </c>
      <c r="Z60" t="s">
        <v>84</v>
      </c>
      <c r="AA60" t="s">
        <v>85</v>
      </c>
      <c r="AB60" t="s">
        <v>86</v>
      </c>
      <c r="AC60" t="s">
        <v>87</v>
      </c>
      <c r="AD60" t="s">
        <v>88</v>
      </c>
      <c r="AG60" t="s">
        <v>89</v>
      </c>
      <c r="AH60">
        <v>0</v>
      </c>
      <c r="AI60">
        <v>546</v>
      </c>
      <c r="AJ60">
        <v>69</v>
      </c>
      <c r="AK60">
        <v>24</v>
      </c>
      <c r="AL60">
        <v>1</v>
      </c>
    </row>
    <row r="61" spans="1:38" x14ac:dyDescent="0.3">
      <c r="A61" t="s">
        <v>290</v>
      </c>
      <c r="B61">
        <v>109371</v>
      </c>
      <c r="C61">
        <v>1</v>
      </c>
      <c r="D61" t="s">
        <v>305</v>
      </c>
      <c r="E61" t="s">
        <v>200</v>
      </c>
      <c r="F61">
        <v>566</v>
      </c>
      <c r="G61">
        <v>26.58</v>
      </c>
      <c r="H61">
        <v>87.88</v>
      </c>
      <c r="I61">
        <v>18.11</v>
      </c>
      <c r="J61">
        <v>59.9</v>
      </c>
      <c r="K61">
        <v>164</v>
      </c>
      <c r="L61">
        <v>27800</v>
      </c>
      <c r="M61" t="s">
        <v>101</v>
      </c>
      <c r="N61">
        <v>21000</v>
      </c>
      <c r="O61" t="s">
        <v>101</v>
      </c>
      <c r="T61">
        <v>3</v>
      </c>
      <c r="U61">
        <v>2</v>
      </c>
      <c r="V61" t="s">
        <v>190</v>
      </c>
      <c r="W61" t="s">
        <v>315</v>
      </c>
      <c r="X61">
        <v>15</v>
      </c>
      <c r="Y61">
        <v>9</v>
      </c>
      <c r="Z61" t="s">
        <v>316</v>
      </c>
      <c r="AA61" t="s">
        <v>317</v>
      </c>
      <c r="AB61" t="s">
        <v>86</v>
      </c>
      <c r="AC61" t="s">
        <v>87</v>
      </c>
      <c r="AD61" t="s">
        <v>196</v>
      </c>
      <c r="AG61" t="s">
        <v>318</v>
      </c>
      <c r="AH61">
        <v>0</v>
      </c>
      <c r="AI61">
        <v>248</v>
      </c>
      <c r="AJ61">
        <v>23</v>
      </c>
      <c r="AK61">
        <v>1019</v>
      </c>
      <c r="AL61">
        <v>1.33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0</xdr:rowOff>
                  </from>
                  <to>
                    <xdr:col>14</xdr:col>
                    <xdr:colOff>152400</xdr:colOff>
                    <xdr:row>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0</xdr:rowOff>
                  </from>
                  <to>
                    <xdr:col>14</xdr:col>
                    <xdr:colOff>152400</xdr:colOff>
                    <xdr:row>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319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판부면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320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320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321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>IF(E4="","",E4)</f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판부면 남원주코아루미소지움('18.03.,359^)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>IF(A5="","",A5)</f>
        <v/>
      </c>
      <c r="AI5" s="103" t="str">
        <f>IF(E5="","",E5)</f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79</v>
      </c>
      <c r="B6" s="10" t="s">
        <v>322</v>
      </c>
      <c r="C6" s="107">
        <v>359</v>
      </c>
      <c r="D6" s="104">
        <v>110</v>
      </c>
      <c r="E6" s="106">
        <v>33</v>
      </c>
      <c r="F6" s="104">
        <v>80</v>
      </c>
      <c r="G6" s="17">
        <v>24</v>
      </c>
      <c r="H6" s="107">
        <v>157</v>
      </c>
      <c r="I6" s="108">
        <v>33000</v>
      </c>
      <c r="J6" s="108" t="s">
        <v>323</v>
      </c>
      <c r="K6" s="108"/>
      <c r="L6" s="108"/>
      <c r="M6" s="109">
        <f>I6-K6</f>
        <v>33000</v>
      </c>
      <c r="N6" s="4">
        <f>IF(ISERROR(K6/I6),"",K6/I6)</f>
        <v>0</v>
      </c>
      <c r="O6" s="105">
        <f>I6/E6</f>
        <v>1000</v>
      </c>
      <c r="P6" s="105">
        <f>K6/E6</f>
        <v>0</v>
      </c>
      <c r="Q6" s="75">
        <v>2</v>
      </c>
      <c r="R6" s="75">
        <v>1</v>
      </c>
      <c r="S6" s="75" t="s">
        <v>324</v>
      </c>
      <c r="T6" s="5" t="s">
        <v>83</v>
      </c>
      <c r="U6" s="9"/>
      <c r="W6" s="104">
        <f>D6</f>
        <v>110</v>
      </c>
      <c r="X6" s="106">
        <f>E6</f>
        <v>33</v>
      </c>
      <c r="Y6" s="102">
        <f>H6</f>
        <v>157</v>
      </c>
      <c r="Z6" s="109">
        <f>I6</f>
        <v>33000</v>
      </c>
      <c r="AA6" s="109">
        <f>K6</f>
        <v>0</v>
      </c>
      <c r="AB6" s="109">
        <f t="shared" ref="AB6:AD7" si="0">M6</f>
        <v>33000</v>
      </c>
      <c r="AC6" s="4">
        <f t="shared" si="0"/>
        <v>0</v>
      </c>
      <c r="AD6" s="105">
        <f t="shared" si="0"/>
        <v>1000</v>
      </c>
      <c r="AE6" s="75" t="str">
        <f>S6</f>
        <v>계</v>
      </c>
      <c r="AF6" s="75" t="str">
        <f>Q6&amp;"/"&amp;R6</f>
        <v>2/1</v>
      </c>
      <c r="AH6" s="20" t="str">
        <f>IF(A6="","",A6)</f>
        <v>남원주코아루미소지움</v>
      </c>
      <c r="AI6" s="106">
        <f>IF(E6="","",E6)</f>
        <v>33</v>
      </c>
      <c r="AJ6" s="75" t="str">
        <f>IF(AI6="","",$AJ$2)</f>
        <v>A-</v>
      </c>
      <c r="AK6" s="75" t="s">
        <v>13</v>
      </c>
      <c r="AL6" s="75" t="s">
        <v>325</v>
      </c>
      <c r="AM6" s="75" t="s">
        <v>326</v>
      </c>
      <c r="AN6" s="75" t="str">
        <f>IF(AI6="","",$AN$2)</f>
        <v>C</v>
      </c>
      <c r="AO6" s="75" t="str">
        <f>IF(N6="","",IF(N6&gt;=$AO$1/100,"O","X"))</f>
        <v>X</v>
      </c>
      <c r="AP6" s="75" t="str">
        <f>IF(I6="","",IF(I6&lt;=$AP$1,"O","X"))</f>
        <v>O</v>
      </c>
      <c r="AQ6" s="75" t="str">
        <f>IF(O6="","",IF(O6&lt;=$AQ$1,"O","X"))</f>
        <v>O</v>
      </c>
      <c r="AR6" s="75" t="str">
        <f>IF(M6="","",IF(M6&lt;=$AR$1,"O","X"))</f>
        <v>X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X</v>
      </c>
    </row>
    <row r="7" spans="1:48" x14ac:dyDescent="0.3">
      <c r="A7" s="9" t="s">
        <v>79</v>
      </c>
      <c r="B7" s="10" t="s">
        <v>322</v>
      </c>
      <c r="C7" s="107">
        <v>359</v>
      </c>
      <c r="D7" s="104">
        <v>82.4</v>
      </c>
      <c r="E7" s="106">
        <v>25</v>
      </c>
      <c r="F7" s="104">
        <v>60</v>
      </c>
      <c r="G7" s="17">
        <v>18</v>
      </c>
      <c r="H7" s="107">
        <v>126</v>
      </c>
      <c r="I7" s="108">
        <v>28000</v>
      </c>
      <c r="J7" s="108" t="s">
        <v>327</v>
      </c>
      <c r="K7" s="108">
        <v>23000</v>
      </c>
      <c r="L7" s="108" t="s">
        <v>94</v>
      </c>
      <c r="M7" s="109">
        <f>I7-K7</f>
        <v>5000</v>
      </c>
      <c r="N7" s="4">
        <f>IF(ISERROR(K7/I7),"",K7/I7)</f>
        <v>0.8214285714285714</v>
      </c>
      <c r="O7" s="105">
        <f>I7/E7</f>
        <v>1120</v>
      </c>
      <c r="P7" s="105">
        <f>K7/E7</f>
        <v>920</v>
      </c>
      <c r="Q7" s="75">
        <v>2</v>
      </c>
      <c r="R7" s="75">
        <v>1</v>
      </c>
      <c r="S7" s="75" t="s">
        <v>324</v>
      </c>
      <c r="T7" s="5" t="s">
        <v>90</v>
      </c>
      <c r="U7" s="9"/>
      <c r="W7" s="104">
        <f>D7</f>
        <v>82.4</v>
      </c>
      <c r="X7" s="106">
        <f>E7</f>
        <v>25</v>
      </c>
      <c r="Y7" s="102">
        <f>H7</f>
        <v>126</v>
      </c>
      <c r="Z7" s="109">
        <f>I7</f>
        <v>28000</v>
      </c>
      <c r="AA7" s="109">
        <f>K7</f>
        <v>23000</v>
      </c>
      <c r="AB7" s="109">
        <f t="shared" si="0"/>
        <v>5000</v>
      </c>
      <c r="AC7" s="4">
        <f t="shared" si="0"/>
        <v>0.8214285714285714</v>
      </c>
      <c r="AD7" s="105">
        <f t="shared" si="0"/>
        <v>1120</v>
      </c>
      <c r="AE7" s="75" t="str">
        <f>S7</f>
        <v>계</v>
      </c>
      <c r="AF7" s="75" t="str">
        <f>Q7&amp;"/"&amp;R7</f>
        <v>2/1</v>
      </c>
      <c r="AH7" s="20" t="str">
        <f>IF(A7="","",A7)</f>
        <v>남원주코아루미소지움</v>
      </c>
      <c r="AI7" s="106">
        <f>IF(E7="","",E7)</f>
        <v>25</v>
      </c>
      <c r="AJ7" s="75" t="str">
        <f>IF(AI7="","",$AJ$2)</f>
        <v>A-</v>
      </c>
      <c r="AK7" s="75" t="s">
        <v>13</v>
      </c>
      <c r="AL7" s="75" t="s">
        <v>325</v>
      </c>
      <c r="AM7" s="75" t="s">
        <v>326</v>
      </c>
      <c r="AN7" s="75" t="str">
        <f>IF(AI7="","",$AN$2)</f>
        <v>C</v>
      </c>
      <c r="AO7" s="75" t="str">
        <f>IF(N7="","",IF(N7&gt;=$AO$1/100,"O","X"))</f>
        <v>O</v>
      </c>
      <c r="AP7" s="75" t="str">
        <f>IF(I7="","",IF(I7&lt;=$AP$1,"O","X"))</f>
        <v>O</v>
      </c>
      <c r="AQ7" s="75" t="str">
        <f>IF(O7="","",IF(O7&lt;=$AQ$1,"O","X"))</f>
        <v>O</v>
      </c>
      <c r="AR7" s="75" t="str">
        <f>IF(M7="","",IF(M7&lt;=$AR$1,"O","X"))</f>
        <v>O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O</v>
      </c>
      <c r="AV7" s="75" t="str">
        <f>IF(AO7="","",IF(AND(AO7="O",AP7="O",AR7="O",AT7="O",AU7="O"),"후보","X"))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1337" priority="39">
      <formula>AV4="X"</formula>
    </cfRule>
    <cfRule type="expression" dxfId="1336" priority="40">
      <formula>AV4="후보"</formula>
    </cfRule>
  </conditionalFormatting>
  <conditionalFormatting sqref="AC1:AC2 AC4:AC6 N4:N5">
    <cfRule type="cellIs" dxfId="1335" priority="36" operator="greaterThan">
      <formula>0.9</formula>
    </cfRule>
    <cfRule type="cellIs" dxfId="1334" priority="37" operator="greaterThan">
      <formula>0.85</formula>
    </cfRule>
  </conditionalFormatting>
  <conditionalFormatting sqref="N1:N2">
    <cfRule type="cellIs" dxfId="1333" priority="34" operator="greaterThan">
      <formula>0.9</formula>
    </cfRule>
    <cfRule type="cellIs" dxfId="1332" priority="35" operator="greaterThan">
      <formula>0.85</formula>
    </cfRule>
  </conditionalFormatting>
  <conditionalFormatting sqref="N6">
    <cfRule type="cellIs" dxfId="1331" priority="32" operator="greaterThan">
      <formula>0.9</formula>
    </cfRule>
    <cfRule type="cellIs" dxfId="1330" priority="33" operator="greaterThan">
      <formula>0.85</formula>
    </cfRule>
  </conditionalFormatting>
  <conditionalFormatting sqref="E6">
    <cfRule type="expression" dxfId="1329" priority="28">
      <formula>AND(IF(OR($Q6=1,$Q6=2),1,0),IF($X6&lt;=20,1,0))</formula>
    </cfRule>
    <cfRule type="expression" dxfId="1328" priority="29">
      <formula>AND(IF($Q6=2,1,0),IF($X6&lt;30,1,0))</formula>
    </cfRule>
    <cfRule type="expression" dxfId="1327" priority="30">
      <formula>AND(IF($Q6=3,1,0),IF($X6&lt;30,1,0))</formula>
    </cfRule>
    <cfRule type="expression" dxfId="1326" priority="31">
      <formula>AND(IF($Q6=3,1,IF($Q6=4,1,0)),IF($F6&lt;=85,1,0))</formula>
    </cfRule>
  </conditionalFormatting>
  <conditionalFormatting sqref="X6">
    <cfRule type="expression" dxfId="1325" priority="24">
      <formula>AND(IF(OR($Q6=1,$Q6=2),1,0),IF($X6&lt;=20,1,0))</formula>
    </cfRule>
    <cfRule type="expression" dxfId="1324" priority="25">
      <formula>AND(IF($Q6=2,1,0),IF($X6&lt;30,1,0))</formula>
    </cfRule>
    <cfRule type="expression" dxfId="1323" priority="26">
      <formula>AND(IF($Q6=3,1,0),IF($X6&lt;30,1,0))</formula>
    </cfRule>
    <cfRule type="expression" dxfId="1322" priority="27">
      <formula>AND(IF($Q6=3,1,IF($Q6=4,1,0)),IF($F6&lt;=85,1,0))</formula>
    </cfRule>
  </conditionalFormatting>
  <conditionalFormatting sqref="AI6">
    <cfRule type="expression" dxfId="1321" priority="20">
      <formula>AND(IF(OR($Q6=1,$Q6=2),1,0),IF($X6&lt;=20,1,0))</formula>
    </cfRule>
    <cfRule type="expression" dxfId="1320" priority="21">
      <formula>AND(IF($Q6=2,1,0),IF($X6&lt;30,1,0))</formula>
    </cfRule>
    <cfRule type="expression" dxfId="1319" priority="22">
      <formula>AND(IF($Q6=3,1,0),IF($X6&lt;30,1,0))</formula>
    </cfRule>
    <cfRule type="expression" dxfId="1318" priority="23">
      <formula>AND(IF($Q6=3,1,IF($Q6=4,1,0)),IF($F6&lt;=85,1,0))</formula>
    </cfRule>
  </conditionalFormatting>
  <conditionalFormatting sqref="AV7">
    <cfRule type="expression" dxfId="1317" priority="18">
      <formula>AV7="X"</formula>
    </cfRule>
    <cfRule type="expression" dxfId="1316" priority="19">
      <formula>AV7="후보"</formula>
    </cfRule>
  </conditionalFormatting>
  <conditionalFormatting sqref="AC7">
    <cfRule type="cellIs" dxfId="1315" priority="15" operator="greaterThan">
      <formula>0.9</formula>
    </cfRule>
    <cfRule type="cellIs" dxfId="1314" priority="16" operator="greaterThan">
      <formula>0.85</formula>
    </cfRule>
  </conditionalFormatting>
  <conditionalFormatting sqref="N7">
    <cfRule type="cellIs" dxfId="1313" priority="13" operator="greaterThan">
      <formula>0.9</formula>
    </cfRule>
    <cfRule type="cellIs" dxfId="1312" priority="14" operator="greaterThan">
      <formula>0.85</formula>
    </cfRule>
  </conditionalFormatting>
  <conditionalFormatting sqref="E7">
    <cfRule type="expression" dxfId="1311" priority="9">
      <formula>AND(IF(OR($Q7=1,$Q7=2),1,0),IF($X7&lt;=20,1,0))</formula>
    </cfRule>
    <cfRule type="expression" dxfId="1310" priority="10">
      <formula>AND(IF($Q7=2,1,0),IF($X7&lt;30,1,0))</formula>
    </cfRule>
    <cfRule type="expression" dxfId="1309" priority="11">
      <formula>AND(IF($Q7=3,1,0),IF($X7&lt;30,1,0))</formula>
    </cfRule>
    <cfRule type="expression" dxfId="1308" priority="12">
      <formula>AND(IF($Q7=3,1,IF($Q7=4,1,0)),IF($F7&lt;=85,1,0))</formula>
    </cfRule>
  </conditionalFormatting>
  <conditionalFormatting sqref="X7">
    <cfRule type="expression" dxfId="1307" priority="5">
      <formula>AND(IF(OR($Q7=1,$Q7=2),1,0),IF($X7&lt;=20,1,0))</formula>
    </cfRule>
    <cfRule type="expression" dxfId="1306" priority="6">
      <formula>AND(IF($Q7=2,1,0),IF($X7&lt;30,1,0))</formula>
    </cfRule>
    <cfRule type="expression" dxfId="1305" priority="7">
      <formula>AND(IF($Q7=3,1,0),IF($X7&lt;30,1,0))</formula>
    </cfRule>
    <cfRule type="expression" dxfId="1304" priority="8">
      <formula>AND(IF($Q7=3,1,IF($Q7=4,1,0)),IF($F7&lt;=85,1,0))</formula>
    </cfRule>
  </conditionalFormatting>
  <conditionalFormatting sqref="AI7">
    <cfRule type="expression" dxfId="1303" priority="1">
      <formula>AND(IF(OR($Q7=1,$Q7=2),1,0),IF($X7&lt;=20,1,0))</formula>
    </cfRule>
    <cfRule type="expression" dxfId="1302" priority="2">
      <formula>AND(IF($Q7=2,1,0),IF($X7&lt;30,1,0))</formula>
    </cfRule>
    <cfRule type="expression" dxfId="1301" priority="3">
      <formula>AND(IF($Q7=3,1,0),IF($X7&lt;30,1,0))</formula>
    </cfRule>
    <cfRule type="expression" dxfId="1300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319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태장동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320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320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1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328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태장동 이안원주태장('19.08.,920^)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1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92</v>
      </c>
      <c r="B6" s="10" t="s">
        <v>329</v>
      </c>
      <c r="C6" s="107">
        <v>920</v>
      </c>
      <c r="D6" s="104">
        <v>116.9</v>
      </c>
      <c r="E6" s="106">
        <v>35</v>
      </c>
      <c r="F6" s="104">
        <v>84.9</v>
      </c>
      <c r="G6" s="17">
        <v>26</v>
      </c>
      <c r="H6" s="107">
        <v>62</v>
      </c>
      <c r="I6" s="108">
        <v>32000</v>
      </c>
      <c r="J6" s="108" t="s">
        <v>330</v>
      </c>
      <c r="K6" s="108">
        <v>28000</v>
      </c>
      <c r="L6" s="108" t="s">
        <v>331</v>
      </c>
      <c r="M6" s="109">
        <f>I6-K6</f>
        <v>4000</v>
      </c>
      <c r="N6" s="4">
        <f>IF(ISERROR(K6/I6),"",K6/I6)</f>
        <v>0.875</v>
      </c>
      <c r="O6" s="105">
        <f>I6/E6</f>
        <v>914.28571428571433</v>
      </c>
      <c r="P6" s="105">
        <f>K6/E6</f>
        <v>800</v>
      </c>
      <c r="Q6" s="75">
        <v>3</v>
      </c>
      <c r="R6" s="75">
        <v>2</v>
      </c>
      <c r="S6" s="75" t="s">
        <v>324</v>
      </c>
      <c r="T6" s="5" t="s">
        <v>95</v>
      </c>
      <c r="U6" s="9"/>
      <c r="W6" s="104">
        <f>D6</f>
        <v>116.9</v>
      </c>
      <c r="X6" s="106">
        <f>E6</f>
        <v>35</v>
      </c>
      <c r="Y6" s="102">
        <f>H6</f>
        <v>62</v>
      </c>
      <c r="Z6" s="109">
        <f>I6</f>
        <v>32000</v>
      </c>
      <c r="AA6" s="109">
        <f>K6</f>
        <v>28000</v>
      </c>
      <c r="AB6" s="109">
        <f>M6</f>
        <v>4000</v>
      </c>
      <c r="AC6" s="4">
        <f>N6</f>
        <v>0.875</v>
      </c>
      <c r="AD6" s="105">
        <f>O6</f>
        <v>914.28571428571433</v>
      </c>
      <c r="AE6" s="75" t="str">
        <f>S6</f>
        <v>계</v>
      </c>
      <c r="AF6" s="75" t="str">
        <f>Q6&amp;"/"&amp;R6</f>
        <v>3/2</v>
      </c>
      <c r="AH6" s="20" t="str">
        <f t="shared" si="1"/>
        <v>이안원주태장</v>
      </c>
      <c r="AI6" s="106">
        <f t="shared" si="0"/>
        <v>35</v>
      </c>
      <c r="AJ6" s="75" t="str">
        <f>IF(AI6="","",$AJ$2)</f>
        <v>A-</v>
      </c>
      <c r="AK6" s="75" t="s">
        <v>13</v>
      </c>
      <c r="AL6" s="75" t="s">
        <v>325</v>
      </c>
      <c r="AM6" s="75" t="s">
        <v>326</v>
      </c>
      <c r="AN6" s="75" t="str">
        <f>IF(AI6="","",$AN$2)</f>
        <v>C</v>
      </c>
      <c r="AO6" s="75" t="str">
        <f>IF(N6="","",IF(N6&gt;=$AO$1/100,"O","X"))</f>
        <v>O</v>
      </c>
      <c r="AP6" s="75" t="str">
        <f>IF(I6="","",IF(I6&lt;=$AP$1,"O","X"))</f>
        <v>O</v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후보</v>
      </c>
    </row>
    <row r="7" spans="1:48" x14ac:dyDescent="0.3">
      <c r="A7" s="9"/>
      <c r="B7" s="75"/>
      <c r="C7" s="6"/>
      <c r="D7" s="9"/>
      <c r="E7" s="14"/>
      <c r="F7" s="104"/>
      <c r="G7" s="9"/>
      <c r="H7" s="9"/>
      <c r="I7" s="9"/>
      <c r="J7" s="9"/>
      <c r="K7" s="9"/>
      <c r="L7" s="9"/>
      <c r="M7" s="9"/>
      <c r="N7" s="9"/>
      <c r="O7" s="105"/>
      <c r="P7" s="105"/>
      <c r="Q7" s="106"/>
      <c r="R7" s="106"/>
      <c r="S7" s="9"/>
      <c r="T7" s="48"/>
      <c r="U7" s="9"/>
      <c r="W7" s="70" t="str">
        <f>$A$4&amp;" "&amp;A8&amp;"("&amp;B8&amp;","&amp;C8&amp;"^)"</f>
        <v>태장동 e편한세상원주태장('18.12.,703^)</v>
      </c>
      <c r="X7" s="71"/>
      <c r="Y7" s="71"/>
      <c r="Z7" s="71"/>
      <c r="AA7" s="71"/>
      <c r="AB7" s="71"/>
      <c r="AC7" s="71"/>
      <c r="AD7" s="71"/>
      <c r="AE7" s="71"/>
      <c r="AF7" s="72"/>
      <c r="AH7" s="20" t="str">
        <f t="shared" si="1"/>
        <v/>
      </c>
      <c r="AI7" s="103" t="str">
        <f t="shared" si="0"/>
        <v/>
      </c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</row>
    <row r="8" spans="1:48" x14ac:dyDescent="0.3">
      <c r="A8" s="9" t="s">
        <v>99</v>
      </c>
      <c r="B8" s="10" t="s">
        <v>332</v>
      </c>
      <c r="C8" s="107">
        <v>703</v>
      </c>
      <c r="D8" s="104">
        <v>103.5</v>
      </c>
      <c r="E8" s="106">
        <v>31</v>
      </c>
      <c r="F8" s="104">
        <v>75</v>
      </c>
      <c r="G8" s="17">
        <v>23</v>
      </c>
      <c r="H8" s="107">
        <v>308</v>
      </c>
      <c r="I8" s="108">
        <v>30000</v>
      </c>
      <c r="J8" s="108" t="s">
        <v>330</v>
      </c>
      <c r="K8" s="108"/>
      <c r="L8" s="108"/>
      <c r="M8" s="109">
        <f>I8-K8</f>
        <v>30000</v>
      </c>
      <c r="N8" s="4">
        <f>IF(ISERROR(K8/I8),"",K8/I8)</f>
        <v>0</v>
      </c>
      <c r="O8" s="105">
        <f>I8/E8</f>
        <v>967.74193548387098</v>
      </c>
      <c r="P8" s="105">
        <f>K8/E8</f>
        <v>0</v>
      </c>
      <c r="Q8" s="75">
        <v>3</v>
      </c>
      <c r="R8" s="75">
        <v>2</v>
      </c>
      <c r="S8" s="75" t="s">
        <v>324</v>
      </c>
      <c r="T8" s="5" t="s">
        <v>102</v>
      </c>
      <c r="U8" s="9"/>
      <c r="W8" s="104">
        <f>D8</f>
        <v>103.5</v>
      </c>
      <c r="X8" s="106">
        <f>E8</f>
        <v>31</v>
      </c>
      <c r="Y8" s="102">
        <f>H8</f>
        <v>308</v>
      </c>
      <c r="Z8" s="109">
        <f>I8</f>
        <v>30000</v>
      </c>
      <c r="AA8" s="109">
        <f>K8</f>
        <v>0</v>
      </c>
      <c r="AB8" s="109">
        <f t="shared" ref="AB8:AD9" si="2">M8</f>
        <v>30000</v>
      </c>
      <c r="AC8" s="4">
        <f t="shared" si="2"/>
        <v>0</v>
      </c>
      <c r="AD8" s="105">
        <f t="shared" si="2"/>
        <v>967.74193548387098</v>
      </c>
      <c r="AE8" s="75" t="str">
        <f>S8</f>
        <v>계</v>
      </c>
      <c r="AF8" s="75" t="str">
        <f>Q8&amp;"/"&amp;R8</f>
        <v>3/2</v>
      </c>
      <c r="AH8" s="20" t="str">
        <f t="shared" si="1"/>
        <v>e편한세상원주태장</v>
      </c>
      <c r="AI8" s="106">
        <f t="shared" si="0"/>
        <v>31</v>
      </c>
      <c r="AJ8" s="75" t="str">
        <f>IF(AI8="","",$AJ$2)</f>
        <v>A-</v>
      </c>
      <c r="AK8" s="75" t="s">
        <v>13</v>
      </c>
      <c r="AL8" s="75" t="s">
        <v>325</v>
      </c>
      <c r="AM8" s="75" t="s">
        <v>326</v>
      </c>
      <c r="AN8" s="75" t="str">
        <f>IF(AI8="","",$AN$2)</f>
        <v>C</v>
      </c>
      <c r="AO8" s="75" t="str">
        <f>IF(N8="","",IF(N8&gt;=$AO$1/100,"O","X"))</f>
        <v>X</v>
      </c>
      <c r="AP8" s="75" t="str">
        <f>IF(I8="","",IF(I8&lt;=$AP$1,"O","X"))</f>
        <v>O</v>
      </c>
      <c r="AQ8" s="75" t="str">
        <f>IF(O8="","",IF(O8&lt;=$AQ$1,"O","X"))</f>
        <v>O</v>
      </c>
      <c r="AR8" s="75" t="str">
        <f>IF(M8="","",IF(M8&lt;=$AR$1,"O","X"))</f>
        <v>X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>X</v>
      </c>
    </row>
    <row r="9" spans="1:48" x14ac:dyDescent="0.3">
      <c r="A9" s="9" t="s">
        <v>99</v>
      </c>
      <c r="B9" s="10" t="s">
        <v>332</v>
      </c>
      <c r="C9" s="107">
        <v>703</v>
      </c>
      <c r="D9" s="104">
        <v>83.8</v>
      </c>
      <c r="E9" s="106">
        <v>25</v>
      </c>
      <c r="F9" s="104">
        <v>60</v>
      </c>
      <c r="G9" s="17">
        <v>18</v>
      </c>
      <c r="H9" s="107">
        <v>227</v>
      </c>
      <c r="I9" s="108">
        <v>23000</v>
      </c>
      <c r="J9" s="108" t="s">
        <v>94</v>
      </c>
      <c r="K9" s="108"/>
      <c r="L9" s="108"/>
      <c r="M9" s="109">
        <f>I9-K9</f>
        <v>23000</v>
      </c>
      <c r="N9" s="4">
        <f>IF(ISERROR(K9/I9),"",K9/I9)</f>
        <v>0</v>
      </c>
      <c r="O9" s="105">
        <f>I9/E9</f>
        <v>920</v>
      </c>
      <c r="P9" s="105">
        <f>K9/E9</f>
        <v>0</v>
      </c>
      <c r="Q9" s="75">
        <v>3</v>
      </c>
      <c r="R9" s="75">
        <v>1</v>
      </c>
      <c r="S9" s="75" t="s">
        <v>324</v>
      </c>
      <c r="T9" s="5" t="s">
        <v>106</v>
      </c>
      <c r="U9" s="9"/>
      <c r="W9" s="104">
        <f>D9</f>
        <v>83.8</v>
      </c>
      <c r="X9" s="106">
        <f>E9</f>
        <v>25</v>
      </c>
      <c r="Y9" s="102">
        <f>H9</f>
        <v>227</v>
      </c>
      <c r="Z9" s="109">
        <f>I9</f>
        <v>23000</v>
      </c>
      <c r="AA9" s="109">
        <f>K9</f>
        <v>0</v>
      </c>
      <c r="AB9" s="109">
        <f t="shared" si="2"/>
        <v>23000</v>
      </c>
      <c r="AC9" s="4">
        <f t="shared" si="2"/>
        <v>0</v>
      </c>
      <c r="AD9" s="105">
        <f t="shared" si="2"/>
        <v>920</v>
      </c>
      <c r="AE9" s="75" t="str">
        <f>S9</f>
        <v>계</v>
      </c>
      <c r="AF9" s="75" t="str">
        <f>Q9&amp;"/"&amp;R9</f>
        <v>3/1</v>
      </c>
      <c r="AH9" s="20" t="str">
        <f t="shared" si="1"/>
        <v>e편한세상원주태장</v>
      </c>
      <c r="AI9" s="106">
        <f t="shared" si="0"/>
        <v>25</v>
      </c>
      <c r="AJ9" s="75" t="str">
        <f>IF(AI9="","",$AJ$2)</f>
        <v>A-</v>
      </c>
      <c r="AK9" s="75" t="s">
        <v>13</v>
      </c>
      <c r="AL9" s="75" t="s">
        <v>325</v>
      </c>
      <c r="AM9" s="75" t="s">
        <v>326</v>
      </c>
      <c r="AN9" s="75" t="str">
        <f>IF(AI9="","",$AN$2)</f>
        <v>C</v>
      </c>
      <c r="AO9" s="75" t="str">
        <f>IF(N9="","",IF(N9&gt;=$AO$1/100,"O","X"))</f>
        <v>X</v>
      </c>
      <c r="AP9" s="75" t="str">
        <f>IF(I9="","",IF(I9&lt;=$AP$1,"O","X"))</f>
        <v>O</v>
      </c>
      <c r="AQ9" s="75" t="str">
        <f>IF(O9="","",IF(O9&lt;=$AQ$1,"O","X"))</f>
        <v>O</v>
      </c>
      <c r="AR9" s="75" t="str">
        <f>IF(M9="","",IF(M9&lt;=$AR$1,"O","X"))</f>
        <v>X</v>
      </c>
      <c r="AS9" s="75" t="s">
        <v>2</v>
      </c>
      <c r="AT9" s="75" t="str">
        <f>IF(OR(F9="",AI9=""),"",IF(AND((F9&lt;=85),(AI9&gt;=15)),"O","X"))</f>
        <v>O</v>
      </c>
      <c r="AU9" s="75" t="str">
        <f>IF(C9="","",IF(C9&gt;=$AU$1,"O","X"))</f>
        <v>O</v>
      </c>
      <c r="AV9" s="75" t="str">
        <f>IF(AO9="","",IF(AND(AO9="O",AP9="O",AR9="O",AT9="O",AU9="O"),"후보","X"))</f>
        <v>X</v>
      </c>
    </row>
    <row r="10" spans="1:48" x14ac:dyDescent="0.3">
      <c r="A10" s="9"/>
      <c r="B10" s="75"/>
      <c r="C10" s="6"/>
      <c r="D10" s="9"/>
      <c r="E10" s="14"/>
      <c r="F10" s="104"/>
      <c r="G10" s="9"/>
      <c r="H10" s="9"/>
      <c r="I10" s="9"/>
      <c r="J10" s="9"/>
      <c r="K10" s="9"/>
      <c r="L10" s="9"/>
      <c r="M10" s="9"/>
      <c r="N10" s="9"/>
      <c r="O10" s="105"/>
      <c r="P10" s="105"/>
      <c r="Q10" s="106"/>
      <c r="R10" s="106"/>
      <c r="S10" s="9"/>
      <c r="T10" s="48"/>
      <c r="U10" s="9"/>
      <c r="W10" s="70" t="str">
        <f>$A$4&amp;" "&amp;A11&amp;"("&amp;B11&amp;","&amp;C11&amp;"^)"</f>
        <v>태장동 이안원주태장('19.08.,920^)</v>
      </c>
      <c r="X10" s="71"/>
      <c r="Y10" s="71"/>
      <c r="Z10" s="71"/>
      <c r="AA10" s="71"/>
      <c r="AB10" s="71"/>
      <c r="AC10" s="71"/>
      <c r="AD10" s="71"/>
      <c r="AE10" s="71"/>
      <c r="AF10" s="72"/>
      <c r="AH10" s="20" t="str">
        <f t="shared" si="1"/>
        <v/>
      </c>
      <c r="AI10" s="103" t="str">
        <f t="shared" si="0"/>
        <v/>
      </c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</row>
    <row r="11" spans="1:48" x14ac:dyDescent="0.3">
      <c r="A11" s="9" t="s">
        <v>92</v>
      </c>
      <c r="B11" s="10" t="s">
        <v>329</v>
      </c>
      <c r="C11" s="107">
        <v>920</v>
      </c>
      <c r="D11" s="104">
        <v>82.4</v>
      </c>
      <c r="E11" s="106">
        <v>25</v>
      </c>
      <c r="F11" s="104">
        <v>60</v>
      </c>
      <c r="G11" s="17">
        <v>18</v>
      </c>
      <c r="H11" s="107">
        <v>372</v>
      </c>
      <c r="I11" s="108">
        <v>21000</v>
      </c>
      <c r="J11" s="108" t="s">
        <v>94</v>
      </c>
      <c r="K11" s="108"/>
      <c r="L11" s="108"/>
      <c r="M11" s="109">
        <f>I11-K11</f>
        <v>21000</v>
      </c>
      <c r="N11" s="4">
        <f>IF(ISERROR(K11/I11),"",K11/I11)</f>
        <v>0</v>
      </c>
      <c r="O11" s="105">
        <f>I11/E11</f>
        <v>840</v>
      </c>
      <c r="P11" s="105">
        <f>K11/E11</f>
        <v>0</v>
      </c>
      <c r="Q11" s="75">
        <v>5</v>
      </c>
      <c r="R11" s="75">
        <v>3</v>
      </c>
      <c r="S11" s="75" t="s">
        <v>324</v>
      </c>
      <c r="T11" s="5" t="s">
        <v>110</v>
      </c>
      <c r="U11" s="9"/>
      <c r="W11" s="104">
        <f>D11</f>
        <v>82.4</v>
      </c>
      <c r="X11" s="106">
        <f>E11</f>
        <v>25</v>
      </c>
      <c r="Y11" s="102">
        <f>H11</f>
        <v>372</v>
      </c>
      <c r="Z11" s="109">
        <f>I11</f>
        <v>21000</v>
      </c>
      <c r="AA11" s="109">
        <f>K11</f>
        <v>0</v>
      </c>
      <c r="AB11" s="109">
        <f>M11</f>
        <v>21000</v>
      </c>
      <c r="AC11" s="4">
        <f>N11</f>
        <v>0</v>
      </c>
      <c r="AD11" s="105">
        <f>O11</f>
        <v>840</v>
      </c>
      <c r="AE11" s="75" t="str">
        <f>S11</f>
        <v>계</v>
      </c>
      <c r="AF11" s="75" t="str">
        <f>Q11&amp;"/"&amp;R11</f>
        <v>5/3</v>
      </c>
      <c r="AH11" s="20" t="str">
        <f t="shared" si="1"/>
        <v>이안원주태장</v>
      </c>
      <c r="AI11" s="106">
        <f t="shared" si="0"/>
        <v>25</v>
      </c>
      <c r="AJ11" s="75" t="str">
        <f>IF(AI11="","",$AJ$2)</f>
        <v>A-</v>
      </c>
      <c r="AK11" s="75" t="s">
        <v>13</v>
      </c>
      <c r="AL11" s="75" t="s">
        <v>325</v>
      </c>
      <c r="AM11" s="75" t="s">
        <v>326</v>
      </c>
      <c r="AN11" s="75" t="str">
        <f>IF(AI11="","",$AN$2)</f>
        <v>C</v>
      </c>
      <c r="AO11" s="75" t="str">
        <f>IF(N11="","",IF(N11&gt;=$AO$1/100,"O","X"))</f>
        <v>X</v>
      </c>
      <c r="AP11" s="75" t="str">
        <f>IF(I11="","",IF(I11&lt;=$AP$1,"O","X"))</f>
        <v>O</v>
      </c>
      <c r="AQ11" s="75" t="str">
        <f>IF(O11="","",IF(O11&lt;=$AQ$1,"O","X"))</f>
        <v>O</v>
      </c>
      <c r="AR11" s="75" t="str">
        <f>IF(M11="","",IF(M11&lt;=$AR$1,"O","X"))</f>
        <v>X</v>
      </c>
      <c r="AS11" s="75" t="s">
        <v>2</v>
      </c>
      <c r="AT11" s="75" t="str">
        <f>IF(OR(F11="",AI11=""),"",IF(AND((F11&lt;=85),(AI11&gt;=15)),"O","X"))</f>
        <v>O</v>
      </c>
      <c r="AU11" s="75" t="str">
        <f>IF(C11="","",IF(C11&gt;=$AU$1,"O","X"))</f>
        <v>O</v>
      </c>
      <c r="AV11" s="75" t="str">
        <f>IF(AO11="","",IF(AND(AO11="O",AP11="O",AR11="O",AT11="O",AU11="O"),"후보","X"))</f>
        <v>X</v>
      </c>
    </row>
  </sheetData>
  <mergeCells count="1">
    <mergeCell ref="AJ1:AN1"/>
  </mergeCells>
  <phoneticPr fontId="2" type="noConversion"/>
  <conditionalFormatting sqref="AV4:AV6">
    <cfRule type="expression" dxfId="1299" priority="87">
      <formula>AV4="X"</formula>
    </cfRule>
    <cfRule type="expression" dxfId="1298" priority="88">
      <formula>AV4="후보"</formula>
    </cfRule>
  </conditionalFormatting>
  <conditionalFormatting sqref="AC1:AC2 AC4:AC6 N4:N5">
    <cfRule type="cellIs" dxfId="1297" priority="84" operator="greaterThan">
      <formula>0.9</formula>
    </cfRule>
    <cfRule type="cellIs" dxfId="1296" priority="85" operator="greaterThan">
      <formula>0.85</formula>
    </cfRule>
  </conditionalFormatting>
  <conditionalFormatting sqref="N1:N2">
    <cfRule type="cellIs" dxfId="1295" priority="82" operator="greaterThan">
      <formula>0.9</formula>
    </cfRule>
    <cfRule type="cellIs" dxfId="1294" priority="83" operator="greaterThan">
      <formula>0.85</formula>
    </cfRule>
  </conditionalFormatting>
  <conditionalFormatting sqref="N6">
    <cfRule type="cellIs" dxfId="1293" priority="80" operator="greaterThan">
      <formula>0.9</formula>
    </cfRule>
    <cfRule type="cellIs" dxfId="1292" priority="81" operator="greaterThan">
      <formula>0.85</formula>
    </cfRule>
  </conditionalFormatting>
  <conditionalFormatting sqref="E6">
    <cfRule type="expression" dxfId="1291" priority="76">
      <formula>AND(IF(OR($Q6=1,$Q6=2),1,0),IF($X6&lt;=20,1,0))</formula>
    </cfRule>
    <cfRule type="expression" dxfId="1290" priority="77">
      <formula>AND(IF($Q6=2,1,0),IF($X6&lt;30,1,0))</formula>
    </cfRule>
    <cfRule type="expression" dxfId="1289" priority="78">
      <formula>AND(IF($Q6=3,1,0),IF($X6&lt;30,1,0))</formula>
    </cfRule>
    <cfRule type="expression" dxfId="1288" priority="79">
      <formula>AND(IF($Q6=3,1,IF($Q6=4,1,0)),IF($F6&lt;=85,1,0))</formula>
    </cfRule>
  </conditionalFormatting>
  <conditionalFormatting sqref="X6">
    <cfRule type="expression" dxfId="1287" priority="72">
      <formula>AND(IF(OR($Q6=1,$Q6=2),1,0),IF($X6&lt;=20,1,0))</formula>
    </cfRule>
    <cfRule type="expression" dxfId="1286" priority="73">
      <formula>AND(IF($Q6=2,1,0),IF($X6&lt;30,1,0))</formula>
    </cfRule>
    <cfRule type="expression" dxfId="1285" priority="74">
      <formula>AND(IF($Q6=3,1,0),IF($X6&lt;30,1,0))</formula>
    </cfRule>
    <cfRule type="expression" dxfId="1284" priority="75">
      <formula>AND(IF($Q6=3,1,IF($Q6=4,1,0)),IF($F6&lt;=85,1,0))</formula>
    </cfRule>
  </conditionalFormatting>
  <conditionalFormatting sqref="AI6">
    <cfRule type="expression" dxfId="1283" priority="68">
      <formula>AND(IF(OR($Q6=1,$Q6=2),1,0),IF($X6&lt;=20,1,0))</formula>
    </cfRule>
    <cfRule type="expression" dxfId="1282" priority="69">
      <formula>AND(IF($Q6=2,1,0),IF($X6&lt;30,1,0))</formula>
    </cfRule>
    <cfRule type="expression" dxfId="1281" priority="70">
      <formula>AND(IF($Q6=3,1,0),IF($X6&lt;30,1,0))</formula>
    </cfRule>
    <cfRule type="expression" dxfId="1280" priority="71">
      <formula>AND(IF($Q6=3,1,IF($Q6=4,1,0)),IF($F6&lt;=85,1,0))</formula>
    </cfRule>
  </conditionalFormatting>
  <conditionalFormatting sqref="AV7">
    <cfRule type="expression" dxfId="1279" priority="66">
      <formula>AV7="X"</formula>
    </cfRule>
    <cfRule type="expression" dxfId="1278" priority="67">
      <formula>AV7="후보"</formula>
    </cfRule>
  </conditionalFormatting>
  <conditionalFormatting sqref="AC7 N7">
    <cfRule type="cellIs" dxfId="1277" priority="63" operator="greaterThan">
      <formula>0.9</formula>
    </cfRule>
    <cfRule type="cellIs" dxfId="1276" priority="64" operator="greaterThan">
      <formula>0.85</formula>
    </cfRule>
  </conditionalFormatting>
  <conditionalFormatting sqref="AV8">
    <cfRule type="expression" dxfId="1275" priority="61">
      <formula>AV8="X"</formula>
    </cfRule>
    <cfRule type="expression" dxfId="1274" priority="62">
      <formula>AV8="후보"</formula>
    </cfRule>
  </conditionalFormatting>
  <conditionalFormatting sqref="AC8">
    <cfRule type="cellIs" dxfId="1273" priority="58" operator="greaterThan">
      <formula>0.9</formula>
    </cfRule>
    <cfRule type="cellIs" dxfId="1272" priority="59" operator="greaterThan">
      <formula>0.85</formula>
    </cfRule>
  </conditionalFormatting>
  <conditionalFormatting sqref="N8">
    <cfRule type="cellIs" dxfId="1271" priority="56" operator="greaterThan">
      <formula>0.9</formula>
    </cfRule>
    <cfRule type="cellIs" dxfId="1270" priority="57" operator="greaterThan">
      <formula>0.85</formula>
    </cfRule>
  </conditionalFormatting>
  <conditionalFormatting sqref="E8">
    <cfRule type="expression" dxfId="1269" priority="52">
      <formula>AND(IF(OR($Q8=1,$Q8=2),1,0),IF($X8&lt;=20,1,0))</formula>
    </cfRule>
    <cfRule type="expression" dxfId="1268" priority="53">
      <formula>AND(IF($Q8=2,1,0),IF($X8&lt;30,1,0))</formula>
    </cfRule>
    <cfRule type="expression" dxfId="1267" priority="54">
      <formula>AND(IF($Q8=3,1,0),IF($X8&lt;30,1,0))</formula>
    </cfRule>
    <cfRule type="expression" dxfId="1266" priority="55">
      <formula>AND(IF($Q8=3,1,IF($Q8=4,1,0)),IF($F8&lt;=85,1,0))</formula>
    </cfRule>
  </conditionalFormatting>
  <conditionalFormatting sqref="X8">
    <cfRule type="expression" dxfId="1265" priority="48">
      <formula>AND(IF(OR($Q8=1,$Q8=2),1,0),IF($X8&lt;=20,1,0))</formula>
    </cfRule>
    <cfRule type="expression" dxfId="1264" priority="49">
      <formula>AND(IF($Q8=2,1,0),IF($X8&lt;30,1,0))</formula>
    </cfRule>
    <cfRule type="expression" dxfId="1263" priority="50">
      <formula>AND(IF($Q8=3,1,0),IF($X8&lt;30,1,0))</formula>
    </cfRule>
    <cfRule type="expression" dxfId="1262" priority="51">
      <formula>AND(IF($Q8=3,1,IF($Q8=4,1,0)),IF($F8&lt;=85,1,0))</formula>
    </cfRule>
  </conditionalFormatting>
  <conditionalFormatting sqref="AI8">
    <cfRule type="expression" dxfId="1261" priority="44">
      <formula>AND(IF(OR($Q8=1,$Q8=2),1,0),IF($X8&lt;=20,1,0))</formula>
    </cfRule>
    <cfRule type="expression" dxfId="1260" priority="45">
      <formula>AND(IF($Q8=2,1,0),IF($X8&lt;30,1,0))</formula>
    </cfRule>
    <cfRule type="expression" dxfId="1259" priority="46">
      <formula>AND(IF($Q8=3,1,0),IF($X8&lt;30,1,0))</formula>
    </cfRule>
    <cfRule type="expression" dxfId="1258" priority="47">
      <formula>AND(IF($Q8=3,1,IF($Q8=4,1,0)),IF($F8&lt;=85,1,0))</formula>
    </cfRule>
  </conditionalFormatting>
  <conditionalFormatting sqref="AV9">
    <cfRule type="expression" dxfId="1257" priority="42">
      <formula>AV9="X"</formula>
    </cfRule>
    <cfRule type="expression" dxfId="1256" priority="43">
      <formula>AV9="후보"</formula>
    </cfRule>
  </conditionalFormatting>
  <conditionalFormatting sqref="AC9">
    <cfRule type="cellIs" dxfId="1255" priority="39" operator="greaterThan">
      <formula>0.9</formula>
    </cfRule>
    <cfRule type="cellIs" dxfId="1254" priority="40" operator="greaterThan">
      <formula>0.85</formula>
    </cfRule>
  </conditionalFormatting>
  <conditionalFormatting sqref="N9">
    <cfRule type="cellIs" dxfId="1253" priority="37" operator="greaterThan">
      <formula>0.9</formula>
    </cfRule>
    <cfRule type="cellIs" dxfId="1252" priority="38" operator="greaterThan">
      <formula>0.85</formula>
    </cfRule>
  </conditionalFormatting>
  <conditionalFormatting sqref="E9">
    <cfRule type="expression" dxfId="1251" priority="33">
      <formula>AND(IF(OR($Q9=1,$Q9=2),1,0),IF($X9&lt;=20,1,0))</formula>
    </cfRule>
    <cfRule type="expression" dxfId="1250" priority="34">
      <formula>AND(IF($Q9=2,1,0),IF($X9&lt;30,1,0))</formula>
    </cfRule>
    <cfRule type="expression" dxfId="1249" priority="35">
      <formula>AND(IF($Q9=3,1,0),IF($X9&lt;30,1,0))</formula>
    </cfRule>
    <cfRule type="expression" dxfId="1248" priority="36">
      <formula>AND(IF($Q9=3,1,IF($Q9=4,1,0)),IF($F9&lt;=85,1,0))</formula>
    </cfRule>
  </conditionalFormatting>
  <conditionalFormatting sqref="X9">
    <cfRule type="expression" dxfId="1247" priority="29">
      <formula>AND(IF(OR($Q9=1,$Q9=2),1,0),IF($X9&lt;=20,1,0))</formula>
    </cfRule>
    <cfRule type="expression" dxfId="1246" priority="30">
      <formula>AND(IF($Q9=2,1,0),IF($X9&lt;30,1,0))</formula>
    </cfRule>
    <cfRule type="expression" dxfId="1245" priority="31">
      <formula>AND(IF($Q9=3,1,0),IF($X9&lt;30,1,0))</formula>
    </cfRule>
    <cfRule type="expression" dxfId="1244" priority="32">
      <formula>AND(IF($Q9=3,1,IF($Q9=4,1,0)),IF($F9&lt;=85,1,0))</formula>
    </cfRule>
  </conditionalFormatting>
  <conditionalFormatting sqref="AI9">
    <cfRule type="expression" dxfId="1243" priority="25">
      <formula>AND(IF(OR($Q9=1,$Q9=2),1,0),IF($X9&lt;=20,1,0))</formula>
    </cfRule>
    <cfRule type="expression" dxfId="1242" priority="26">
      <formula>AND(IF($Q9=2,1,0),IF($X9&lt;30,1,0))</formula>
    </cfRule>
    <cfRule type="expression" dxfId="1241" priority="27">
      <formula>AND(IF($Q9=3,1,0),IF($X9&lt;30,1,0))</formula>
    </cfRule>
    <cfRule type="expression" dxfId="1240" priority="28">
      <formula>AND(IF($Q9=3,1,IF($Q9=4,1,0)),IF($F9&lt;=85,1,0))</formula>
    </cfRule>
  </conditionalFormatting>
  <conditionalFormatting sqref="AV10">
    <cfRule type="expression" dxfId="1239" priority="23">
      <formula>AV10="X"</formula>
    </cfRule>
    <cfRule type="expression" dxfId="1238" priority="24">
      <formula>AV10="후보"</formula>
    </cfRule>
  </conditionalFormatting>
  <conditionalFormatting sqref="AC10 N10">
    <cfRule type="cellIs" dxfId="1237" priority="20" operator="greaterThan">
      <formula>0.9</formula>
    </cfRule>
    <cfRule type="cellIs" dxfId="1236" priority="21" operator="greaterThan">
      <formula>0.85</formula>
    </cfRule>
  </conditionalFormatting>
  <conditionalFormatting sqref="AV11">
    <cfRule type="expression" dxfId="1235" priority="18">
      <formula>AV11="X"</formula>
    </cfRule>
    <cfRule type="expression" dxfId="1234" priority="19">
      <formula>AV11="후보"</formula>
    </cfRule>
  </conditionalFormatting>
  <conditionalFormatting sqref="AC11">
    <cfRule type="cellIs" dxfId="1233" priority="15" operator="greaterThan">
      <formula>0.9</formula>
    </cfRule>
    <cfRule type="cellIs" dxfId="1232" priority="16" operator="greaterThan">
      <formula>0.85</formula>
    </cfRule>
  </conditionalFormatting>
  <conditionalFormatting sqref="N11">
    <cfRule type="cellIs" dxfId="1231" priority="13" operator="greaterThan">
      <formula>0.9</formula>
    </cfRule>
    <cfRule type="cellIs" dxfId="1230" priority="14" operator="greaterThan">
      <formula>0.85</formula>
    </cfRule>
  </conditionalFormatting>
  <conditionalFormatting sqref="E11">
    <cfRule type="expression" dxfId="1229" priority="9">
      <formula>AND(IF(OR($Q11=1,$Q11=2),1,0),IF($X11&lt;=20,1,0))</formula>
    </cfRule>
    <cfRule type="expression" dxfId="1228" priority="10">
      <formula>AND(IF($Q11=2,1,0),IF($X11&lt;30,1,0))</formula>
    </cfRule>
    <cfRule type="expression" dxfId="1227" priority="11">
      <formula>AND(IF($Q11=3,1,0),IF($X11&lt;30,1,0))</formula>
    </cfRule>
    <cfRule type="expression" dxfId="1226" priority="12">
      <formula>AND(IF($Q11=3,1,IF($Q11=4,1,0)),IF($F11&lt;=85,1,0))</formula>
    </cfRule>
  </conditionalFormatting>
  <conditionalFormatting sqref="X11">
    <cfRule type="expression" dxfId="1225" priority="5">
      <formula>AND(IF(OR($Q11=1,$Q11=2),1,0),IF($X11&lt;=20,1,0))</formula>
    </cfRule>
    <cfRule type="expression" dxfId="1224" priority="6">
      <formula>AND(IF($Q11=2,1,0),IF($X11&lt;30,1,0))</formula>
    </cfRule>
    <cfRule type="expression" dxfId="1223" priority="7">
      <formula>AND(IF($Q11=3,1,0),IF($X11&lt;30,1,0))</formula>
    </cfRule>
    <cfRule type="expression" dxfId="1222" priority="8">
      <formula>AND(IF($Q11=3,1,IF($Q11=4,1,0)),IF($F11&lt;=85,1,0))</formula>
    </cfRule>
  </conditionalFormatting>
  <conditionalFormatting sqref="AI11">
    <cfRule type="expression" dxfId="1221" priority="1">
      <formula>AND(IF(OR($Q11=1,$Q11=2),1,0),IF($X11&lt;=20,1,0))</formula>
    </cfRule>
    <cfRule type="expression" dxfId="1220" priority="2">
      <formula>AND(IF($Q11=2,1,0),IF($X11&lt;30,1,0))</formula>
    </cfRule>
    <cfRule type="expression" dxfId="1219" priority="3">
      <formula>AND(IF($Q11=3,1,0),IF($X11&lt;30,1,0))</formula>
    </cfRule>
    <cfRule type="expression" dxfId="1218" priority="4">
      <formula>AND(IF($Q11=3,1,IF($Q11=4,1,0)),IF($F11&lt;=85,1,0))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319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지정면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320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320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333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지정면 원주롯데캐슬골드파크2차('19.12.,536^)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52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115</v>
      </c>
      <c r="B6" s="10" t="s">
        <v>334</v>
      </c>
      <c r="C6" s="107">
        <v>536</v>
      </c>
      <c r="D6" s="104">
        <v>111</v>
      </c>
      <c r="E6" s="106">
        <v>34</v>
      </c>
      <c r="F6" s="104">
        <v>85</v>
      </c>
      <c r="G6" s="17">
        <v>26</v>
      </c>
      <c r="H6" s="107">
        <v>243</v>
      </c>
      <c r="I6" s="108">
        <v>50000</v>
      </c>
      <c r="J6" s="108" t="s">
        <v>335</v>
      </c>
      <c r="K6" s="108">
        <v>28000</v>
      </c>
      <c r="L6" s="108" t="s">
        <v>335</v>
      </c>
      <c r="M6" s="109">
        <f>I6-K6</f>
        <v>22000</v>
      </c>
      <c r="N6" s="4">
        <f>IF(ISERROR(K6/I6),"",K6/I6)</f>
        <v>0.56000000000000005</v>
      </c>
      <c r="O6" s="105">
        <f>I6/E6</f>
        <v>1470.5882352941176</v>
      </c>
      <c r="P6" s="105">
        <f>K6/E6</f>
        <v>823.52941176470586</v>
      </c>
      <c r="Q6" s="75">
        <v>3</v>
      </c>
      <c r="R6" s="75">
        <v>2</v>
      </c>
      <c r="S6" s="75" t="s">
        <v>324</v>
      </c>
      <c r="T6" s="5">
        <v>113</v>
      </c>
      <c r="U6" s="9"/>
      <c r="W6" s="104">
        <f>D6</f>
        <v>111</v>
      </c>
      <c r="X6" s="106">
        <f>E6</f>
        <v>34</v>
      </c>
      <c r="Y6" s="102">
        <f>H6</f>
        <v>243</v>
      </c>
      <c r="Z6" s="109">
        <f>I6</f>
        <v>50000</v>
      </c>
      <c r="AA6" s="109">
        <f>K6</f>
        <v>28000</v>
      </c>
      <c r="AB6" s="109">
        <f>M6</f>
        <v>22000</v>
      </c>
      <c r="AC6" s="4">
        <f>N6</f>
        <v>0.56000000000000005</v>
      </c>
      <c r="AD6" s="105">
        <f>O6</f>
        <v>1470.5882352941176</v>
      </c>
      <c r="AE6" s="75" t="str">
        <f>S6</f>
        <v>계</v>
      </c>
      <c r="AF6" s="75" t="str">
        <f>Q6&amp;"/"&amp;R6</f>
        <v>3/2</v>
      </c>
      <c r="AH6" s="20" t="str">
        <f t="shared" si="1"/>
        <v>원주롯데캐슬골드파크2차</v>
      </c>
      <c r="AI6" s="106">
        <f t="shared" si="0"/>
        <v>34</v>
      </c>
      <c r="AJ6" s="75" t="str">
        <f>IF(AI6="","",$AJ$2)</f>
        <v>A-</v>
      </c>
      <c r="AK6" s="75" t="s">
        <v>13</v>
      </c>
      <c r="AL6" s="75" t="s">
        <v>325</v>
      </c>
      <c r="AM6" s="75" t="s">
        <v>326</v>
      </c>
      <c r="AN6" s="75" t="str">
        <f>IF(AI6="","",$AN$2)</f>
        <v>C</v>
      </c>
      <c r="AO6" s="75" t="str">
        <f>IF(N6="","",IF(N6&gt;=$AO$1/100,"O","X"))</f>
        <v>X</v>
      </c>
      <c r="AP6" s="75" t="str">
        <f>IF(I6="","",IF(I6&lt;=$AP$1,"O","X"))</f>
        <v>X</v>
      </c>
      <c r="AQ6" s="75" t="str">
        <f>IF(O6="","",IF(O6&lt;=$AQ$1,"O","X"))</f>
        <v>O</v>
      </c>
      <c r="AR6" s="75" t="str">
        <f>IF(M6="","",IF(M6&lt;=$AR$1,"O","X"))</f>
        <v>X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X</v>
      </c>
    </row>
    <row r="7" spans="1:48" x14ac:dyDescent="0.3">
      <c r="A7" s="9"/>
      <c r="B7" s="75"/>
      <c r="C7" s="6"/>
      <c r="D7" s="9"/>
      <c r="E7" s="14"/>
      <c r="F7" s="104"/>
      <c r="G7" s="9"/>
      <c r="H7" s="9"/>
      <c r="I7" s="9"/>
      <c r="J7" s="9"/>
      <c r="K7" s="9"/>
      <c r="L7" s="9"/>
      <c r="M7" s="9"/>
      <c r="N7" s="9"/>
      <c r="O7" s="105"/>
      <c r="P7" s="105"/>
      <c r="Q7" s="106"/>
      <c r="R7" s="106"/>
      <c r="S7" s="9"/>
      <c r="T7" s="48"/>
      <c r="U7" s="9"/>
      <c r="W7" s="70" t="str">
        <f>$A$4&amp;" "&amp;A8&amp;"("&amp;B8&amp;","&amp;C8&amp;"^)"</f>
        <v>지정면 원주롯데캐슬골드파크1차('19.12.,624^)</v>
      </c>
      <c r="X7" s="71"/>
      <c r="Y7" s="71"/>
      <c r="Z7" s="71"/>
      <c r="AA7" s="71"/>
      <c r="AB7" s="71"/>
      <c r="AC7" s="71"/>
      <c r="AD7" s="71"/>
      <c r="AE7" s="71"/>
      <c r="AF7" s="72"/>
      <c r="AH7" s="20" t="str">
        <f t="shared" si="1"/>
        <v/>
      </c>
      <c r="AI7" s="103" t="str">
        <f t="shared" si="0"/>
        <v/>
      </c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</row>
    <row r="8" spans="1:48" x14ac:dyDescent="0.3">
      <c r="A8" s="9" t="s">
        <v>121</v>
      </c>
      <c r="B8" s="10" t="s">
        <v>334</v>
      </c>
      <c r="C8" s="107">
        <v>624</v>
      </c>
      <c r="D8" s="104">
        <v>110.3</v>
      </c>
      <c r="E8" s="106">
        <v>33</v>
      </c>
      <c r="F8" s="104">
        <v>85</v>
      </c>
      <c r="G8" s="17">
        <v>26</v>
      </c>
      <c r="H8" s="107">
        <v>266</v>
      </c>
      <c r="I8" s="108">
        <v>49000</v>
      </c>
      <c r="J8" s="108" t="s">
        <v>336</v>
      </c>
      <c r="K8" s="108">
        <v>28000</v>
      </c>
      <c r="L8" s="108" t="s">
        <v>337</v>
      </c>
      <c r="M8" s="109">
        <f>I8-K8</f>
        <v>21000</v>
      </c>
      <c r="N8" s="4">
        <f>IF(ISERROR(K8/I8),"",K8/I8)</f>
        <v>0.5714285714285714</v>
      </c>
      <c r="O8" s="105">
        <f>I8/E8</f>
        <v>1484.8484848484848</v>
      </c>
      <c r="P8" s="105">
        <f>K8/E8</f>
        <v>848.4848484848485</v>
      </c>
      <c r="Q8" s="75">
        <v>3</v>
      </c>
      <c r="R8" s="75">
        <v>2</v>
      </c>
      <c r="S8" s="75" t="s">
        <v>324</v>
      </c>
      <c r="T8" s="5" t="s">
        <v>122</v>
      </c>
      <c r="U8" s="9"/>
      <c r="W8" s="104">
        <f>D8</f>
        <v>110.3</v>
      </c>
      <c r="X8" s="106">
        <f>E8</f>
        <v>33</v>
      </c>
      <c r="Y8" s="102">
        <f>H8</f>
        <v>266</v>
      </c>
      <c r="Z8" s="109">
        <f>I8</f>
        <v>49000</v>
      </c>
      <c r="AA8" s="109">
        <f>K8</f>
        <v>28000</v>
      </c>
      <c r="AB8" s="109">
        <f>M8</f>
        <v>21000</v>
      </c>
      <c r="AC8" s="4">
        <f>N8</f>
        <v>0.5714285714285714</v>
      </c>
      <c r="AD8" s="105">
        <f>O8</f>
        <v>1484.8484848484848</v>
      </c>
      <c r="AE8" s="75" t="str">
        <f>S8</f>
        <v>계</v>
      </c>
      <c r="AF8" s="75" t="str">
        <f>Q8&amp;"/"&amp;R8</f>
        <v>3/2</v>
      </c>
      <c r="AH8" s="20" t="str">
        <f t="shared" si="1"/>
        <v>원주롯데캐슬골드파크1차</v>
      </c>
      <c r="AI8" s="106">
        <f t="shared" si="0"/>
        <v>33</v>
      </c>
      <c r="AJ8" s="75" t="str">
        <f>IF(AI8="","",$AJ$2)</f>
        <v>A-</v>
      </c>
      <c r="AK8" s="75" t="s">
        <v>13</v>
      </c>
      <c r="AL8" s="75" t="s">
        <v>325</v>
      </c>
      <c r="AM8" s="75" t="s">
        <v>326</v>
      </c>
      <c r="AN8" s="75" t="str">
        <f>IF(AI8="","",$AN$2)</f>
        <v>C</v>
      </c>
      <c r="AO8" s="75" t="str">
        <f>IF(N8="","",IF(N8&gt;=$AO$1/100,"O","X"))</f>
        <v>X</v>
      </c>
      <c r="AP8" s="75" t="str">
        <f>IF(I8="","",IF(I8&lt;=$AP$1,"O","X"))</f>
        <v>X</v>
      </c>
      <c r="AQ8" s="75" t="str">
        <f>IF(O8="","",IF(O8&lt;=$AQ$1,"O","X"))</f>
        <v>O</v>
      </c>
      <c r="AR8" s="75" t="str">
        <f>IF(M8="","",IF(M8&lt;=$AR$1,"O","X"))</f>
        <v>X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>X</v>
      </c>
    </row>
    <row r="9" spans="1:48" x14ac:dyDescent="0.3">
      <c r="A9" s="9"/>
      <c r="B9" s="75"/>
      <c r="C9" s="6"/>
      <c r="D9" s="9"/>
      <c r="E9" s="14"/>
      <c r="F9" s="104"/>
      <c r="G9" s="9"/>
      <c r="H9" s="9"/>
      <c r="I9" s="9"/>
      <c r="J9" s="9"/>
      <c r="K9" s="9"/>
      <c r="L9" s="9"/>
      <c r="M9" s="9"/>
      <c r="N9" s="9"/>
      <c r="O9" s="105"/>
      <c r="P9" s="105"/>
      <c r="Q9" s="106"/>
      <c r="R9" s="106"/>
      <c r="S9" s="9"/>
      <c r="T9" s="48"/>
      <c r="U9" s="9"/>
      <c r="W9" s="70" t="str">
        <f>$A$4&amp;" "&amp;A10&amp;"("&amp;B10&amp;","&amp;C10&amp;"^)"</f>
        <v>지정면 이지더원더그레이스('20.06.,776^)</v>
      </c>
      <c r="X9" s="71"/>
      <c r="Y9" s="71"/>
      <c r="Z9" s="71"/>
      <c r="AA9" s="71"/>
      <c r="AB9" s="71"/>
      <c r="AC9" s="71"/>
      <c r="AD9" s="71"/>
      <c r="AE9" s="71"/>
      <c r="AF9" s="72"/>
      <c r="AH9" s="20" t="str">
        <f t="shared" si="1"/>
        <v/>
      </c>
      <c r="AI9" s="103" t="str">
        <f t="shared" si="0"/>
        <v/>
      </c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</row>
    <row r="10" spans="1:48" x14ac:dyDescent="0.3">
      <c r="A10" s="9" t="s">
        <v>126</v>
      </c>
      <c r="B10" s="10" t="s">
        <v>338</v>
      </c>
      <c r="C10" s="107">
        <v>776</v>
      </c>
      <c r="D10" s="104">
        <v>114.7</v>
      </c>
      <c r="E10" s="106">
        <v>35</v>
      </c>
      <c r="F10" s="104">
        <v>85</v>
      </c>
      <c r="G10" s="17">
        <v>26</v>
      </c>
      <c r="H10" s="107">
        <v>428</v>
      </c>
      <c r="I10" s="108">
        <v>43000</v>
      </c>
      <c r="J10" s="108" t="s">
        <v>339</v>
      </c>
      <c r="K10" s="108">
        <v>25000</v>
      </c>
      <c r="L10" s="108" t="s">
        <v>340</v>
      </c>
      <c r="M10" s="109">
        <f>I10-K10</f>
        <v>18000</v>
      </c>
      <c r="N10" s="4">
        <f>IF(ISERROR(K10/I10),"",K10/I10)</f>
        <v>0.58139534883720934</v>
      </c>
      <c r="O10" s="105">
        <f>I10/E10</f>
        <v>1228.5714285714287</v>
      </c>
      <c r="P10" s="105">
        <f>K10/E10</f>
        <v>714.28571428571433</v>
      </c>
      <c r="Q10" s="75">
        <v>3</v>
      </c>
      <c r="R10" s="75">
        <v>2</v>
      </c>
      <c r="S10" s="75" t="s">
        <v>324</v>
      </c>
      <c r="T10" s="5" t="s">
        <v>128</v>
      </c>
      <c r="U10" s="9"/>
      <c r="W10" s="104">
        <f>D10</f>
        <v>114.7</v>
      </c>
      <c r="X10" s="106">
        <f>E10</f>
        <v>35</v>
      </c>
      <c r="Y10" s="102">
        <f>H10</f>
        <v>428</v>
      </c>
      <c r="Z10" s="109">
        <f>I10</f>
        <v>43000</v>
      </c>
      <c r="AA10" s="109">
        <f>K10</f>
        <v>25000</v>
      </c>
      <c r="AB10" s="109">
        <f>M10</f>
        <v>18000</v>
      </c>
      <c r="AC10" s="4">
        <f>N10</f>
        <v>0.58139534883720934</v>
      </c>
      <c r="AD10" s="105">
        <f>O10</f>
        <v>1228.5714285714287</v>
      </c>
      <c r="AE10" s="75" t="str">
        <f>S10</f>
        <v>계</v>
      </c>
      <c r="AF10" s="75" t="str">
        <f>Q10&amp;"/"&amp;R10</f>
        <v>3/2</v>
      </c>
      <c r="AH10" s="20" t="str">
        <f t="shared" si="1"/>
        <v>이지더원더그레이스</v>
      </c>
      <c r="AI10" s="106">
        <f t="shared" si="0"/>
        <v>35</v>
      </c>
      <c r="AJ10" s="75" t="str">
        <f>IF(AI10="","",$AJ$2)</f>
        <v>A-</v>
      </c>
      <c r="AK10" s="75" t="s">
        <v>13</v>
      </c>
      <c r="AL10" s="75" t="s">
        <v>325</v>
      </c>
      <c r="AM10" s="75" t="s">
        <v>326</v>
      </c>
      <c r="AN10" s="75" t="str">
        <f>IF(AI10="","",$AN$2)</f>
        <v>C</v>
      </c>
      <c r="AO10" s="75" t="str">
        <f>IF(N10="","",IF(N10&gt;=$AO$1/100,"O","X"))</f>
        <v>X</v>
      </c>
      <c r="AP10" s="75" t="str">
        <f>IF(I10="","",IF(I10&lt;=$AP$1,"O","X"))</f>
        <v>O</v>
      </c>
      <c r="AQ10" s="75" t="str">
        <f>IF(O10="","",IF(O10&lt;=$AQ$1,"O","X"))</f>
        <v>O</v>
      </c>
      <c r="AR10" s="75" t="str">
        <f>IF(M10="","",IF(M10&lt;=$AR$1,"O","X"))</f>
        <v>X</v>
      </c>
      <c r="AS10" s="75" t="s">
        <v>2</v>
      </c>
      <c r="AT10" s="75" t="str">
        <f>IF(OR(F10="",AI10=""),"",IF(AND((F10&lt;=85),(AI10&gt;=15)),"O","X"))</f>
        <v>O</v>
      </c>
      <c r="AU10" s="75" t="str">
        <f>IF(C10="","",IF(C10&gt;=$AU$1,"O","X"))</f>
        <v>O</v>
      </c>
      <c r="AV10" s="75" t="str">
        <f>IF(AO10="","",IF(AND(AO10="O",AP10="O",AR10="O",AT10="O",AU10="O"),"후보","X"))</f>
        <v>X</v>
      </c>
    </row>
    <row r="11" spans="1:48" x14ac:dyDescent="0.3">
      <c r="A11" s="9"/>
      <c r="B11" s="75"/>
      <c r="C11" s="6"/>
      <c r="D11" s="9"/>
      <c r="E11" s="14"/>
      <c r="F11" s="104"/>
      <c r="G11" s="9"/>
      <c r="H11" s="9"/>
      <c r="I11" s="9"/>
      <c r="J11" s="9"/>
      <c r="K11" s="9"/>
      <c r="L11" s="9"/>
      <c r="M11" s="9"/>
      <c r="N11" s="9"/>
      <c r="O11" s="105"/>
      <c r="P11" s="105"/>
      <c r="Q11" s="106"/>
      <c r="R11" s="106"/>
      <c r="S11" s="9"/>
      <c r="T11" s="48"/>
      <c r="U11" s="9"/>
      <c r="W11" s="70" t="str">
        <f>$A$4&amp;" "&amp;A12&amp;"("&amp;B12&amp;","&amp;C12&amp;"^)"</f>
        <v>지정면 원주롯데캐슬더퍼스트2차('18.08.,1116^)</v>
      </c>
      <c r="X11" s="71"/>
      <c r="Y11" s="71"/>
      <c r="Z11" s="71"/>
      <c r="AA11" s="71"/>
      <c r="AB11" s="71"/>
      <c r="AC11" s="71"/>
      <c r="AD11" s="71"/>
      <c r="AE11" s="71"/>
      <c r="AF11" s="72"/>
      <c r="AH11" s="20" t="str">
        <f t="shared" si="1"/>
        <v/>
      </c>
      <c r="AI11" s="103" t="str">
        <f t="shared" si="0"/>
        <v/>
      </c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</row>
    <row r="12" spans="1:48" x14ac:dyDescent="0.3">
      <c r="A12" s="9" t="s">
        <v>133</v>
      </c>
      <c r="B12" s="10" t="s">
        <v>341</v>
      </c>
      <c r="C12" s="107">
        <v>1116</v>
      </c>
      <c r="D12" s="104">
        <v>113.4</v>
      </c>
      <c r="E12" s="106">
        <v>34</v>
      </c>
      <c r="F12" s="104">
        <v>85</v>
      </c>
      <c r="G12" s="17">
        <v>26</v>
      </c>
      <c r="H12" s="107">
        <v>472</v>
      </c>
      <c r="I12" s="108">
        <v>45000</v>
      </c>
      <c r="J12" s="108" t="s">
        <v>94</v>
      </c>
      <c r="K12" s="108">
        <v>25000</v>
      </c>
      <c r="L12" s="108" t="s">
        <v>342</v>
      </c>
      <c r="M12" s="109">
        <f>I12-K12</f>
        <v>20000</v>
      </c>
      <c r="N12" s="4">
        <f>IF(ISERROR(K12/I12),"",K12/I12)</f>
        <v>0.55555555555555558</v>
      </c>
      <c r="O12" s="105">
        <f>I12/E12</f>
        <v>1323.5294117647059</v>
      </c>
      <c r="P12" s="105">
        <f>K12/E12</f>
        <v>735.29411764705878</v>
      </c>
      <c r="Q12" s="75">
        <v>1</v>
      </c>
      <c r="R12" s="75">
        <v>1</v>
      </c>
      <c r="S12" s="75" t="s">
        <v>324</v>
      </c>
      <c r="T12" s="5" t="s">
        <v>135</v>
      </c>
      <c r="U12" s="9"/>
      <c r="W12" s="104">
        <f>D12</f>
        <v>113.4</v>
      </c>
      <c r="X12" s="106">
        <f>E12</f>
        <v>34</v>
      </c>
      <c r="Y12" s="102">
        <f>H12</f>
        <v>472</v>
      </c>
      <c r="Z12" s="109">
        <f>I12</f>
        <v>45000</v>
      </c>
      <c r="AA12" s="109">
        <f>K12</f>
        <v>25000</v>
      </c>
      <c r="AB12" s="109">
        <f>M12</f>
        <v>20000</v>
      </c>
      <c r="AC12" s="4">
        <f>N12</f>
        <v>0.55555555555555558</v>
      </c>
      <c r="AD12" s="105">
        <f>O12</f>
        <v>1323.5294117647059</v>
      </c>
      <c r="AE12" s="75" t="str">
        <f>S12</f>
        <v>계</v>
      </c>
      <c r="AF12" s="75" t="str">
        <f>Q12&amp;"/"&amp;R12</f>
        <v>1/1</v>
      </c>
      <c r="AH12" s="20" t="str">
        <f t="shared" si="1"/>
        <v>원주롯데캐슬더퍼스트2차</v>
      </c>
      <c r="AI12" s="106">
        <f t="shared" si="0"/>
        <v>34</v>
      </c>
      <c r="AJ12" s="75" t="str">
        <f>IF(AI12="","",$AJ$2)</f>
        <v>A-</v>
      </c>
      <c r="AK12" s="75" t="s">
        <v>13</v>
      </c>
      <c r="AL12" s="75" t="s">
        <v>325</v>
      </c>
      <c r="AM12" s="75" t="s">
        <v>326</v>
      </c>
      <c r="AN12" s="75" t="str">
        <f>IF(AI12="","",$AN$2)</f>
        <v>C</v>
      </c>
      <c r="AO12" s="75" t="str">
        <f>IF(N12="","",IF(N12&gt;=$AO$1/100,"O","X"))</f>
        <v>X</v>
      </c>
      <c r="AP12" s="75" t="str">
        <f>IF(I12="","",IF(I12&lt;=$AP$1,"O","X"))</f>
        <v>O</v>
      </c>
      <c r="AQ12" s="75" t="str">
        <f>IF(O12="","",IF(O12&lt;=$AQ$1,"O","X"))</f>
        <v>O</v>
      </c>
      <c r="AR12" s="75" t="str">
        <f>IF(M12="","",IF(M12&lt;=$AR$1,"O","X"))</f>
        <v>X</v>
      </c>
      <c r="AS12" s="75" t="s">
        <v>2</v>
      </c>
      <c r="AT12" s="75" t="str">
        <f>IF(OR(F12="",AI12=""),"",IF(AND((F12&lt;=85),(AI12&gt;=15)),"O","X"))</f>
        <v>O</v>
      </c>
      <c r="AU12" s="75" t="str">
        <f>IF(C12="","",IF(C12&gt;=$AU$1,"O","X"))</f>
        <v>O</v>
      </c>
      <c r="AV12" s="75" t="str">
        <f>IF(AO12="","",IF(AND(AO12="O",AP12="O",AR12="O",AT12="O",AU12="O"),"후보","X"))</f>
        <v>X</v>
      </c>
    </row>
    <row r="13" spans="1:48" x14ac:dyDescent="0.3">
      <c r="A13" s="9"/>
      <c r="B13" s="75"/>
      <c r="C13" s="6"/>
      <c r="D13" s="9"/>
      <c r="E13" s="14"/>
      <c r="F13" s="104"/>
      <c r="G13" s="9"/>
      <c r="H13" s="9"/>
      <c r="I13" s="9"/>
      <c r="J13" s="9"/>
      <c r="K13" s="9"/>
      <c r="L13" s="9"/>
      <c r="M13" s="9"/>
      <c r="N13" s="9"/>
      <c r="O13" s="105"/>
      <c r="P13" s="105"/>
      <c r="Q13" s="106"/>
      <c r="R13" s="106"/>
      <c r="S13" s="9"/>
      <c r="T13" s="48"/>
      <c r="U13" s="9"/>
      <c r="W13" s="70" t="str">
        <f>$A$4&amp;" "&amp;A14&amp;"("&amp;B14&amp;","&amp;C14&amp;"^)"</f>
        <v>지정면 원주기업도시유보라아이비파크2단지('20.01.,794^)</v>
      </c>
      <c r="X13" s="71"/>
      <c r="Y13" s="71"/>
      <c r="Z13" s="71"/>
      <c r="AA13" s="71"/>
      <c r="AB13" s="71"/>
      <c r="AC13" s="71"/>
      <c r="AD13" s="71"/>
      <c r="AE13" s="71"/>
      <c r="AF13" s="72"/>
      <c r="AH13" s="20" t="str">
        <f t="shared" si="1"/>
        <v/>
      </c>
      <c r="AI13" s="103" t="str">
        <f t="shared" si="0"/>
        <v/>
      </c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</row>
    <row r="14" spans="1:48" ht="24" x14ac:dyDescent="0.3">
      <c r="A14" s="9" t="s">
        <v>139</v>
      </c>
      <c r="B14" s="10" t="s">
        <v>343</v>
      </c>
      <c r="C14" s="107">
        <v>794</v>
      </c>
      <c r="D14" s="104">
        <v>111.9</v>
      </c>
      <c r="E14" s="106">
        <v>34</v>
      </c>
      <c r="F14" s="104">
        <v>85</v>
      </c>
      <c r="G14" s="17">
        <v>26</v>
      </c>
      <c r="H14" s="107">
        <v>263</v>
      </c>
      <c r="I14" s="108">
        <v>40000</v>
      </c>
      <c r="J14" s="108" t="s">
        <v>330</v>
      </c>
      <c r="K14" s="108">
        <v>25000</v>
      </c>
      <c r="L14" s="108" t="s">
        <v>94</v>
      </c>
      <c r="M14" s="109">
        <f>I14-K14</f>
        <v>15000</v>
      </c>
      <c r="N14" s="4">
        <f>IF(ISERROR(K14/I14),"",K14/I14)</f>
        <v>0.625</v>
      </c>
      <c r="O14" s="105">
        <f>I14/E14</f>
        <v>1176.4705882352941</v>
      </c>
      <c r="P14" s="105">
        <f>K14/E14</f>
        <v>735.29411764705878</v>
      </c>
      <c r="Q14" s="75">
        <v>3</v>
      </c>
      <c r="R14" s="75">
        <v>1</v>
      </c>
      <c r="S14" s="75" t="s">
        <v>324</v>
      </c>
      <c r="T14" s="5">
        <v>77</v>
      </c>
      <c r="U14" s="9"/>
      <c r="W14" s="104">
        <f>D14</f>
        <v>111.9</v>
      </c>
      <c r="X14" s="106">
        <f>E14</f>
        <v>34</v>
      </c>
      <c r="Y14" s="102">
        <f>H14</f>
        <v>263</v>
      </c>
      <c r="Z14" s="109">
        <f>I14</f>
        <v>40000</v>
      </c>
      <c r="AA14" s="109">
        <f>K14</f>
        <v>25000</v>
      </c>
      <c r="AB14" s="109">
        <f>M14</f>
        <v>15000</v>
      </c>
      <c r="AC14" s="4">
        <f>N14</f>
        <v>0.625</v>
      </c>
      <c r="AD14" s="105">
        <f>O14</f>
        <v>1176.4705882352941</v>
      </c>
      <c r="AE14" s="75" t="str">
        <f>S14</f>
        <v>계</v>
      </c>
      <c r="AF14" s="75" t="str">
        <f>Q14&amp;"/"&amp;R14</f>
        <v>3/1</v>
      </c>
      <c r="AH14" s="20" t="str">
        <f t="shared" si="1"/>
        <v>원주기업도시유보라아이비파크2단지</v>
      </c>
      <c r="AI14" s="106">
        <f t="shared" si="0"/>
        <v>34</v>
      </c>
      <c r="AJ14" s="75" t="str">
        <f>IF(AI14="","",$AJ$2)</f>
        <v>A-</v>
      </c>
      <c r="AK14" s="75" t="s">
        <v>13</v>
      </c>
      <c r="AL14" s="75" t="s">
        <v>325</v>
      </c>
      <c r="AM14" s="75" t="s">
        <v>326</v>
      </c>
      <c r="AN14" s="75" t="str">
        <f>IF(AI14="","",$AN$2)</f>
        <v>C</v>
      </c>
      <c r="AO14" s="75" t="str">
        <f>IF(N14="","",IF(N14&gt;=$AO$1/100,"O","X"))</f>
        <v>X</v>
      </c>
      <c r="AP14" s="75" t="str">
        <f>IF(I14="","",IF(I14&lt;=$AP$1,"O","X"))</f>
        <v>O</v>
      </c>
      <c r="AQ14" s="75" t="str">
        <f>IF(O14="","",IF(O14&lt;=$AQ$1,"O","X"))</f>
        <v>O</v>
      </c>
      <c r="AR14" s="75" t="str">
        <f>IF(M14="","",IF(M14&lt;=$AR$1,"O","X"))</f>
        <v>X</v>
      </c>
      <c r="AS14" s="75" t="s">
        <v>2</v>
      </c>
      <c r="AT14" s="75" t="str">
        <f>IF(OR(F14="",AI14=""),"",IF(AND((F14&lt;=85),(AI14&gt;=15)),"O","X"))</f>
        <v>O</v>
      </c>
      <c r="AU14" s="75" t="str">
        <f>IF(C14="","",IF(C14&gt;=$AU$1,"O","X"))</f>
        <v>O</v>
      </c>
      <c r="AV14" s="75" t="str">
        <f>IF(AO14="","",IF(AND(AO14="O",AP14="O",AR14="O",AT14="O",AU14="O"),"후보","X"))</f>
        <v>X</v>
      </c>
    </row>
    <row r="15" spans="1:48" x14ac:dyDescent="0.3">
      <c r="A15" s="9"/>
      <c r="B15" s="75"/>
      <c r="C15" s="6"/>
      <c r="D15" s="9"/>
      <c r="E15" s="14"/>
      <c r="F15" s="104"/>
      <c r="G15" s="9"/>
      <c r="H15" s="9"/>
      <c r="I15" s="9"/>
      <c r="J15" s="9"/>
      <c r="K15" s="9"/>
      <c r="L15" s="9"/>
      <c r="M15" s="9"/>
      <c r="N15" s="9"/>
      <c r="O15" s="105"/>
      <c r="P15" s="105"/>
      <c r="Q15" s="106"/>
      <c r="R15" s="106"/>
      <c r="S15" s="9"/>
      <c r="T15" s="48"/>
      <c r="U15" s="9"/>
      <c r="W15" s="70" t="str">
        <f>$A$4&amp;" "&amp;A16&amp;"("&amp;B16&amp;","&amp;C16&amp;"^)"</f>
        <v>지정면 원주기업도시호반베르디움8단지('18.08.,882^)</v>
      </c>
      <c r="X15" s="71"/>
      <c r="Y15" s="71"/>
      <c r="Z15" s="71"/>
      <c r="AA15" s="71"/>
      <c r="AB15" s="71"/>
      <c r="AC15" s="71"/>
      <c r="AD15" s="71"/>
      <c r="AE15" s="71"/>
      <c r="AF15" s="72"/>
      <c r="AH15" s="20" t="str">
        <f t="shared" si="1"/>
        <v/>
      </c>
      <c r="AI15" s="103" t="str">
        <f t="shared" si="0"/>
        <v/>
      </c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</row>
    <row r="16" spans="1:48" x14ac:dyDescent="0.3">
      <c r="A16" s="9" t="s">
        <v>144</v>
      </c>
      <c r="B16" s="10" t="s">
        <v>341</v>
      </c>
      <c r="C16" s="107">
        <v>882</v>
      </c>
      <c r="D16" s="104">
        <v>113.5</v>
      </c>
      <c r="E16" s="106">
        <v>34</v>
      </c>
      <c r="F16" s="104">
        <v>85</v>
      </c>
      <c r="G16" s="17">
        <v>26</v>
      </c>
      <c r="H16" s="107">
        <v>407</v>
      </c>
      <c r="I16" s="108">
        <v>41000</v>
      </c>
      <c r="J16" s="108" t="s">
        <v>344</v>
      </c>
      <c r="K16" s="108">
        <v>25000</v>
      </c>
      <c r="L16" s="108" t="s">
        <v>101</v>
      </c>
      <c r="M16" s="109">
        <f>I16-K16</f>
        <v>16000</v>
      </c>
      <c r="N16" s="4">
        <f>IF(ISERROR(K16/I16),"",K16/I16)</f>
        <v>0.6097560975609756</v>
      </c>
      <c r="O16" s="105">
        <f>I16/E16</f>
        <v>1205.8823529411766</v>
      </c>
      <c r="P16" s="105">
        <f>K16/E16</f>
        <v>735.29411764705878</v>
      </c>
      <c r="Q16" s="75">
        <v>1</v>
      </c>
      <c r="R16" s="75">
        <v>1</v>
      </c>
      <c r="S16" s="75" t="s">
        <v>324</v>
      </c>
      <c r="T16" s="5" t="s">
        <v>145</v>
      </c>
      <c r="U16" s="9"/>
      <c r="W16" s="104">
        <f>D16</f>
        <v>113.5</v>
      </c>
      <c r="X16" s="106">
        <f>E16</f>
        <v>34</v>
      </c>
      <c r="Y16" s="102">
        <f>H16</f>
        <v>407</v>
      </c>
      <c r="Z16" s="109">
        <f>I16</f>
        <v>41000</v>
      </c>
      <c r="AA16" s="109">
        <f>K16</f>
        <v>25000</v>
      </c>
      <c r="AB16" s="109">
        <f>M16</f>
        <v>16000</v>
      </c>
      <c r="AC16" s="4">
        <f>N16</f>
        <v>0.6097560975609756</v>
      </c>
      <c r="AD16" s="105">
        <f>O16</f>
        <v>1205.8823529411766</v>
      </c>
      <c r="AE16" s="75" t="str">
        <f>S16</f>
        <v>계</v>
      </c>
      <c r="AF16" s="75" t="str">
        <f>Q16&amp;"/"&amp;R16</f>
        <v>1/1</v>
      </c>
      <c r="AH16" s="20" t="str">
        <f t="shared" si="1"/>
        <v>원주기업도시호반베르디움8단지</v>
      </c>
      <c r="AI16" s="106">
        <f t="shared" si="0"/>
        <v>34</v>
      </c>
      <c r="AJ16" s="75" t="str">
        <f>IF(AI16="","",$AJ$2)</f>
        <v>A-</v>
      </c>
      <c r="AK16" s="75" t="s">
        <v>13</v>
      </c>
      <c r="AL16" s="75" t="s">
        <v>325</v>
      </c>
      <c r="AM16" s="75" t="s">
        <v>326</v>
      </c>
      <c r="AN16" s="75" t="str">
        <f>IF(AI16="","",$AN$2)</f>
        <v>C</v>
      </c>
      <c r="AO16" s="75" t="str">
        <f>IF(N16="","",IF(N16&gt;=$AO$1/100,"O","X"))</f>
        <v>X</v>
      </c>
      <c r="AP16" s="75" t="str">
        <f>IF(I16="","",IF(I16&lt;=$AP$1,"O","X"))</f>
        <v>O</v>
      </c>
      <c r="AQ16" s="75" t="str">
        <f>IF(O16="","",IF(O16&lt;=$AQ$1,"O","X"))</f>
        <v>O</v>
      </c>
      <c r="AR16" s="75" t="str">
        <f>IF(M16="","",IF(M16&lt;=$AR$1,"O","X"))</f>
        <v>X</v>
      </c>
      <c r="AS16" s="75" t="s">
        <v>2</v>
      </c>
      <c r="AT16" s="75" t="str">
        <f>IF(OR(F16="",AI16=""),"",IF(AND((F16&lt;=85),(AI16&gt;=15)),"O","X"))</f>
        <v>O</v>
      </c>
      <c r="AU16" s="75" t="str">
        <f>IF(C16="","",IF(C16&gt;=$AU$1,"O","X"))</f>
        <v>O</v>
      </c>
      <c r="AV16" s="75" t="str">
        <f>IF(AO16="","",IF(AND(AO16="O",AP16="O",AR16="O",AT16="O",AU16="O"),"후보","X"))</f>
        <v>X</v>
      </c>
    </row>
    <row r="17" spans="1:48" x14ac:dyDescent="0.3">
      <c r="A17" s="9"/>
      <c r="B17" s="75"/>
      <c r="C17" s="6"/>
      <c r="D17" s="9"/>
      <c r="E17" s="14"/>
      <c r="F17" s="104"/>
      <c r="G17" s="9"/>
      <c r="H17" s="9"/>
      <c r="I17" s="9"/>
      <c r="J17" s="9"/>
      <c r="K17" s="9"/>
      <c r="L17" s="9"/>
      <c r="M17" s="9"/>
      <c r="N17" s="9"/>
      <c r="O17" s="105"/>
      <c r="P17" s="105"/>
      <c r="Q17" s="106"/>
      <c r="R17" s="106"/>
      <c r="S17" s="9"/>
      <c r="T17" s="48"/>
      <c r="U17" s="9"/>
      <c r="W17" s="70" t="str">
        <f>$A$4&amp;" "&amp;A18&amp;"("&amp;B18&amp;","&amp;C18&amp;"^)"</f>
        <v>지정면 원주롯데캐슬더퍼스트('18.06.,1243^)</v>
      </c>
      <c r="X17" s="71"/>
      <c r="Y17" s="71"/>
      <c r="Z17" s="71"/>
      <c r="AA17" s="71"/>
      <c r="AB17" s="71"/>
      <c r="AC17" s="71"/>
      <c r="AD17" s="71"/>
      <c r="AE17" s="71"/>
      <c r="AF17" s="72"/>
      <c r="AH17" s="20" t="str">
        <f t="shared" si="1"/>
        <v/>
      </c>
      <c r="AI17" s="103" t="str">
        <f t="shared" si="0"/>
        <v/>
      </c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</row>
    <row r="18" spans="1:48" x14ac:dyDescent="0.3">
      <c r="A18" s="9" t="s">
        <v>146</v>
      </c>
      <c r="B18" s="10" t="s">
        <v>345</v>
      </c>
      <c r="C18" s="107">
        <v>1243</v>
      </c>
      <c r="D18" s="104">
        <v>113.2</v>
      </c>
      <c r="E18" s="106">
        <v>34</v>
      </c>
      <c r="F18" s="104">
        <v>85</v>
      </c>
      <c r="G18" s="17">
        <v>26</v>
      </c>
      <c r="H18" s="107">
        <v>24</v>
      </c>
      <c r="I18" s="108">
        <v>42000</v>
      </c>
      <c r="J18" s="108" t="s">
        <v>101</v>
      </c>
      <c r="K18" s="108"/>
      <c r="L18" s="108"/>
      <c r="M18" s="109">
        <f>I18-K18</f>
        <v>42000</v>
      </c>
      <c r="N18" s="4">
        <f>IF(ISERROR(K18/I18),"",K18/I18)</f>
        <v>0</v>
      </c>
      <c r="O18" s="105">
        <f>I18/E18</f>
        <v>1235.2941176470588</v>
      </c>
      <c r="P18" s="105">
        <f>K18/E18</f>
        <v>0</v>
      </c>
      <c r="Q18" s="75">
        <v>3</v>
      </c>
      <c r="R18" s="75">
        <v>2</v>
      </c>
      <c r="S18" s="75" t="s">
        <v>324</v>
      </c>
      <c r="T18" s="5" t="s">
        <v>148</v>
      </c>
      <c r="U18" s="9"/>
      <c r="W18" s="104">
        <f>D18</f>
        <v>113.2</v>
      </c>
      <c r="X18" s="106">
        <f>E18</f>
        <v>34</v>
      </c>
      <c r="Y18" s="102">
        <f>H18</f>
        <v>24</v>
      </c>
      <c r="Z18" s="109">
        <f>I18</f>
        <v>42000</v>
      </c>
      <c r="AA18" s="109">
        <f>K18</f>
        <v>0</v>
      </c>
      <c r="AB18" s="109">
        <f>M18</f>
        <v>42000</v>
      </c>
      <c r="AC18" s="4">
        <f>N18</f>
        <v>0</v>
      </c>
      <c r="AD18" s="105">
        <f>O18</f>
        <v>1235.2941176470588</v>
      </c>
      <c r="AE18" s="75" t="str">
        <f>S18</f>
        <v>계</v>
      </c>
      <c r="AF18" s="75" t="str">
        <f>Q18&amp;"/"&amp;R18</f>
        <v>3/2</v>
      </c>
      <c r="AH18" s="20" t="str">
        <f t="shared" si="1"/>
        <v>원주롯데캐슬더퍼스트</v>
      </c>
      <c r="AI18" s="106">
        <f t="shared" si="0"/>
        <v>34</v>
      </c>
      <c r="AJ18" s="75" t="str">
        <f>IF(AI18="","",$AJ$2)</f>
        <v>A-</v>
      </c>
      <c r="AK18" s="75" t="s">
        <v>13</v>
      </c>
      <c r="AL18" s="75" t="s">
        <v>325</v>
      </c>
      <c r="AM18" s="75" t="s">
        <v>326</v>
      </c>
      <c r="AN18" s="75" t="str">
        <f>IF(AI18="","",$AN$2)</f>
        <v>C</v>
      </c>
      <c r="AO18" s="75" t="str">
        <f>IF(N18="","",IF(N18&gt;=$AO$1/100,"O","X"))</f>
        <v>X</v>
      </c>
      <c r="AP18" s="75" t="str">
        <f>IF(I18="","",IF(I18&lt;=$AP$1,"O","X"))</f>
        <v>O</v>
      </c>
      <c r="AQ18" s="75" t="str">
        <f>IF(O18="","",IF(O18&lt;=$AQ$1,"O","X"))</f>
        <v>O</v>
      </c>
      <c r="AR18" s="75" t="str">
        <f>IF(M18="","",IF(M18&lt;=$AR$1,"O","X"))</f>
        <v>X</v>
      </c>
      <c r="AS18" s="75" t="s">
        <v>2</v>
      </c>
      <c r="AT18" s="75" t="str">
        <f>IF(OR(F18="",AI18=""),"",IF(AND((F18&lt;=85),(AI18&gt;=15)),"O","X"))</f>
        <v>O</v>
      </c>
      <c r="AU18" s="75" t="str">
        <f>IF(C18="","",IF(C18&gt;=$AU$1,"O","X"))</f>
        <v>O</v>
      </c>
      <c r="AV18" s="75" t="str">
        <f>IF(AO18="","",IF(AND(AO18="O",AP18="O",AR18="O",AT18="O",AU18="O"),"후보","X"))</f>
        <v>X</v>
      </c>
    </row>
    <row r="19" spans="1:48" x14ac:dyDescent="0.3">
      <c r="A19" s="9"/>
      <c r="B19" s="75"/>
      <c r="C19" s="6"/>
      <c r="D19" s="9"/>
      <c r="E19" s="14"/>
      <c r="F19" s="104"/>
      <c r="G19" s="9"/>
      <c r="H19" s="9"/>
      <c r="I19" s="9"/>
      <c r="J19" s="9"/>
      <c r="K19" s="9"/>
      <c r="L19" s="9"/>
      <c r="M19" s="9"/>
      <c r="N19" s="9"/>
      <c r="O19" s="105"/>
      <c r="P19" s="105"/>
      <c r="Q19" s="106"/>
      <c r="R19" s="106"/>
      <c r="S19" s="9"/>
      <c r="T19" s="48"/>
      <c r="U19" s="9"/>
      <c r="W19" s="70" t="str">
        <f>$A$4&amp;" "&amp;A20&amp;"("&amp;B20&amp;","&amp;C20&amp;"^)"</f>
        <v>지정면 원주기업도시유보라아이비파크1단지('20.01.,548^)</v>
      </c>
      <c r="X19" s="71"/>
      <c r="Y19" s="71"/>
      <c r="Z19" s="71"/>
      <c r="AA19" s="71"/>
      <c r="AB19" s="71"/>
      <c r="AC19" s="71"/>
      <c r="AD19" s="71"/>
      <c r="AE19" s="71"/>
      <c r="AF19" s="72"/>
      <c r="AH19" s="20" t="str">
        <f t="shared" si="1"/>
        <v/>
      </c>
      <c r="AI19" s="103" t="str">
        <f t="shared" si="0"/>
        <v/>
      </c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</row>
    <row r="20" spans="1:48" ht="24" x14ac:dyDescent="0.3">
      <c r="A20" s="9" t="s">
        <v>152</v>
      </c>
      <c r="B20" s="10" t="s">
        <v>343</v>
      </c>
      <c r="C20" s="107">
        <v>548</v>
      </c>
      <c r="D20" s="104">
        <v>109.7</v>
      </c>
      <c r="E20" s="106">
        <v>33</v>
      </c>
      <c r="F20" s="104">
        <v>85</v>
      </c>
      <c r="G20" s="17">
        <v>26</v>
      </c>
      <c r="H20" s="107">
        <v>180</v>
      </c>
      <c r="I20" s="108">
        <v>39500</v>
      </c>
      <c r="J20" s="108" t="s">
        <v>101</v>
      </c>
      <c r="K20" s="108">
        <v>24000</v>
      </c>
      <c r="L20" s="108" t="s">
        <v>346</v>
      </c>
      <c r="M20" s="109">
        <f>I20-K20</f>
        <v>15500</v>
      </c>
      <c r="N20" s="4">
        <f>IF(ISERROR(K20/I20),"",K20/I20)</f>
        <v>0.60759493670886078</v>
      </c>
      <c r="O20" s="105">
        <f>I20/E20</f>
        <v>1196.969696969697</v>
      </c>
      <c r="P20" s="105">
        <f>K20/E20</f>
        <v>727.27272727272725</v>
      </c>
      <c r="Q20" s="75">
        <v>3</v>
      </c>
      <c r="R20" s="75">
        <v>2</v>
      </c>
      <c r="S20" s="75" t="s">
        <v>324</v>
      </c>
      <c r="T20" s="5" t="s">
        <v>153</v>
      </c>
      <c r="U20" s="9"/>
      <c r="W20" s="104">
        <f>D20</f>
        <v>109.7</v>
      </c>
      <c r="X20" s="106">
        <f>E20</f>
        <v>33</v>
      </c>
      <c r="Y20" s="102">
        <f>H20</f>
        <v>180</v>
      </c>
      <c r="Z20" s="109">
        <f>I20</f>
        <v>39500</v>
      </c>
      <c r="AA20" s="109">
        <f>K20</f>
        <v>24000</v>
      </c>
      <c r="AB20" s="109">
        <f>M20</f>
        <v>15500</v>
      </c>
      <c r="AC20" s="4">
        <f>N20</f>
        <v>0.60759493670886078</v>
      </c>
      <c r="AD20" s="105">
        <f>O20</f>
        <v>1196.969696969697</v>
      </c>
      <c r="AE20" s="75" t="str">
        <f>S20</f>
        <v>계</v>
      </c>
      <c r="AF20" s="75" t="str">
        <f>Q20&amp;"/"&amp;R20</f>
        <v>3/2</v>
      </c>
      <c r="AH20" s="20" t="str">
        <f t="shared" si="1"/>
        <v>원주기업도시유보라아이비파크1단지</v>
      </c>
      <c r="AI20" s="106">
        <f t="shared" si="0"/>
        <v>33</v>
      </c>
      <c r="AJ20" s="75" t="str">
        <f>IF(AI20="","",$AJ$2)</f>
        <v>A-</v>
      </c>
      <c r="AK20" s="75" t="s">
        <v>13</v>
      </c>
      <c r="AL20" s="75" t="s">
        <v>325</v>
      </c>
      <c r="AM20" s="75" t="s">
        <v>326</v>
      </c>
      <c r="AN20" s="75" t="str">
        <f>IF(AI20="","",$AN$2)</f>
        <v>C</v>
      </c>
      <c r="AO20" s="75" t="str">
        <f>IF(N20="","",IF(N20&gt;=$AO$1/100,"O","X"))</f>
        <v>X</v>
      </c>
      <c r="AP20" s="75" t="str">
        <f>IF(I20="","",IF(I20&lt;=$AP$1,"O","X"))</f>
        <v>O</v>
      </c>
      <c r="AQ20" s="75" t="str">
        <f>IF(O20="","",IF(O20&lt;=$AQ$1,"O","X"))</f>
        <v>O</v>
      </c>
      <c r="AR20" s="75" t="str">
        <f>IF(M20="","",IF(M20&lt;=$AR$1,"O","X"))</f>
        <v>X</v>
      </c>
      <c r="AS20" s="75" t="s">
        <v>2</v>
      </c>
      <c r="AT20" s="75" t="str">
        <f>IF(OR(F20="",AI20=""),"",IF(AND((F20&lt;=85),(AI20&gt;=15)),"O","X"))</f>
        <v>O</v>
      </c>
      <c r="AU20" s="75" t="str">
        <f>IF(C20="","",IF(C20&gt;=$AU$1,"O","X"))</f>
        <v>O</v>
      </c>
      <c r="AV20" s="75" t="str">
        <f>IF(AO20="","",IF(AND(AO20="O",AP20="O",AR20="O",AT20="O",AU20="O"),"후보","X"))</f>
        <v>X</v>
      </c>
    </row>
    <row r="21" spans="1:48" x14ac:dyDescent="0.3">
      <c r="A21" s="9"/>
      <c r="B21" s="75"/>
      <c r="C21" s="6"/>
      <c r="D21" s="9"/>
      <c r="E21" s="14"/>
      <c r="F21" s="104"/>
      <c r="G21" s="9"/>
      <c r="H21" s="9"/>
      <c r="I21" s="9"/>
      <c r="J21" s="9"/>
      <c r="K21" s="9"/>
      <c r="L21" s="9"/>
      <c r="M21" s="9"/>
      <c r="N21" s="9"/>
      <c r="O21" s="105"/>
      <c r="P21" s="105"/>
      <c r="Q21" s="106"/>
      <c r="R21" s="106"/>
      <c r="S21" s="9"/>
      <c r="T21" s="48"/>
      <c r="U21" s="9"/>
      <c r="W21" s="70" t="str">
        <f>$A$4&amp;" "&amp;A22&amp;"("&amp;B22&amp;","&amp;C22&amp;"^)"</f>
        <v>지정면 원주기업도시호반베르디움(3-1블록)('19.05.,892^)</v>
      </c>
      <c r="X21" s="71"/>
      <c r="Y21" s="71"/>
      <c r="Z21" s="71"/>
      <c r="AA21" s="71"/>
      <c r="AB21" s="71"/>
      <c r="AC21" s="71"/>
      <c r="AD21" s="71"/>
      <c r="AE21" s="71"/>
      <c r="AF21" s="72"/>
      <c r="AH21" s="20" t="str">
        <f t="shared" si="1"/>
        <v/>
      </c>
      <c r="AI21" s="103" t="str">
        <f t="shared" si="0"/>
        <v/>
      </c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</row>
    <row r="22" spans="1:48" ht="24" x14ac:dyDescent="0.3">
      <c r="A22" s="9" t="s">
        <v>154</v>
      </c>
      <c r="B22" s="10" t="s">
        <v>347</v>
      </c>
      <c r="C22" s="107">
        <v>892</v>
      </c>
      <c r="D22" s="104">
        <v>111</v>
      </c>
      <c r="E22" s="106">
        <v>34</v>
      </c>
      <c r="F22" s="104">
        <v>84.9</v>
      </c>
      <c r="G22" s="17">
        <v>26</v>
      </c>
      <c r="H22" s="107">
        <v>532</v>
      </c>
      <c r="I22" s="108">
        <v>39500</v>
      </c>
      <c r="J22" s="108" t="s">
        <v>336</v>
      </c>
      <c r="K22" s="108">
        <v>26000</v>
      </c>
      <c r="L22" s="108" t="s">
        <v>337</v>
      </c>
      <c r="M22" s="109">
        <f>I22-K22</f>
        <v>13500</v>
      </c>
      <c r="N22" s="4">
        <f>IF(ISERROR(K22/I22),"",K22/I22)</f>
        <v>0.65822784810126578</v>
      </c>
      <c r="O22" s="105">
        <f>I22/E22</f>
        <v>1161.7647058823529</v>
      </c>
      <c r="P22" s="105">
        <f>K22/E22</f>
        <v>764.70588235294122</v>
      </c>
      <c r="Q22" s="75">
        <v>4</v>
      </c>
      <c r="R22" s="75">
        <v>2</v>
      </c>
      <c r="S22" s="75" t="s">
        <v>324</v>
      </c>
      <c r="T22" s="5">
        <v>146</v>
      </c>
      <c r="U22" s="9"/>
      <c r="W22" s="104">
        <f>D22</f>
        <v>111</v>
      </c>
      <c r="X22" s="106">
        <f>E22</f>
        <v>34</v>
      </c>
      <c r="Y22" s="102">
        <f>H22</f>
        <v>532</v>
      </c>
      <c r="Z22" s="109">
        <f>I22</f>
        <v>39500</v>
      </c>
      <c r="AA22" s="109">
        <f>K22</f>
        <v>26000</v>
      </c>
      <c r="AB22" s="109">
        <f>M22</f>
        <v>13500</v>
      </c>
      <c r="AC22" s="4">
        <f>N22</f>
        <v>0.65822784810126578</v>
      </c>
      <c r="AD22" s="105">
        <f>O22</f>
        <v>1161.7647058823529</v>
      </c>
      <c r="AE22" s="75" t="str">
        <f>S22</f>
        <v>계</v>
      </c>
      <c r="AF22" s="75" t="str">
        <f>Q22&amp;"/"&amp;R22</f>
        <v>4/2</v>
      </c>
      <c r="AH22" s="20" t="str">
        <f t="shared" si="1"/>
        <v>원주기업도시호반베르디움(3-1블록)</v>
      </c>
      <c r="AI22" s="106">
        <f t="shared" si="0"/>
        <v>34</v>
      </c>
      <c r="AJ22" s="75" t="str">
        <f>IF(AI22="","",$AJ$2)</f>
        <v>A-</v>
      </c>
      <c r="AK22" s="75" t="s">
        <v>13</v>
      </c>
      <c r="AL22" s="75" t="s">
        <v>325</v>
      </c>
      <c r="AM22" s="75" t="s">
        <v>326</v>
      </c>
      <c r="AN22" s="75" t="str">
        <f>IF(AI22="","",$AN$2)</f>
        <v>C</v>
      </c>
      <c r="AO22" s="75" t="str">
        <f>IF(N22="","",IF(N22&gt;=$AO$1/100,"O","X"))</f>
        <v>X</v>
      </c>
      <c r="AP22" s="75" t="str">
        <f>IF(I22="","",IF(I22&lt;=$AP$1,"O","X"))</f>
        <v>O</v>
      </c>
      <c r="AQ22" s="75" t="str">
        <f>IF(O22="","",IF(O22&lt;=$AQ$1,"O","X"))</f>
        <v>O</v>
      </c>
      <c r="AR22" s="75" t="str">
        <f>IF(M22="","",IF(M22&lt;=$AR$1,"O","X"))</f>
        <v>X</v>
      </c>
      <c r="AS22" s="75" t="s">
        <v>2</v>
      </c>
      <c r="AT22" s="75" t="str">
        <f>IF(OR(F22="",AI22=""),"",IF(AND((F22&lt;=85),(AI22&gt;=15)),"O","X"))</f>
        <v>O</v>
      </c>
      <c r="AU22" s="75" t="str">
        <f>IF(C22="","",IF(C22&gt;=$AU$1,"O","X"))</f>
        <v>O</v>
      </c>
      <c r="AV22" s="75" t="str">
        <f>IF(AO22="","",IF(AND(AO22="O",AP22="O",AR22="O",AT22="O",AU22="O"),"후보","X"))</f>
        <v>X</v>
      </c>
    </row>
    <row r="23" spans="1:48" x14ac:dyDescent="0.3">
      <c r="A23" s="9"/>
      <c r="B23" s="75"/>
      <c r="C23" s="6"/>
      <c r="D23" s="9"/>
      <c r="E23" s="14"/>
      <c r="F23" s="104"/>
      <c r="G23" s="9"/>
      <c r="H23" s="9"/>
      <c r="I23" s="9"/>
      <c r="J23" s="9"/>
      <c r="K23" s="9"/>
      <c r="L23" s="9"/>
      <c r="M23" s="9"/>
      <c r="N23" s="9"/>
      <c r="O23" s="105"/>
      <c r="P23" s="105"/>
      <c r="Q23" s="106"/>
      <c r="R23" s="106"/>
      <c r="S23" s="9"/>
      <c r="T23" s="48"/>
      <c r="U23" s="9"/>
      <c r="W23" s="70" t="str">
        <f>$A$4&amp;" "&amp;A24&amp;"("&amp;B24&amp;","&amp;C24&amp;"^)"</f>
        <v>지정면 원주기업도시호반베르디움(3-2블록)('19.05.,824^)</v>
      </c>
      <c r="X23" s="71"/>
      <c r="Y23" s="71"/>
      <c r="Z23" s="71"/>
      <c r="AA23" s="71"/>
      <c r="AB23" s="71"/>
      <c r="AC23" s="71"/>
      <c r="AD23" s="71"/>
      <c r="AE23" s="71"/>
      <c r="AF23" s="72"/>
      <c r="AH23" s="20" t="str">
        <f t="shared" si="1"/>
        <v/>
      </c>
      <c r="AI23" s="103" t="str">
        <f t="shared" si="0"/>
        <v/>
      </c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</row>
    <row r="24" spans="1:48" ht="24" x14ac:dyDescent="0.3">
      <c r="A24" s="9" t="s">
        <v>159</v>
      </c>
      <c r="B24" s="10" t="s">
        <v>347</v>
      </c>
      <c r="C24" s="107">
        <v>824</v>
      </c>
      <c r="D24" s="104">
        <v>110.9</v>
      </c>
      <c r="E24" s="106">
        <v>34</v>
      </c>
      <c r="F24" s="104">
        <v>84.9</v>
      </c>
      <c r="G24" s="17">
        <v>26</v>
      </c>
      <c r="H24" s="107">
        <v>494</v>
      </c>
      <c r="I24" s="108">
        <v>39500</v>
      </c>
      <c r="J24" s="108" t="s">
        <v>335</v>
      </c>
      <c r="K24" s="108">
        <v>25000</v>
      </c>
      <c r="L24" s="108" t="s">
        <v>101</v>
      </c>
      <c r="M24" s="109">
        <f>I24-K24</f>
        <v>14500</v>
      </c>
      <c r="N24" s="4">
        <f>IF(ISERROR(K24/I24),"",K24/I24)</f>
        <v>0.63291139240506333</v>
      </c>
      <c r="O24" s="105">
        <f>I24/E24</f>
        <v>1161.7647058823529</v>
      </c>
      <c r="P24" s="105">
        <f>K24/E24</f>
        <v>735.29411764705878</v>
      </c>
      <c r="Q24" s="75">
        <v>3</v>
      </c>
      <c r="R24" s="75">
        <v>2</v>
      </c>
      <c r="S24" s="75" t="s">
        <v>324</v>
      </c>
      <c r="T24" s="5" t="s">
        <v>160</v>
      </c>
      <c r="U24" s="9"/>
      <c r="W24" s="104">
        <f>D24</f>
        <v>110.9</v>
      </c>
      <c r="X24" s="106">
        <f>E24</f>
        <v>34</v>
      </c>
      <c r="Y24" s="102">
        <f>H24</f>
        <v>494</v>
      </c>
      <c r="Z24" s="109">
        <f>I24</f>
        <v>39500</v>
      </c>
      <c r="AA24" s="109">
        <f>K24</f>
        <v>25000</v>
      </c>
      <c r="AB24" s="109">
        <f>M24</f>
        <v>14500</v>
      </c>
      <c r="AC24" s="4">
        <f>N24</f>
        <v>0.63291139240506333</v>
      </c>
      <c r="AD24" s="105">
        <f>O24</f>
        <v>1161.7647058823529</v>
      </c>
      <c r="AE24" s="75" t="str">
        <f>S24</f>
        <v>계</v>
      </c>
      <c r="AF24" s="75" t="str">
        <f>Q24&amp;"/"&amp;R24</f>
        <v>3/2</v>
      </c>
      <c r="AH24" s="20" t="str">
        <f t="shared" si="1"/>
        <v>원주기업도시호반베르디움(3-2블록)</v>
      </c>
      <c r="AI24" s="106">
        <f t="shared" si="0"/>
        <v>34</v>
      </c>
      <c r="AJ24" s="75" t="str">
        <f>IF(AI24="","",$AJ$2)</f>
        <v>A-</v>
      </c>
      <c r="AK24" s="75" t="s">
        <v>13</v>
      </c>
      <c r="AL24" s="75" t="s">
        <v>325</v>
      </c>
      <c r="AM24" s="75" t="s">
        <v>326</v>
      </c>
      <c r="AN24" s="75" t="str">
        <f>IF(AI24="","",$AN$2)</f>
        <v>C</v>
      </c>
      <c r="AO24" s="75" t="str">
        <f>IF(N24="","",IF(N24&gt;=$AO$1/100,"O","X"))</f>
        <v>X</v>
      </c>
      <c r="AP24" s="75" t="str">
        <f>IF(I24="","",IF(I24&lt;=$AP$1,"O","X"))</f>
        <v>O</v>
      </c>
      <c r="AQ24" s="75" t="str">
        <f>IF(O24="","",IF(O24&lt;=$AQ$1,"O","X"))</f>
        <v>O</v>
      </c>
      <c r="AR24" s="75" t="str">
        <f>IF(M24="","",IF(M24&lt;=$AR$1,"O","X"))</f>
        <v>X</v>
      </c>
      <c r="AS24" s="75" t="s">
        <v>2</v>
      </c>
      <c r="AT24" s="75" t="str">
        <f>IF(OR(F24="",AI24=""),"",IF(AND((F24&lt;=85),(AI24&gt;=15)),"O","X"))</f>
        <v>O</v>
      </c>
      <c r="AU24" s="75" t="str">
        <f>IF(C24="","",IF(C24&gt;=$AU$1,"O","X"))</f>
        <v>O</v>
      </c>
      <c r="AV24" s="75" t="str">
        <f>IF(AO24="","",IF(AND(AO24="O",AP24="O",AR24="O",AT24="O",AU24="O"),"후보","X"))</f>
        <v>X</v>
      </c>
    </row>
    <row r="25" spans="1:48" x14ac:dyDescent="0.3">
      <c r="A25" s="9"/>
      <c r="B25" s="75"/>
      <c r="C25" s="6"/>
      <c r="D25" s="9"/>
      <c r="E25" s="14"/>
      <c r="F25" s="104"/>
      <c r="G25" s="9"/>
      <c r="H25" s="9"/>
      <c r="I25" s="9"/>
      <c r="J25" s="9"/>
      <c r="K25" s="9"/>
      <c r="L25" s="9"/>
      <c r="M25" s="9"/>
      <c r="N25" s="9"/>
      <c r="O25" s="105"/>
      <c r="P25" s="105"/>
      <c r="Q25" s="106"/>
      <c r="R25" s="106"/>
      <c r="S25" s="9"/>
      <c r="T25" s="48"/>
      <c r="U25" s="9"/>
      <c r="W25" s="70" t="str">
        <f>$A$4&amp;" "&amp;A26&amp;"("&amp;B26&amp;","&amp;C26&amp;"^)"</f>
        <v>지정면 원주기업도시라온프라이빗('18.12.,713^)</v>
      </c>
      <c r="X25" s="71"/>
      <c r="Y25" s="71"/>
      <c r="Z25" s="71"/>
      <c r="AA25" s="71"/>
      <c r="AB25" s="71"/>
      <c r="AC25" s="71"/>
      <c r="AD25" s="71"/>
      <c r="AE25" s="71"/>
      <c r="AF25" s="72"/>
      <c r="AH25" s="20" t="str">
        <f t="shared" si="1"/>
        <v/>
      </c>
      <c r="AI25" s="103" t="str">
        <f t="shared" si="0"/>
        <v/>
      </c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</row>
    <row r="26" spans="1:48" x14ac:dyDescent="0.3">
      <c r="A26" s="9" t="s">
        <v>164</v>
      </c>
      <c r="B26" s="10" t="s">
        <v>332</v>
      </c>
      <c r="C26" s="107">
        <v>713</v>
      </c>
      <c r="D26" s="104">
        <v>113.4</v>
      </c>
      <c r="E26" s="106">
        <v>34</v>
      </c>
      <c r="F26" s="104">
        <v>84.7</v>
      </c>
      <c r="G26" s="17">
        <v>26</v>
      </c>
      <c r="H26" s="107">
        <v>178</v>
      </c>
      <c r="I26" s="108">
        <v>40000</v>
      </c>
      <c r="J26" s="108" t="s">
        <v>336</v>
      </c>
      <c r="K26" s="108">
        <v>29000</v>
      </c>
      <c r="L26" s="108" t="s">
        <v>336</v>
      </c>
      <c r="M26" s="109">
        <f>I26-K26</f>
        <v>11000</v>
      </c>
      <c r="N26" s="4">
        <f>IF(ISERROR(K26/I26),"",K26/I26)</f>
        <v>0.72499999999999998</v>
      </c>
      <c r="O26" s="105">
        <f>I26/E26</f>
        <v>1176.4705882352941</v>
      </c>
      <c r="P26" s="105">
        <f>K26/E26</f>
        <v>852.94117647058829</v>
      </c>
      <c r="Q26" s="75">
        <v>4</v>
      </c>
      <c r="R26" s="75">
        <v>2</v>
      </c>
      <c r="S26" s="75" t="s">
        <v>324</v>
      </c>
      <c r="T26" s="5">
        <v>137</v>
      </c>
      <c r="U26" s="9"/>
      <c r="W26" s="104">
        <f>D26</f>
        <v>113.4</v>
      </c>
      <c r="X26" s="106">
        <f>E26</f>
        <v>34</v>
      </c>
      <c r="Y26" s="102">
        <f>H26</f>
        <v>178</v>
      </c>
      <c r="Z26" s="109">
        <f>I26</f>
        <v>40000</v>
      </c>
      <c r="AA26" s="109">
        <f>K26</f>
        <v>29000</v>
      </c>
      <c r="AB26" s="109">
        <f>M26</f>
        <v>11000</v>
      </c>
      <c r="AC26" s="4">
        <f>N26</f>
        <v>0.72499999999999998</v>
      </c>
      <c r="AD26" s="105">
        <f>O26</f>
        <v>1176.4705882352941</v>
      </c>
      <c r="AE26" s="75" t="str">
        <f>S26</f>
        <v>계</v>
      </c>
      <c r="AF26" s="75" t="str">
        <f>Q26&amp;"/"&amp;R26</f>
        <v>4/2</v>
      </c>
      <c r="AH26" s="20" t="str">
        <f t="shared" si="1"/>
        <v>원주기업도시라온프라이빗</v>
      </c>
      <c r="AI26" s="106">
        <f t="shared" si="0"/>
        <v>34</v>
      </c>
      <c r="AJ26" s="75" t="str">
        <f>IF(AI26="","",$AJ$2)</f>
        <v>A-</v>
      </c>
      <c r="AK26" s="75" t="s">
        <v>13</v>
      </c>
      <c r="AL26" s="75" t="s">
        <v>325</v>
      </c>
      <c r="AM26" s="75" t="s">
        <v>326</v>
      </c>
      <c r="AN26" s="75" t="str">
        <f>IF(AI26="","",$AN$2)</f>
        <v>C</v>
      </c>
      <c r="AO26" s="75" t="str">
        <f>IF(N26="","",IF(N26&gt;=$AO$1/100,"O","X"))</f>
        <v>X</v>
      </c>
      <c r="AP26" s="75" t="str">
        <f>IF(I26="","",IF(I26&lt;=$AP$1,"O","X"))</f>
        <v>O</v>
      </c>
      <c r="AQ26" s="75" t="str">
        <f>IF(O26="","",IF(O26&lt;=$AQ$1,"O","X"))</f>
        <v>O</v>
      </c>
      <c r="AR26" s="75" t="str">
        <f>IF(M26="","",IF(M26&lt;=$AR$1,"O","X"))</f>
        <v>X</v>
      </c>
      <c r="AS26" s="75" t="s">
        <v>2</v>
      </c>
      <c r="AT26" s="75" t="str">
        <f>IF(OR(F26="",AI26=""),"",IF(AND((F26&lt;=85),(AI26&gt;=15)),"O","X"))</f>
        <v>O</v>
      </c>
      <c r="AU26" s="75" t="str">
        <f>IF(C26="","",IF(C26&gt;=$AU$1,"O","X"))</f>
        <v>O</v>
      </c>
      <c r="AV26" s="75" t="str">
        <f>IF(AO26="","",IF(AND(AO26="O",AP26="O",AR26="O",AT26="O",AU26="O"),"후보","X"))</f>
        <v>X</v>
      </c>
    </row>
    <row r="27" spans="1:48" x14ac:dyDescent="0.3">
      <c r="A27" s="9"/>
      <c r="B27" s="75"/>
      <c r="C27" s="6"/>
      <c r="D27" s="9"/>
      <c r="E27" s="14"/>
      <c r="F27" s="104"/>
      <c r="G27" s="9"/>
      <c r="H27" s="9"/>
      <c r="I27" s="9"/>
      <c r="J27" s="9"/>
      <c r="K27" s="9"/>
      <c r="L27" s="9"/>
      <c r="M27" s="9"/>
      <c r="N27" s="9"/>
      <c r="O27" s="105"/>
      <c r="P27" s="105"/>
      <c r="Q27" s="106"/>
      <c r="R27" s="106"/>
      <c r="S27" s="9"/>
      <c r="T27" s="48"/>
      <c r="U27" s="9"/>
      <c r="W27" s="70" t="str">
        <f>$A$4&amp;" "&amp;A28&amp;"("&amp;B28&amp;","&amp;C28&amp;"^)"</f>
        <v>지정면 이지더원더그레이스('20.06.,776^)</v>
      </c>
      <c r="X27" s="71"/>
      <c r="Y27" s="71"/>
      <c r="Z27" s="71"/>
      <c r="AA27" s="71"/>
      <c r="AB27" s="71"/>
      <c r="AC27" s="71"/>
      <c r="AD27" s="71"/>
      <c r="AE27" s="71"/>
      <c r="AF27" s="72"/>
      <c r="AH27" s="20" t="str">
        <f t="shared" si="1"/>
        <v/>
      </c>
      <c r="AI27" s="103" t="str">
        <f t="shared" si="0"/>
        <v/>
      </c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</row>
    <row r="28" spans="1:48" x14ac:dyDescent="0.3">
      <c r="A28" s="9" t="s">
        <v>126</v>
      </c>
      <c r="B28" s="10" t="s">
        <v>338</v>
      </c>
      <c r="C28" s="107">
        <v>776</v>
      </c>
      <c r="D28" s="104">
        <v>82</v>
      </c>
      <c r="E28" s="106">
        <v>25</v>
      </c>
      <c r="F28" s="104">
        <v>60</v>
      </c>
      <c r="G28" s="17">
        <v>18</v>
      </c>
      <c r="H28" s="107">
        <v>172</v>
      </c>
      <c r="I28" s="108">
        <v>28500</v>
      </c>
      <c r="J28" s="108" t="s">
        <v>101</v>
      </c>
      <c r="K28" s="108"/>
      <c r="L28" s="108"/>
      <c r="M28" s="109">
        <f>I28-K28</f>
        <v>28500</v>
      </c>
      <c r="N28" s="4">
        <f>IF(ISERROR(K28/I28),"",K28/I28)</f>
        <v>0</v>
      </c>
      <c r="O28" s="105">
        <f>I28/E28</f>
        <v>1140</v>
      </c>
      <c r="P28" s="105">
        <f>K28/E28</f>
        <v>0</v>
      </c>
      <c r="Q28" s="75">
        <v>3</v>
      </c>
      <c r="R28" s="75">
        <v>2</v>
      </c>
      <c r="S28" s="75" t="s">
        <v>324</v>
      </c>
      <c r="T28" s="5">
        <v>102</v>
      </c>
      <c r="U28" s="9"/>
      <c r="W28" s="104">
        <f>D28</f>
        <v>82</v>
      </c>
      <c r="X28" s="106">
        <f>E28</f>
        <v>25</v>
      </c>
      <c r="Y28" s="102">
        <f>H28</f>
        <v>172</v>
      </c>
      <c r="Z28" s="109">
        <f>I28</f>
        <v>28500</v>
      </c>
      <c r="AA28" s="109">
        <f>K28</f>
        <v>0</v>
      </c>
      <c r="AB28" s="109">
        <f>M28</f>
        <v>28500</v>
      </c>
      <c r="AC28" s="4">
        <f>N28</f>
        <v>0</v>
      </c>
      <c r="AD28" s="105">
        <f>O28</f>
        <v>1140</v>
      </c>
      <c r="AE28" s="75" t="str">
        <f>S28</f>
        <v>계</v>
      </c>
      <c r="AF28" s="75" t="str">
        <f>Q28&amp;"/"&amp;R28</f>
        <v>3/2</v>
      </c>
      <c r="AH28" s="20" t="str">
        <f t="shared" si="1"/>
        <v>이지더원더그레이스</v>
      </c>
      <c r="AI28" s="106">
        <f t="shared" si="0"/>
        <v>25</v>
      </c>
      <c r="AJ28" s="75" t="str">
        <f>IF(AI28="","",$AJ$2)</f>
        <v>A-</v>
      </c>
      <c r="AK28" s="75" t="s">
        <v>13</v>
      </c>
      <c r="AL28" s="75" t="s">
        <v>325</v>
      </c>
      <c r="AM28" s="75" t="s">
        <v>326</v>
      </c>
      <c r="AN28" s="75" t="str">
        <f>IF(AI28="","",$AN$2)</f>
        <v>C</v>
      </c>
      <c r="AO28" s="75" t="str">
        <f>IF(N28="","",IF(N28&gt;=$AO$1/100,"O","X"))</f>
        <v>X</v>
      </c>
      <c r="AP28" s="75" t="str">
        <f>IF(I28="","",IF(I28&lt;=$AP$1,"O","X"))</f>
        <v>O</v>
      </c>
      <c r="AQ28" s="75" t="str">
        <f>IF(O28="","",IF(O28&lt;=$AQ$1,"O","X"))</f>
        <v>O</v>
      </c>
      <c r="AR28" s="75" t="str">
        <f>IF(M28="","",IF(M28&lt;=$AR$1,"O","X"))</f>
        <v>X</v>
      </c>
      <c r="AS28" s="75" t="s">
        <v>2</v>
      </c>
      <c r="AT28" s="75" t="str">
        <f>IF(OR(F28="",AI28=""),"",IF(AND((F28&lt;=85),(AI28&gt;=15)),"O","X"))</f>
        <v>O</v>
      </c>
      <c r="AU28" s="75" t="str">
        <f>IF(C28="","",IF(C28&gt;=$AU$1,"O","X"))</f>
        <v>O</v>
      </c>
      <c r="AV28" s="75" t="str">
        <f>IF(AO28="","",IF(AND(AO28="O",AP28="O",AR28="O",AT28="O",AU28="O"),"후보","X"))</f>
        <v>X</v>
      </c>
    </row>
    <row r="29" spans="1:48" x14ac:dyDescent="0.3">
      <c r="A29" s="9"/>
      <c r="B29" s="75"/>
      <c r="C29" s="6"/>
      <c r="D29" s="9"/>
      <c r="E29" s="14"/>
      <c r="F29" s="104"/>
      <c r="G29" s="9"/>
      <c r="H29" s="9"/>
      <c r="I29" s="9"/>
      <c r="J29" s="9"/>
      <c r="K29" s="9"/>
      <c r="L29" s="9"/>
      <c r="M29" s="9"/>
      <c r="N29" s="9"/>
      <c r="O29" s="105"/>
      <c r="P29" s="105"/>
      <c r="Q29" s="106"/>
      <c r="R29" s="106"/>
      <c r="S29" s="9"/>
      <c r="T29" s="48"/>
      <c r="U29" s="9"/>
      <c r="W29" s="70" t="str">
        <f>$A$4&amp;" "&amp;A30&amp;"("&amp;B30&amp;","&amp;C30&amp;"^)"</f>
        <v>지정면 원주롯데캐슬골드파크2차('19.12.,536^)</v>
      </c>
      <c r="X29" s="71"/>
      <c r="Y29" s="71"/>
      <c r="Z29" s="71"/>
      <c r="AA29" s="71"/>
      <c r="AB29" s="71"/>
      <c r="AC29" s="71"/>
      <c r="AD29" s="71"/>
      <c r="AE29" s="71"/>
      <c r="AF29" s="72"/>
      <c r="AH29" s="20" t="str">
        <f t="shared" si="1"/>
        <v/>
      </c>
      <c r="AI29" s="103" t="str">
        <f t="shared" si="0"/>
        <v/>
      </c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</row>
    <row r="30" spans="1:48" x14ac:dyDescent="0.3">
      <c r="A30" s="9" t="s">
        <v>115</v>
      </c>
      <c r="B30" s="10" t="s">
        <v>334</v>
      </c>
      <c r="C30" s="107">
        <v>536</v>
      </c>
      <c r="D30" s="104">
        <v>81.2</v>
      </c>
      <c r="E30" s="106">
        <v>25</v>
      </c>
      <c r="F30" s="104">
        <v>60</v>
      </c>
      <c r="G30" s="17">
        <v>18</v>
      </c>
      <c r="H30" s="107">
        <v>128</v>
      </c>
      <c r="I30" s="108">
        <v>34500</v>
      </c>
      <c r="J30" s="108" t="s">
        <v>101</v>
      </c>
      <c r="K30" s="108"/>
      <c r="L30" s="108"/>
      <c r="M30" s="109">
        <f>I30-K30</f>
        <v>34500</v>
      </c>
      <c r="N30" s="4">
        <f>IF(ISERROR(K30/I30),"",K30/I30)</f>
        <v>0</v>
      </c>
      <c r="O30" s="105">
        <f>I30/E30</f>
        <v>1380</v>
      </c>
      <c r="P30" s="105">
        <f>K30/E30</f>
        <v>0</v>
      </c>
      <c r="Q30" s="75">
        <v>3</v>
      </c>
      <c r="R30" s="75">
        <v>2</v>
      </c>
      <c r="S30" s="75" t="s">
        <v>324</v>
      </c>
      <c r="T30" s="5">
        <v>104</v>
      </c>
      <c r="U30" s="9"/>
      <c r="W30" s="104">
        <f>D30</f>
        <v>81.2</v>
      </c>
      <c r="X30" s="106">
        <f>E30</f>
        <v>25</v>
      </c>
      <c r="Y30" s="102">
        <f>H30</f>
        <v>128</v>
      </c>
      <c r="Z30" s="109">
        <f>I30</f>
        <v>34500</v>
      </c>
      <c r="AA30" s="109">
        <f>K30</f>
        <v>0</v>
      </c>
      <c r="AB30" s="109">
        <f>M30</f>
        <v>34500</v>
      </c>
      <c r="AC30" s="4">
        <f>N30</f>
        <v>0</v>
      </c>
      <c r="AD30" s="105">
        <f>O30</f>
        <v>1380</v>
      </c>
      <c r="AE30" s="75" t="str">
        <f>S30</f>
        <v>계</v>
      </c>
      <c r="AF30" s="75" t="str">
        <f>Q30&amp;"/"&amp;R30</f>
        <v>3/2</v>
      </c>
      <c r="AH30" s="20" t="str">
        <f t="shared" si="1"/>
        <v>원주롯데캐슬골드파크2차</v>
      </c>
      <c r="AI30" s="106">
        <f t="shared" si="0"/>
        <v>25</v>
      </c>
      <c r="AJ30" s="75" t="str">
        <f>IF(AI30="","",$AJ$2)</f>
        <v>A-</v>
      </c>
      <c r="AK30" s="75" t="s">
        <v>13</v>
      </c>
      <c r="AL30" s="75" t="s">
        <v>325</v>
      </c>
      <c r="AM30" s="75" t="s">
        <v>326</v>
      </c>
      <c r="AN30" s="75" t="str">
        <f>IF(AI30="","",$AN$2)</f>
        <v>C</v>
      </c>
      <c r="AO30" s="75" t="str">
        <f>IF(N30="","",IF(N30&gt;=$AO$1/100,"O","X"))</f>
        <v>X</v>
      </c>
      <c r="AP30" s="75" t="str">
        <f>IF(I30="","",IF(I30&lt;=$AP$1,"O","X"))</f>
        <v>O</v>
      </c>
      <c r="AQ30" s="75" t="str">
        <f>IF(O30="","",IF(O30&lt;=$AQ$1,"O","X"))</f>
        <v>O</v>
      </c>
      <c r="AR30" s="75" t="str">
        <f>IF(M30="","",IF(M30&lt;=$AR$1,"O","X"))</f>
        <v>X</v>
      </c>
      <c r="AS30" s="75" t="s">
        <v>2</v>
      </c>
      <c r="AT30" s="75" t="str">
        <f>IF(OR(F30="",AI30=""),"",IF(AND((F30&lt;=85),(AI30&gt;=15)),"O","X"))</f>
        <v>O</v>
      </c>
      <c r="AU30" s="75" t="str">
        <f>IF(C30="","",IF(C30&gt;=$AU$1,"O","X"))</f>
        <v>O</v>
      </c>
      <c r="AV30" s="75" t="str">
        <f>IF(AO30="","",IF(AND(AO30="O",AP30="O",AR30="O",AT30="O",AU30="O"),"후보","X"))</f>
        <v>X</v>
      </c>
    </row>
    <row r="31" spans="1:48" x14ac:dyDescent="0.3">
      <c r="A31" s="9"/>
      <c r="B31" s="75"/>
      <c r="C31" s="6"/>
      <c r="D31" s="9"/>
      <c r="E31" s="14"/>
      <c r="F31" s="104"/>
      <c r="G31" s="9"/>
      <c r="H31" s="9"/>
      <c r="I31" s="9"/>
      <c r="J31" s="9"/>
      <c r="K31" s="9"/>
      <c r="L31" s="9"/>
      <c r="M31" s="9"/>
      <c r="N31" s="9"/>
      <c r="O31" s="105"/>
      <c r="P31" s="105"/>
      <c r="Q31" s="106"/>
      <c r="R31" s="106"/>
      <c r="S31" s="9"/>
      <c r="T31" s="48"/>
      <c r="U31" s="9"/>
      <c r="W31" s="70" t="str">
        <f>$A$4&amp;" "&amp;A32&amp;"("&amp;B32&amp;","&amp;C32&amp;"^)"</f>
        <v>지정면 이지더원1차('19.01.,1430^)</v>
      </c>
      <c r="X31" s="71"/>
      <c r="Y31" s="71"/>
      <c r="Z31" s="71"/>
      <c r="AA31" s="71"/>
      <c r="AB31" s="71"/>
      <c r="AC31" s="71"/>
      <c r="AD31" s="71"/>
      <c r="AE31" s="71"/>
      <c r="AF31" s="72"/>
      <c r="AH31" s="20" t="str">
        <f t="shared" si="1"/>
        <v/>
      </c>
      <c r="AI31" s="103" t="str">
        <f t="shared" si="0"/>
        <v/>
      </c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</row>
    <row r="32" spans="1:48" x14ac:dyDescent="0.3">
      <c r="A32" s="9" t="s">
        <v>174</v>
      </c>
      <c r="B32" s="10" t="s">
        <v>348</v>
      </c>
      <c r="C32" s="107">
        <v>1430</v>
      </c>
      <c r="D32" s="104">
        <v>110.8</v>
      </c>
      <c r="E32" s="106">
        <v>34</v>
      </c>
      <c r="F32" s="104">
        <v>85</v>
      </c>
      <c r="G32" s="17">
        <v>26</v>
      </c>
      <c r="H32" s="107">
        <v>880</v>
      </c>
      <c r="I32" s="108">
        <v>35000</v>
      </c>
      <c r="J32" s="108" t="s">
        <v>101</v>
      </c>
      <c r="K32" s="108">
        <v>23000</v>
      </c>
      <c r="L32" s="108" t="s">
        <v>346</v>
      </c>
      <c r="M32" s="109">
        <f>I32-K32</f>
        <v>12000</v>
      </c>
      <c r="N32" s="4">
        <f>IF(ISERROR(K32/I32),"",K32/I32)</f>
        <v>0.65714285714285714</v>
      </c>
      <c r="O32" s="105">
        <f>I32/E32</f>
        <v>1029.4117647058824</v>
      </c>
      <c r="P32" s="105">
        <f>K32/E32</f>
        <v>676.47058823529414</v>
      </c>
      <c r="Q32" s="75">
        <v>3</v>
      </c>
      <c r="R32" s="75">
        <v>1</v>
      </c>
      <c r="S32" s="75" t="s">
        <v>324</v>
      </c>
      <c r="T32" s="5">
        <v>73</v>
      </c>
      <c r="U32" s="9"/>
      <c r="W32" s="104">
        <f>D32</f>
        <v>110.8</v>
      </c>
      <c r="X32" s="106">
        <f>E32</f>
        <v>34</v>
      </c>
      <c r="Y32" s="102">
        <f>H32</f>
        <v>880</v>
      </c>
      <c r="Z32" s="109">
        <f>I32</f>
        <v>35000</v>
      </c>
      <c r="AA32" s="109">
        <f>K32</f>
        <v>23000</v>
      </c>
      <c r="AB32" s="109">
        <f>M32</f>
        <v>12000</v>
      </c>
      <c r="AC32" s="4">
        <f>N32</f>
        <v>0.65714285714285714</v>
      </c>
      <c r="AD32" s="105">
        <f>O32</f>
        <v>1029.4117647058824</v>
      </c>
      <c r="AE32" s="75" t="str">
        <f>S32</f>
        <v>계</v>
      </c>
      <c r="AF32" s="75" t="str">
        <f>Q32&amp;"/"&amp;R32</f>
        <v>3/1</v>
      </c>
      <c r="AH32" s="20" t="str">
        <f t="shared" si="1"/>
        <v>이지더원1차</v>
      </c>
      <c r="AI32" s="106">
        <f t="shared" si="0"/>
        <v>34</v>
      </c>
      <c r="AJ32" s="75" t="str">
        <f>IF(AI32="","",$AJ$2)</f>
        <v>A-</v>
      </c>
      <c r="AK32" s="75" t="s">
        <v>13</v>
      </c>
      <c r="AL32" s="75" t="s">
        <v>325</v>
      </c>
      <c r="AM32" s="75" t="s">
        <v>326</v>
      </c>
      <c r="AN32" s="75" t="str">
        <f>IF(AI32="","",$AN$2)</f>
        <v>C</v>
      </c>
      <c r="AO32" s="75" t="str">
        <f>IF(N32="","",IF(N32&gt;=$AO$1/100,"O","X"))</f>
        <v>X</v>
      </c>
      <c r="AP32" s="75" t="str">
        <f>IF(I32="","",IF(I32&lt;=$AP$1,"O","X"))</f>
        <v>O</v>
      </c>
      <c r="AQ32" s="75" t="str">
        <f>IF(O32="","",IF(O32&lt;=$AQ$1,"O","X"))</f>
        <v>O</v>
      </c>
      <c r="AR32" s="75" t="str">
        <f>IF(M32="","",IF(M32&lt;=$AR$1,"O","X"))</f>
        <v>X</v>
      </c>
      <c r="AS32" s="75" t="s">
        <v>2</v>
      </c>
      <c r="AT32" s="75" t="str">
        <f>IF(OR(F32="",AI32=""),"",IF(AND((F32&lt;=85),(AI32&gt;=15)),"O","X"))</f>
        <v>O</v>
      </c>
      <c r="AU32" s="75" t="str">
        <f>IF(C32="","",IF(C32&gt;=$AU$1,"O","X"))</f>
        <v>O</v>
      </c>
      <c r="AV32" s="75" t="str">
        <f>IF(AO32="","",IF(AND(AO32="O",AP32="O",AR32="O",AT32="O",AU32="O"),"후보","X"))</f>
        <v>X</v>
      </c>
    </row>
    <row r="33" spans="1:48" x14ac:dyDescent="0.3">
      <c r="A33" s="9"/>
      <c r="B33" s="75"/>
      <c r="C33" s="6"/>
      <c r="D33" s="9"/>
      <c r="E33" s="14"/>
      <c r="F33" s="104"/>
      <c r="G33" s="9"/>
      <c r="H33" s="9"/>
      <c r="I33" s="9"/>
      <c r="J33" s="9"/>
      <c r="K33" s="9"/>
      <c r="L33" s="9"/>
      <c r="M33" s="9"/>
      <c r="N33" s="9"/>
      <c r="O33" s="105"/>
      <c r="P33" s="105"/>
      <c r="Q33" s="106"/>
      <c r="R33" s="106"/>
      <c r="S33" s="9"/>
      <c r="T33" s="48"/>
      <c r="U33" s="9"/>
      <c r="W33" s="70" t="str">
        <f>$A$4&amp;" "&amp;A34&amp;"("&amp;B34&amp;","&amp;C34&amp;"^)"</f>
        <v>지정면 원주롯데캐슬골드파크1차('19.12.,624^)</v>
      </c>
      <c r="X33" s="71"/>
      <c r="Y33" s="71"/>
      <c r="Z33" s="71"/>
      <c r="AA33" s="71"/>
      <c r="AB33" s="71"/>
      <c r="AC33" s="71"/>
      <c r="AD33" s="71"/>
      <c r="AE33" s="71"/>
      <c r="AF33" s="72"/>
      <c r="AH33" s="20" t="str">
        <f t="shared" si="1"/>
        <v/>
      </c>
      <c r="AI33" s="103" t="str">
        <f t="shared" si="0"/>
        <v/>
      </c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</row>
    <row r="34" spans="1:48" x14ac:dyDescent="0.3">
      <c r="A34" s="9" t="s">
        <v>121</v>
      </c>
      <c r="B34" s="10" t="s">
        <v>334</v>
      </c>
      <c r="C34" s="107">
        <v>624</v>
      </c>
      <c r="D34" s="104">
        <v>81.599999999999994</v>
      </c>
      <c r="E34" s="106">
        <v>25</v>
      </c>
      <c r="F34" s="104">
        <v>60</v>
      </c>
      <c r="G34" s="17">
        <v>18</v>
      </c>
      <c r="H34" s="107">
        <v>157</v>
      </c>
      <c r="I34" s="108">
        <v>33000</v>
      </c>
      <c r="J34" s="108" t="s">
        <v>94</v>
      </c>
      <c r="K34" s="108">
        <v>22000</v>
      </c>
      <c r="L34" s="108" t="s">
        <v>349</v>
      </c>
      <c r="M34" s="109">
        <f>I34-K34</f>
        <v>11000</v>
      </c>
      <c r="N34" s="4">
        <f>IF(ISERROR(K34/I34),"",K34/I34)</f>
        <v>0.66666666666666663</v>
      </c>
      <c r="O34" s="105">
        <f>I34/E34</f>
        <v>1320</v>
      </c>
      <c r="P34" s="105">
        <f>K34/E34</f>
        <v>880</v>
      </c>
      <c r="Q34" s="75">
        <v>3</v>
      </c>
      <c r="R34" s="75">
        <v>2</v>
      </c>
      <c r="S34" s="75" t="s">
        <v>324</v>
      </c>
      <c r="T34" s="5" t="s">
        <v>179</v>
      </c>
      <c r="U34" s="9"/>
      <c r="W34" s="104">
        <f>D34</f>
        <v>81.599999999999994</v>
      </c>
      <c r="X34" s="106">
        <f>E34</f>
        <v>25</v>
      </c>
      <c r="Y34" s="102">
        <f>H34</f>
        <v>157</v>
      </c>
      <c r="Z34" s="109">
        <f>I34</f>
        <v>33000</v>
      </c>
      <c r="AA34" s="109">
        <f>K34</f>
        <v>22000</v>
      </c>
      <c r="AB34" s="109">
        <f>M34</f>
        <v>11000</v>
      </c>
      <c r="AC34" s="4">
        <f>N34</f>
        <v>0.66666666666666663</v>
      </c>
      <c r="AD34" s="105">
        <f>O34</f>
        <v>1320</v>
      </c>
      <c r="AE34" s="75" t="str">
        <f>S34</f>
        <v>계</v>
      </c>
      <c r="AF34" s="75" t="str">
        <f>Q34&amp;"/"&amp;R34</f>
        <v>3/2</v>
      </c>
      <c r="AH34" s="20" t="str">
        <f t="shared" si="1"/>
        <v>원주롯데캐슬골드파크1차</v>
      </c>
      <c r="AI34" s="106">
        <f t="shared" si="0"/>
        <v>25</v>
      </c>
      <c r="AJ34" s="75" t="str">
        <f>IF(AI34="","",$AJ$2)</f>
        <v>A-</v>
      </c>
      <c r="AK34" s="75" t="s">
        <v>13</v>
      </c>
      <c r="AL34" s="75" t="s">
        <v>325</v>
      </c>
      <c r="AM34" s="75" t="s">
        <v>326</v>
      </c>
      <c r="AN34" s="75" t="str">
        <f>IF(AI34="","",$AN$2)</f>
        <v>C</v>
      </c>
      <c r="AO34" s="75" t="str">
        <f>IF(N34="","",IF(N34&gt;=$AO$1/100,"O","X"))</f>
        <v>X</v>
      </c>
      <c r="AP34" s="75" t="str">
        <f>IF(I34="","",IF(I34&lt;=$AP$1,"O","X"))</f>
        <v>O</v>
      </c>
      <c r="AQ34" s="75" t="str">
        <f>IF(O34="","",IF(O34&lt;=$AQ$1,"O","X"))</f>
        <v>O</v>
      </c>
      <c r="AR34" s="75" t="str">
        <f>IF(M34="","",IF(M34&lt;=$AR$1,"O","X"))</f>
        <v>X</v>
      </c>
      <c r="AS34" s="75" t="s">
        <v>2</v>
      </c>
      <c r="AT34" s="75" t="str">
        <f>IF(OR(F34="",AI34=""),"",IF(AND((F34&lt;=85),(AI34&gt;=15)),"O","X"))</f>
        <v>O</v>
      </c>
      <c r="AU34" s="75" t="str">
        <f>IF(C34="","",IF(C34&gt;=$AU$1,"O","X"))</f>
        <v>O</v>
      </c>
      <c r="AV34" s="75" t="str">
        <f>IF(AO34="","",IF(AND(AO34="O",AP34="O",AR34="O",AT34="O",AU34="O"),"후보","X"))</f>
        <v>X</v>
      </c>
    </row>
    <row r="35" spans="1:48" x14ac:dyDescent="0.3">
      <c r="A35" s="9"/>
      <c r="B35" s="75"/>
      <c r="C35" s="6"/>
      <c r="D35" s="9"/>
      <c r="E35" s="14"/>
      <c r="F35" s="104"/>
      <c r="G35" s="9"/>
      <c r="H35" s="9"/>
      <c r="I35" s="9"/>
      <c r="J35" s="9"/>
      <c r="K35" s="9"/>
      <c r="L35" s="9"/>
      <c r="M35" s="9"/>
      <c r="N35" s="9"/>
      <c r="O35" s="105"/>
      <c r="P35" s="105"/>
      <c r="Q35" s="106"/>
      <c r="R35" s="106"/>
      <c r="S35" s="9"/>
      <c r="T35" s="48"/>
      <c r="U35" s="9"/>
      <c r="W35" s="70" t="str">
        <f>$A$4&amp;" "&amp;A36&amp;"("&amp;B36&amp;","&amp;C36&amp;"^)"</f>
        <v>지정면 원주기업도시유보라아이비파크2단지('20.01.,794^)</v>
      </c>
      <c r="X35" s="71"/>
      <c r="Y35" s="71"/>
      <c r="Z35" s="71"/>
      <c r="AA35" s="71"/>
      <c r="AB35" s="71"/>
      <c r="AC35" s="71"/>
      <c r="AD35" s="71"/>
      <c r="AE35" s="71"/>
      <c r="AF35" s="72"/>
      <c r="AH35" s="20" t="str">
        <f t="shared" si="1"/>
        <v/>
      </c>
      <c r="AI35" s="103" t="str">
        <f t="shared" ref="AI35:AI52" si="2">IF(E35="","",E35)</f>
        <v/>
      </c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</row>
    <row r="36" spans="1:48" ht="24" x14ac:dyDescent="0.3">
      <c r="A36" s="9" t="s">
        <v>139</v>
      </c>
      <c r="B36" s="10" t="s">
        <v>343</v>
      </c>
      <c r="C36" s="107">
        <v>794</v>
      </c>
      <c r="D36" s="104">
        <v>80.5</v>
      </c>
      <c r="E36" s="106">
        <v>24</v>
      </c>
      <c r="F36" s="104">
        <v>60</v>
      </c>
      <c r="G36" s="17">
        <v>18</v>
      </c>
      <c r="H36" s="107">
        <v>34</v>
      </c>
      <c r="I36" s="108">
        <v>29000</v>
      </c>
      <c r="J36" s="108" t="s">
        <v>344</v>
      </c>
      <c r="K36" s="108"/>
      <c r="L36" s="108"/>
      <c r="M36" s="109">
        <f>I36-K36</f>
        <v>29000</v>
      </c>
      <c r="N36" s="4">
        <f>IF(ISERROR(K36/I36),"",K36/I36)</f>
        <v>0</v>
      </c>
      <c r="O36" s="105">
        <f>I36/E36</f>
        <v>1208.3333333333333</v>
      </c>
      <c r="P36" s="105">
        <f>K36/E36</f>
        <v>0</v>
      </c>
      <c r="Q36" s="75">
        <v>4</v>
      </c>
      <c r="R36" s="75">
        <v>2</v>
      </c>
      <c r="S36" s="75" t="s">
        <v>324</v>
      </c>
      <c r="T36" s="5">
        <v>135</v>
      </c>
      <c r="U36" s="9"/>
      <c r="W36" s="104">
        <f>D36</f>
        <v>80.5</v>
      </c>
      <c r="X36" s="106">
        <f>E36</f>
        <v>24</v>
      </c>
      <c r="Y36" s="102">
        <f>H36</f>
        <v>34</v>
      </c>
      <c r="Z36" s="109">
        <f>I36</f>
        <v>29000</v>
      </c>
      <c r="AA36" s="109">
        <f>K36</f>
        <v>0</v>
      </c>
      <c r="AB36" s="109">
        <f>M36</f>
        <v>29000</v>
      </c>
      <c r="AC36" s="4">
        <f>N36</f>
        <v>0</v>
      </c>
      <c r="AD36" s="105">
        <f>O36</f>
        <v>1208.3333333333333</v>
      </c>
      <c r="AE36" s="75" t="str">
        <f>S36</f>
        <v>계</v>
      </c>
      <c r="AF36" s="75" t="str">
        <f>Q36&amp;"/"&amp;R36</f>
        <v>4/2</v>
      </c>
      <c r="AH36" s="20" t="str">
        <f t="shared" si="1"/>
        <v>원주기업도시유보라아이비파크2단지</v>
      </c>
      <c r="AI36" s="106">
        <f t="shared" si="2"/>
        <v>24</v>
      </c>
      <c r="AJ36" s="75" t="str">
        <f>IF(AI36="","",$AJ$2)</f>
        <v>A-</v>
      </c>
      <c r="AK36" s="75" t="s">
        <v>13</v>
      </c>
      <c r="AL36" s="75" t="s">
        <v>325</v>
      </c>
      <c r="AM36" s="75" t="s">
        <v>326</v>
      </c>
      <c r="AN36" s="75" t="str">
        <f>IF(AI36="","",$AN$2)</f>
        <v>C</v>
      </c>
      <c r="AO36" s="75" t="str">
        <f>IF(N36="","",IF(N36&gt;=$AO$1/100,"O","X"))</f>
        <v>X</v>
      </c>
      <c r="AP36" s="75" t="str">
        <f>IF(I36="","",IF(I36&lt;=$AP$1,"O","X"))</f>
        <v>O</v>
      </c>
      <c r="AQ36" s="75" t="str">
        <f>IF(O36="","",IF(O36&lt;=$AQ$1,"O","X"))</f>
        <v>O</v>
      </c>
      <c r="AR36" s="75" t="str">
        <f>IF(M36="","",IF(M36&lt;=$AR$1,"O","X"))</f>
        <v>X</v>
      </c>
      <c r="AS36" s="75" t="s">
        <v>2</v>
      </c>
      <c r="AT36" s="75" t="str">
        <f>IF(OR(F36="",AI36=""),"",IF(AND((F36&lt;=85),(AI36&gt;=15)),"O","X"))</f>
        <v>O</v>
      </c>
      <c r="AU36" s="75" t="str">
        <f>IF(C36="","",IF(C36&gt;=$AU$1,"O","X"))</f>
        <v>O</v>
      </c>
      <c r="AV36" s="75" t="str">
        <f>IF(AO36="","",IF(AND(AO36="O",AP36="O",AR36="O",AT36="O",AU36="O"),"후보","X"))</f>
        <v>X</v>
      </c>
    </row>
    <row r="37" spans="1:48" x14ac:dyDescent="0.3">
      <c r="A37" s="9"/>
      <c r="B37" s="75"/>
      <c r="C37" s="6"/>
      <c r="D37" s="9"/>
      <c r="E37" s="14"/>
      <c r="F37" s="104"/>
      <c r="G37" s="9"/>
      <c r="H37" s="9"/>
      <c r="I37" s="9"/>
      <c r="J37" s="9"/>
      <c r="K37" s="9"/>
      <c r="L37" s="9"/>
      <c r="M37" s="9"/>
      <c r="N37" s="9"/>
      <c r="O37" s="105"/>
      <c r="P37" s="105"/>
      <c r="Q37" s="106"/>
      <c r="R37" s="106"/>
      <c r="S37" s="9"/>
      <c r="T37" s="48"/>
      <c r="U37" s="9"/>
      <c r="W37" s="70" t="str">
        <f>$A$4&amp;" "&amp;A38&amp;"("&amp;B38&amp;","&amp;C38&amp;"^)"</f>
        <v>지정면 원주기업도시호반베르디움(3-2블록)('19.05.,824^)</v>
      </c>
      <c r="X37" s="71"/>
      <c r="Y37" s="71"/>
      <c r="Z37" s="71"/>
      <c r="AA37" s="71"/>
      <c r="AB37" s="71"/>
      <c r="AC37" s="71"/>
      <c r="AD37" s="71"/>
      <c r="AE37" s="71"/>
      <c r="AF37" s="72"/>
      <c r="AH37" s="20" t="str">
        <f t="shared" si="1"/>
        <v/>
      </c>
      <c r="AI37" s="103" t="str">
        <f t="shared" si="2"/>
        <v/>
      </c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</row>
    <row r="38" spans="1:48" ht="24" x14ac:dyDescent="0.3">
      <c r="A38" s="9" t="s">
        <v>159</v>
      </c>
      <c r="B38" s="10" t="s">
        <v>347</v>
      </c>
      <c r="C38" s="107">
        <v>824</v>
      </c>
      <c r="D38" s="104">
        <v>83.1</v>
      </c>
      <c r="E38" s="106">
        <v>25</v>
      </c>
      <c r="F38" s="104">
        <v>60</v>
      </c>
      <c r="G38" s="17">
        <v>18</v>
      </c>
      <c r="H38" s="107">
        <v>244</v>
      </c>
      <c r="I38" s="108">
        <v>28000</v>
      </c>
      <c r="J38" s="108" t="s">
        <v>101</v>
      </c>
      <c r="K38" s="108">
        <v>20000</v>
      </c>
      <c r="L38" s="108" t="s">
        <v>327</v>
      </c>
      <c r="M38" s="109">
        <f>I38-K38</f>
        <v>8000</v>
      </c>
      <c r="N38" s="4">
        <f>IF(ISERROR(K38/I38),"",K38/I38)</f>
        <v>0.7142857142857143</v>
      </c>
      <c r="O38" s="105">
        <f>I38/E38</f>
        <v>1120</v>
      </c>
      <c r="P38" s="105">
        <f>K38/E38</f>
        <v>800</v>
      </c>
      <c r="Q38" s="75">
        <v>3</v>
      </c>
      <c r="R38" s="75">
        <v>2</v>
      </c>
      <c r="S38" s="75" t="s">
        <v>324</v>
      </c>
      <c r="T38" s="5" t="s">
        <v>183</v>
      </c>
      <c r="U38" s="9"/>
      <c r="W38" s="104">
        <f>D38</f>
        <v>83.1</v>
      </c>
      <c r="X38" s="106">
        <f>E38</f>
        <v>25</v>
      </c>
      <c r="Y38" s="102">
        <f>H38</f>
        <v>244</v>
      </c>
      <c r="Z38" s="109">
        <f>I38</f>
        <v>28000</v>
      </c>
      <c r="AA38" s="109">
        <f>K38</f>
        <v>20000</v>
      </c>
      <c r="AB38" s="109">
        <f>M38</f>
        <v>8000</v>
      </c>
      <c r="AC38" s="4">
        <f>N38</f>
        <v>0.7142857142857143</v>
      </c>
      <c r="AD38" s="105">
        <f>O38</f>
        <v>1120</v>
      </c>
      <c r="AE38" s="75" t="str">
        <f>S38</f>
        <v>계</v>
      </c>
      <c r="AF38" s="75" t="str">
        <f>Q38&amp;"/"&amp;R38</f>
        <v>3/2</v>
      </c>
      <c r="AH38" s="20" t="str">
        <f t="shared" si="1"/>
        <v>원주기업도시호반베르디움(3-2블록)</v>
      </c>
      <c r="AI38" s="106">
        <f t="shared" si="2"/>
        <v>25</v>
      </c>
      <c r="AJ38" s="75" t="str">
        <f>IF(AI38="","",$AJ$2)</f>
        <v>A-</v>
      </c>
      <c r="AK38" s="75" t="s">
        <v>13</v>
      </c>
      <c r="AL38" s="75" t="s">
        <v>325</v>
      </c>
      <c r="AM38" s="75" t="s">
        <v>326</v>
      </c>
      <c r="AN38" s="75" t="str">
        <f>IF(AI38="","",$AN$2)</f>
        <v>C</v>
      </c>
      <c r="AO38" s="75" t="str">
        <f>IF(N38="","",IF(N38&gt;=$AO$1/100,"O","X"))</f>
        <v>X</v>
      </c>
      <c r="AP38" s="75" t="str">
        <f>IF(I38="","",IF(I38&lt;=$AP$1,"O","X"))</f>
        <v>O</v>
      </c>
      <c r="AQ38" s="75" t="str">
        <f>IF(O38="","",IF(O38&lt;=$AQ$1,"O","X"))</f>
        <v>O</v>
      </c>
      <c r="AR38" s="75" t="str">
        <f>IF(M38="","",IF(M38&lt;=$AR$1,"O","X"))</f>
        <v>X</v>
      </c>
      <c r="AS38" s="75" t="s">
        <v>2</v>
      </c>
      <c r="AT38" s="75" t="str">
        <f>IF(OR(F38="",AI38=""),"",IF(AND((F38&lt;=85),(AI38&gt;=15)),"O","X"))</f>
        <v>O</v>
      </c>
      <c r="AU38" s="75" t="str">
        <f>IF(C38="","",IF(C38&gt;=$AU$1,"O","X"))</f>
        <v>O</v>
      </c>
      <c r="AV38" s="75" t="str">
        <f>IF(AO38="","",IF(AND(AO38="O",AP38="O",AR38="O",AT38="O",AU38="O"),"후보","X"))</f>
        <v>X</v>
      </c>
    </row>
    <row r="39" spans="1:48" x14ac:dyDescent="0.3">
      <c r="A39" s="9"/>
      <c r="B39" s="75"/>
      <c r="C39" s="6"/>
      <c r="D39" s="9"/>
      <c r="E39" s="14"/>
      <c r="F39" s="104"/>
      <c r="G39" s="9"/>
      <c r="H39" s="9"/>
      <c r="I39" s="9"/>
      <c r="J39" s="9"/>
      <c r="K39" s="9"/>
      <c r="L39" s="9"/>
      <c r="M39" s="9"/>
      <c r="N39" s="9"/>
      <c r="O39" s="105"/>
      <c r="P39" s="105"/>
      <c r="Q39" s="106"/>
      <c r="R39" s="106"/>
      <c r="S39" s="9"/>
      <c r="T39" s="48"/>
      <c r="U39" s="9"/>
      <c r="W39" s="70" t="str">
        <f>$A$4&amp;" "&amp;A40&amp;"("&amp;B40&amp;","&amp;C40&amp;"^)"</f>
        <v>지정면 원주기업도시호반베르디움8단지('18.08.,882^)</v>
      </c>
      <c r="X39" s="71"/>
      <c r="Y39" s="71"/>
      <c r="Z39" s="71"/>
      <c r="AA39" s="71"/>
      <c r="AB39" s="71"/>
      <c r="AC39" s="71"/>
      <c r="AD39" s="71"/>
      <c r="AE39" s="71"/>
      <c r="AF39" s="72"/>
      <c r="AH39" s="20" t="str">
        <f t="shared" si="1"/>
        <v/>
      </c>
      <c r="AI39" s="103" t="str">
        <f t="shared" si="2"/>
        <v/>
      </c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</row>
    <row r="40" spans="1:48" x14ac:dyDescent="0.3">
      <c r="A40" s="9" t="s">
        <v>144</v>
      </c>
      <c r="B40" s="10" t="s">
        <v>341</v>
      </c>
      <c r="C40" s="107">
        <v>882</v>
      </c>
      <c r="D40" s="104">
        <v>85.7</v>
      </c>
      <c r="E40" s="106">
        <v>26</v>
      </c>
      <c r="F40" s="104">
        <v>59.9</v>
      </c>
      <c r="G40" s="17">
        <v>18</v>
      </c>
      <c r="H40" s="107">
        <v>337</v>
      </c>
      <c r="I40" s="108">
        <v>29000</v>
      </c>
      <c r="J40" s="108" t="s">
        <v>335</v>
      </c>
      <c r="K40" s="108">
        <v>20000</v>
      </c>
      <c r="L40" s="108" t="s">
        <v>342</v>
      </c>
      <c r="M40" s="109">
        <f>I40-K40</f>
        <v>9000</v>
      </c>
      <c r="N40" s="4">
        <f>IF(ISERROR(K40/I40),"",K40/I40)</f>
        <v>0.68965517241379315</v>
      </c>
      <c r="O40" s="105">
        <f>I40/E40</f>
        <v>1115.3846153846155</v>
      </c>
      <c r="P40" s="105">
        <f>K40/E40</f>
        <v>769.23076923076928</v>
      </c>
      <c r="Q40" s="75">
        <v>1</v>
      </c>
      <c r="R40" s="75">
        <v>1</v>
      </c>
      <c r="S40" s="75" t="s">
        <v>324</v>
      </c>
      <c r="T40" s="5" t="s">
        <v>184</v>
      </c>
      <c r="U40" s="9"/>
      <c r="W40" s="104">
        <f>D40</f>
        <v>85.7</v>
      </c>
      <c r="X40" s="106">
        <f>E40</f>
        <v>26</v>
      </c>
      <c r="Y40" s="102">
        <f>H40</f>
        <v>337</v>
      </c>
      <c r="Z40" s="109">
        <f>I40</f>
        <v>29000</v>
      </c>
      <c r="AA40" s="109">
        <f>K40</f>
        <v>20000</v>
      </c>
      <c r="AB40" s="109">
        <f>M40</f>
        <v>9000</v>
      </c>
      <c r="AC40" s="4">
        <f>N40</f>
        <v>0.68965517241379315</v>
      </c>
      <c r="AD40" s="105">
        <f>O40</f>
        <v>1115.3846153846155</v>
      </c>
      <c r="AE40" s="75" t="str">
        <f>S40</f>
        <v>계</v>
      </c>
      <c r="AF40" s="75" t="str">
        <f>Q40&amp;"/"&amp;R40</f>
        <v>1/1</v>
      </c>
      <c r="AH40" s="20" t="str">
        <f t="shared" si="1"/>
        <v>원주기업도시호반베르디움8단지</v>
      </c>
      <c r="AI40" s="106">
        <f t="shared" si="2"/>
        <v>26</v>
      </c>
      <c r="AJ40" s="75" t="str">
        <f>IF(AI40="","",$AJ$2)</f>
        <v>A-</v>
      </c>
      <c r="AK40" s="75" t="s">
        <v>13</v>
      </c>
      <c r="AL40" s="75" t="s">
        <v>325</v>
      </c>
      <c r="AM40" s="75" t="s">
        <v>326</v>
      </c>
      <c r="AN40" s="75" t="str">
        <f>IF(AI40="","",$AN$2)</f>
        <v>C</v>
      </c>
      <c r="AO40" s="75" t="str">
        <f>IF(N40="","",IF(N40&gt;=$AO$1/100,"O","X"))</f>
        <v>X</v>
      </c>
      <c r="AP40" s="75" t="str">
        <f>IF(I40="","",IF(I40&lt;=$AP$1,"O","X"))</f>
        <v>O</v>
      </c>
      <c r="AQ40" s="75" t="str">
        <f>IF(O40="","",IF(O40&lt;=$AQ$1,"O","X"))</f>
        <v>O</v>
      </c>
      <c r="AR40" s="75" t="str">
        <f>IF(M40="","",IF(M40&lt;=$AR$1,"O","X"))</f>
        <v>X</v>
      </c>
      <c r="AS40" s="75" t="s">
        <v>2</v>
      </c>
      <c r="AT40" s="75" t="str">
        <f>IF(OR(F40="",AI40=""),"",IF(AND((F40&lt;=85),(AI40&gt;=15)),"O","X"))</f>
        <v>O</v>
      </c>
      <c r="AU40" s="75" t="str">
        <f>IF(C40="","",IF(C40&gt;=$AU$1,"O","X"))</f>
        <v>O</v>
      </c>
      <c r="AV40" s="75" t="str">
        <f>IF(AO40="","",IF(AND(AO40="O",AP40="O",AR40="O",AT40="O",AU40="O"),"후보","X"))</f>
        <v>X</v>
      </c>
    </row>
    <row r="41" spans="1:48" x14ac:dyDescent="0.3">
      <c r="A41" s="9"/>
      <c r="B41" s="75"/>
      <c r="C41" s="6"/>
      <c r="D41" s="9"/>
      <c r="E41" s="14"/>
      <c r="F41" s="104"/>
      <c r="G41" s="9"/>
      <c r="H41" s="9"/>
      <c r="I41" s="9"/>
      <c r="J41" s="9"/>
      <c r="K41" s="9"/>
      <c r="L41" s="9"/>
      <c r="M41" s="9"/>
      <c r="N41" s="9"/>
      <c r="O41" s="105"/>
      <c r="P41" s="105"/>
      <c r="Q41" s="106"/>
      <c r="R41" s="106"/>
      <c r="S41" s="9"/>
      <c r="T41" s="48"/>
      <c r="U41" s="9"/>
      <c r="W41" s="70" t="str">
        <f>$A$4&amp;" "&amp;A42&amp;"("&amp;B42&amp;","&amp;C42&amp;"^)"</f>
        <v>지정면 원주롯데캐슬더퍼스트2차('18.08.,1116^)</v>
      </c>
      <c r="X41" s="71"/>
      <c r="Y41" s="71"/>
      <c r="Z41" s="71"/>
      <c r="AA41" s="71"/>
      <c r="AB41" s="71"/>
      <c r="AC41" s="71"/>
      <c r="AD41" s="71"/>
      <c r="AE41" s="71"/>
      <c r="AF41" s="72"/>
      <c r="AH41" s="20" t="str">
        <f t="shared" si="1"/>
        <v/>
      </c>
      <c r="AI41" s="103" t="str">
        <f t="shared" si="2"/>
        <v/>
      </c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</row>
    <row r="42" spans="1:48" x14ac:dyDescent="0.3">
      <c r="A42" s="9" t="s">
        <v>133</v>
      </c>
      <c r="B42" s="10" t="s">
        <v>341</v>
      </c>
      <c r="C42" s="107">
        <v>1116</v>
      </c>
      <c r="D42" s="104">
        <v>84.6</v>
      </c>
      <c r="E42" s="106">
        <v>26</v>
      </c>
      <c r="F42" s="104">
        <v>60</v>
      </c>
      <c r="G42" s="17">
        <v>18</v>
      </c>
      <c r="H42" s="107">
        <v>571</v>
      </c>
      <c r="I42" s="108">
        <v>30000</v>
      </c>
      <c r="J42" s="108" t="s">
        <v>350</v>
      </c>
      <c r="K42" s="108">
        <v>21000</v>
      </c>
      <c r="L42" s="108" t="s">
        <v>94</v>
      </c>
      <c r="M42" s="109">
        <f>I42-K42</f>
        <v>9000</v>
      </c>
      <c r="N42" s="4">
        <f>IF(ISERROR(K42/I42),"",K42/I42)</f>
        <v>0.7</v>
      </c>
      <c r="O42" s="105">
        <f>I42/E42</f>
        <v>1153.8461538461538</v>
      </c>
      <c r="P42" s="105">
        <f>K42/E42</f>
        <v>807.69230769230774</v>
      </c>
      <c r="Q42" s="75">
        <v>1</v>
      </c>
      <c r="R42" s="75">
        <v>1</v>
      </c>
      <c r="S42" s="75" t="s">
        <v>324</v>
      </c>
      <c r="T42" s="5" t="s">
        <v>185</v>
      </c>
      <c r="U42" s="9"/>
      <c r="W42" s="104">
        <f>D42</f>
        <v>84.6</v>
      </c>
      <c r="X42" s="106">
        <f>E42</f>
        <v>26</v>
      </c>
      <c r="Y42" s="102">
        <f>H42</f>
        <v>571</v>
      </c>
      <c r="Z42" s="109">
        <f>I42</f>
        <v>30000</v>
      </c>
      <c r="AA42" s="109">
        <f>K42</f>
        <v>21000</v>
      </c>
      <c r="AB42" s="109">
        <f>M42</f>
        <v>9000</v>
      </c>
      <c r="AC42" s="4">
        <f>N42</f>
        <v>0.7</v>
      </c>
      <c r="AD42" s="105">
        <f>O42</f>
        <v>1153.8461538461538</v>
      </c>
      <c r="AE42" s="75" t="str">
        <f>S42</f>
        <v>계</v>
      </c>
      <c r="AF42" s="75" t="str">
        <f>Q42&amp;"/"&amp;R42</f>
        <v>1/1</v>
      </c>
      <c r="AH42" s="20" t="str">
        <f t="shared" si="1"/>
        <v>원주롯데캐슬더퍼스트2차</v>
      </c>
      <c r="AI42" s="106">
        <f t="shared" si="2"/>
        <v>26</v>
      </c>
      <c r="AJ42" s="75" t="str">
        <f>IF(AI42="","",$AJ$2)</f>
        <v>A-</v>
      </c>
      <c r="AK42" s="75" t="s">
        <v>13</v>
      </c>
      <c r="AL42" s="75" t="s">
        <v>325</v>
      </c>
      <c r="AM42" s="75" t="s">
        <v>326</v>
      </c>
      <c r="AN42" s="75" t="str">
        <f>IF(AI42="","",$AN$2)</f>
        <v>C</v>
      </c>
      <c r="AO42" s="75" t="str">
        <f>IF(N42="","",IF(N42&gt;=$AO$1/100,"O","X"))</f>
        <v>X</v>
      </c>
      <c r="AP42" s="75" t="str">
        <f>IF(I42="","",IF(I42&lt;=$AP$1,"O","X"))</f>
        <v>O</v>
      </c>
      <c r="AQ42" s="75" t="str">
        <f>IF(O42="","",IF(O42&lt;=$AQ$1,"O","X"))</f>
        <v>O</v>
      </c>
      <c r="AR42" s="75" t="str">
        <f>IF(M42="","",IF(M42&lt;=$AR$1,"O","X"))</f>
        <v>X</v>
      </c>
      <c r="AS42" s="75" t="s">
        <v>2</v>
      </c>
      <c r="AT42" s="75" t="str">
        <f>IF(OR(F42="",AI42=""),"",IF(AND((F42&lt;=85),(AI42&gt;=15)),"O","X"))</f>
        <v>O</v>
      </c>
      <c r="AU42" s="75" t="str">
        <f>IF(C42="","",IF(C42&gt;=$AU$1,"O","X"))</f>
        <v>O</v>
      </c>
      <c r="AV42" s="75" t="str">
        <f>IF(AO42="","",IF(AND(AO42="O",AP42="O",AR42="O",AT42="O",AU42="O"),"후보","X"))</f>
        <v>X</v>
      </c>
    </row>
    <row r="43" spans="1:48" x14ac:dyDescent="0.3">
      <c r="A43" s="9"/>
      <c r="B43" s="75"/>
      <c r="C43" s="6"/>
      <c r="D43" s="9"/>
      <c r="E43" s="14"/>
      <c r="F43" s="104"/>
      <c r="G43" s="9"/>
      <c r="H43" s="9"/>
      <c r="I43" s="9"/>
      <c r="J43" s="9"/>
      <c r="K43" s="9"/>
      <c r="L43" s="9"/>
      <c r="M43" s="9"/>
      <c r="N43" s="9"/>
      <c r="O43" s="105"/>
      <c r="P43" s="105"/>
      <c r="Q43" s="106"/>
      <c r="R43" s="106"/>
      <c r="S43" s="9"/>
      <c r="T43" s="48"/>
      <c r="U43" s="9"/>
      <c r="W43" s="70" t="str">
        <f>$A$4&amp;" "&amp;A44&amp;"("&amp;B44&amp;","&amp;C44&amp;"^)"</f>
        <v>지정면 원주롯데캐슬더퍼스트('18.06.,1243^)</v>
      </c>
      <c r="X43" s="71"/>
      <c r="Y43" s="71"/>
      <c r="Z43" s="71"/>
      <c r="AA43" s="71"/>
      <c r="AB43" s="71"/>
      <c r="AC43" s="71"/>
      <c r="AD43" s="71"/>
      <c r="AE43" s="71"/>
      <c r="AF43" s="72"/>
      <c r="AH43" s="20" t="str">
        <f t="shared" si="1"/>
        <v/>
      </c>
      <c r="AI43" s="103" t="str">
        <f t="shared" si="2"/>
        <v/>
      </c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</row>
    <row r="44" spans="1:48" x14ac:dyDescent="0.3">
      <c r="A44" s="9" t="s">
        <v>146</v>
      </c>
      <c r="B44" s="10" t="s">
        <v>345</v>
      </c>
      <c r="C44" s="107">
        <v>1243</v>
      </c>
      <c r="D44" s="104">
        <v>85.1</v>
      </c>
      <c r="E44" s="106">
        <v>26</v>
      </c>
      <c r="F44" s="104">
        <v>60</v>
      </c>
      <c r="G44" s="17">
        <v>18</v>
      </c>
      <c r="H44" s="107">
        <v>532</v>
      </c>
      <c r="I44" s="108">
        <v>29000</v>
      </c>
      <c r="J44" s="108" t="s">
        <v>342</v>
      </c>
      <c r="K44" s="108">
        <v>20000</v>
      </c>
      <c r="L44" s="108" t="s">
        <v>350</v>
      </c>
      <c r="M44" s="109">
        <f>I44-K44</f>
        <v>9000</v>
      </c>
      <c r="N44" s="4">
        <f>IF(ISERROR(K44/I44),"",K44/I44)</f>
        <v>0.68965517241379315</v>
      </c>
      <c r="O44" s="105">
        <f>I44/E44</f>
        <v>1115.3846153846155</v>
      </c>
      <c r="P44" s="105">
        <f>K44/E44</f>
        <v>769.23076923076928</v>
      </c>
      <c r="Q44" s="75">
        <v>4</v>
      </c>
      <c r="R44" s="75">
        <v>2</v>
      </c>
      <c r="S44" s="75" t="s">
        <v>324</v>
      </c>
      <c r="T44" s="5">
        <v>156</v>
      </c>
      <c r="U44" s="9"/>
      <c r="W44" s="104">
        <f>D44</f>
        <v>85.1</v>
      </c>
      <c r="X44" s="106">
        <f>E44</f>
        <v>26</v>
      </c>
      <c r="Y44" s="102">
        <f>H44</f>
        <v>532</v>
      </c>
      <c r="Z44" s="109">
        <f>I44</f>
        <v>29000</v>
      </c>
      <c r="AA44" s="109">
        <f>K44</f>
        <v>20000</v>
      </c>
      <c r="AB44" s="109">
        <f>M44</f>
        <v>9000</v>
      </c>
      <c r="AC44" s="4">
        <f>N44</f>
        <v>0.68965517241379315</v>
      </c>
      <c r="AD44" s="105">
        <f>O44</f>
        <v>1115.3846153846155</v>
      </c>
      <c r="AE44" s="75" t="str">
        <f>S44</f>
        <v>계</v>
      </c>
      <c r="AF44" s="75" t="str">
        <f>Q44&amp;"/"&amp;R44</f>
        <v>4/2</v>
      </c>
      <c r="AH44" s="20" t="str">
        <f t="shared" si="1"/>
        <v>원주롯데캐슬더퍼스트</v>
      </c>
      <c r="AI44" s="106">
        <f t="shared" si="2"/>
        <v>26</v>
      </c>
      <c r="AJ44" s="75" t="str">
        <f>IF(AI44="","",$AJ$2)</f>
        <v>A-</v>
      </c>
      <c r="AK44" s="75" t="s">
        <v>13</v>
      </c>
      <c r="AL44" s="75" t="s">
        <v>325</v>
      </c>
      <c r="AM44" s="75" t="s">
        <v>326</v>
      </c>
      <c r="AN44" s="75" t="str">
        <f>IF(AI44="","",$AN$2)</f>
        <v>C</v>
      </c>
      <c r="AO44" s="75" t="str">
        <f>IF(N44="","",IF(N44&gt;=$AO$1/100,"O","X"))</f>
        <v>X</v>
      </c>
      <c r="AP44" s="75" t="str">
        <f>IF(I44="","",IF(I44&lt;=$AP$1,"O","X"))</f>
        <v>O</v>
      </c>
      <c r="AQ44" s="75" t="str">
        <f>IF(O44="","",IF(O44&lt;=$AQ$1,"O","X"))</f>
        <v>O</v>
      </c>
      <c r="AR44" s="75" t="str">
        <f>IF(M44="","",IF(M44&lt;=$AR$1,"O","X"))</f>
        <v>X</v>
      </c>
      <c r="AS44" s="75" t="s">
        <v>2</v>
      </c>
      <c r="AT44" s="75" t="str">
        <f>IF(OR(F44="",AI44=""),"",IF(AND((F44&lt;=85),(AI44&gt;=15)),"O","X"))</f>
        <v>O</v>
      </c>
      <c r="AU44" s="75" t="str">
        <f>IF(C44="","",IF(C44&gt;=$AU$1,"O","X"))</f>
        <v>O</v>
      </c>
      <c r="AV44" s="75" t="str">
        <f>IF(AO44="","",IF(AND(AO44="O",AP44="O",AR44="O",AT44="O",AU44="O"),"후보","X"))</f>
        <v>X</v>
      </c>
    </row>
    <row r="45" spans="1:48" x14ac:dyDescent="0.3">
      <c r="A45" s="9"/>
      <c r="B45" s="75"/>
      <c r="C45" s="6"/>
      <c r="D45" s="9"/>
      <c r="E45" s="14"/>
      <c r="F45" s="104"/>
      <c r="G45" s="9"/>
      <c r="H45" s="9"/>
      <c r="I45" s="9"/>
      <c r="J45" s="9"/>
      <c r="K45" s="9"/>
      <c r="L45" s="9"/>
      <c r="M45" s="9"/>
      <c r="N45" s="9"/>
      <c r="O45" s="105"/>
      <c r="P45" s="105"/>
      <c r="Q45" s="106"/>
      <c r="R45" s="106"/>
      <c r="S45" s="9"/>
      <c r="T45" s="48"/>
      <c r="U45" s="9"/>
      <c r="W45" s="70" t="str">
        <f>$A$4&amp;" "&amp;A46&amp;"("&amp;B46&amp;","&amp;C46&amp;"^)"</f>
        <v>지정면 원주기업도시호반베르디움(3-1블록)('19.05.,892^)</v>
      </c>
      <c r="X45" s="71"/>
      <c r="Y45" s="71"/>
      <c r="Z45" s="71"/>
      <c r="AA45" s="71"/>
      <c r="AB45" s="71"/>
      <c r="AC45" s="71"/>
      <c r="AD45" s="71"/>
      <c r="AE45" s="71"/>
      <c r="AF45" s="72"/>
      <c r="AH45" s="20" t="str">
        <f t="shared" si="1"/>
        <v/>
      </c>
      <c r="AI45" s="103" t="str">
        <f t="shared" si="2"/>
        <v/>
      </c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</row>
    <row r="46" spans="1:48" ht="24" x14ac:dyDescent="0.3">
      <c r="A46" s="9" t="s">
        <v>154</v>
      </c>
      <c r="B46" s="10" t="s">
        <v>347</v>
      </c>
      <c r="C46" s="107">
        <v>892</v>
      </c>
      <c r="D46" s="104">
        <v>83.1</v>
      </c>
      <c r="E46" s="106">
        <v>25</v>
      </c>
      <c r="F46" s="104">
        <v>60</v>
      </c>
      <c r="G46" s="17">
        <v>18</v>
      </c>
      <c r="H46" s="107">
        <v>270</v>
      </c>
      <c r="I46" s="108">
        <v>29500</v>
      </c>
      <c r="J46" s="108" t="s">
        <v>351</v>
      </c>
      <c r="K46" s="108">
        <v>20000</v>
      </c>
      <c r="L46" s="108" t="s">
        <v>94</v>
      </c>
      <c r="M46" s="109">
        <f>I46-K46</f>
        <v>9500</v>
      </c>
      <c r="N46" s="4">
        <f>IF(ISERROR(K46/I46),"",K46/I46)</f>
        <v>0.67796610169491522</v>
      </c>
      <c r="O46" s="105">
        <f>I46/E46</f>
        <v>1180</v>
      </c>
      <c r="P46" s="105">
        <f>K46/E46</f>
        <v>800</v>
      </c>
      <c r="Q46" s="75">
        <v>3</v>
      </c>
      <c r="R46" s="75">
        <v>2</v>
      </c>
      <c r="S46" s="75" t="s">
        <v>324</v>
      </c>
      <c r="T46" s="5">
        <v>126</v>
      </c>
      <c r="U46" s="9"/>
      <c r="W46" s="104">
        <f>D46</f>
        <v>83.1</v>
      </c>
      <c r="X46" s="106">
        <f>E46</f>
        <v>25</v>
      </c>
      <c r="Y46" s="102">
        <f>H46</f>
        <v>270</v>
      </c>
      <c r="Z46" s="109">
        <f>I46</f>
        <v>29500</v>
      </c>
      <c r="AA46" s="109">
        <f>K46</f>
        <v>20000</v>
      </c>
      <c r="AB46" s="109">
        <f>M46</f>
        <v>9500</v>
      </c>
      <c r="AC46" s="4">
        <f>N46</f>
        <v>0.67796610169491522</v>
      </c>
      <c r="AD46" s="105">
        <f>O46</f>
        <v>1180</v>
      </c>
      <c r="AE46" s="75" t="str">
        <f>S46</f>
        <v>계</v>
      </c>
      <c r="AF46" s="75" t="str">
        <f>Q46&amp;"/"&amp;R46</f>
        <v>3/2</v>
      </c>
      <c r="AH46" s="20" t="str">
        <f t="shared" si="1"/>
        <v>원주기업도시호반베르디움(3-1블록)</v>
      </c>
      <c r="AI46" s="106">
        <f t="shared" si="2"/>
        <v>25</v>
      </c>
      <c r="AJ46" s="75" t="str">
        <f>IF(AI46="","",$AJ$2)</f>
        <v>A-</v>
      </c>
      <c r="AK46" s="75" t="s">
        <v>13</v>
      </c>
      <c r="AL46" s="75" t="s">
        <v>325</v>
      </c>
      <c r="AM46" s="75" t="s">
        <v>326</v>
      </c>
      <c r="AN46" s="75" t="str">
        <f>IF(AI46="","",$AN$2)</f>
        <v>C</v>
      </c>
      <c r="AO46" s="75" t="str">
        <f>IF(N46="","",IF(N46&gt;=$AO$1/100,"O","X"))</f>
        <v>X</v>
      </c>
      <c r="AP46" s="75" t="str">
        <f>IF(I46="","",IF(I46&lt;=$AP$1,"O","X"))</f>
        <v>O</v>
      </c>
      <c r="AQ46" s="75" t="str">
        <f>IF(O46="","",IF(O46&lt;=$AQ$1,"O","X"))</f>
        <v>O</v>
      </c>
      <c r="AR46" s="75" t="str">
        <f>IF(M46="","",IF(M46&lt;=$AR$1,"O","X"))</f>
        <v>X</v>
      </c>
      <c r="AS46" s="75" t="s">
        <v>2</v>
      </c>
      <c r="AT46" s="75" t="str">
        <f>IF(OR(F46="",AI46=""),"",IF(AND((F46&lt;=85),(AI46&gt;=15)),"O","X"))</f>
        <v>O</v>
      </c>
      <c r="AU46" s="75" t="str">
        <f>IF(C46="","",IF(C46&gt;=$AU$1,"O","X"))</f>
        <v>O</v>
      </c>
      <c r="AV46" s="75" t="str">
        <f>IF(AO46="","",IF(AND(AO46="O",AP46="O",AR46="O",AT46="O",AU46="O"),"후보","X"))</f>
        <v>X</v>
      </c>
    </row>
    <row r="47" spans="1:48" x14ac:dyDescent="0.3">
      <c r="A47" s="9"/>
      <c r="B47" s="75"/>
      <c r="C47" s="6"/>
      <c r="D47" s="9"/>
      <c r="E47" s="14"/>
      <c r="F47" s="104"/>
      <c r="G47" s="9"/>
      <c r="H47" s="9"/>
      <c r="I47" s="9"/>
      <c r="J47" s="9"/>
      <c r="K47" s="9"/>
      <c r="L47" s="9"/>
      <c r="M47" s="9"/>
      <c r="N47" s="9"/>
      <c r="O47" s="105"/>
      <c r="P47" s="105"/>
      <c r="Q47" s="106"/>
      <c r="R47" s="106"/>
      <c r="S47" s="9"/>
      <c r="T47" s="48"/>
      <c r="U47" s="9"/>
      <c r="W47" s="70" t="str">
        <f>$A$4&amp;" "&amp;A48&amp;"("&amp;B48&amp;","&amp;C48&amp;"^)"</f>
        <v>지정면 원주기업도시유보라아이비파크1단지('20.01.,548^)</v>
      </c>
      <c r="X47" s="71"/>
      <c r="Y47" s="71"/>
      <c r="Z47" s="71"/>
      <c r="AA47" s="71"/>
      <c r="AB47" s="71"/>
      <c r="AC47" s="71"/>
      <c r="AD47" s="71"/>
      <c r="AE47" s="71"/>
      <c r="AF47" s="72"/>
      <c r="AH47" s="20" t="str">
        <f t="shared" si="1"/>
        <v/>
      </c>
      <c r="AI47" s="103" t="str">
        <f t="shared" si="2"/>
        <v/>
      </c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</row>
    <row r="48" spans="1:48" ht="24" x14ac:dyDescent="0.3">
      <c r="A48" s="9" t="s">
        <v>152</v>
      </c>
      <c r="B48" s="10" t="s">
        <v>343</v>
      </c>
      <c r="C48" s="107">
        <v>548</v>
      </c>
      <c r="D48" s="104">
        <v>81.3</v>
      </c>
      <c r="E48" s="106">
        <v>25</v>
      </c>
      <c r="F48" s="104">
        <v>60</v>
      </c>
      <c r="G48" s="17">
        <v>18</v>
      </c>
      <c r="H48" s="107">
        <v>178</v>
      </c>
      <c r="I48" s="108">
        <v>27000</v>
      </c>
      <c r="J48" s="108" t="s">
        <v>101</v>
      </c>
      <c r="K48" s="108">
        <v>22000</v>
      </c>
      <c r="L48" s="108" t="s">
        <v>352</v>
      </c>
      <c r="M48" s="109">
        <f>I48-K48</f>
        <v>5000</v>
      </c>
      <c r="N48" s="4">
        <f>IF(ISERROR(K48/I48),"",K48/I48)</f>
        <v>0.81481481481481477</v>
      </c>
      <c r="O48" s="105">
        <f>I48/E48</f>
        <v>1080</v>
      </c>
      <c r="P48" s="105">
        <f>K48/E48</f>
        <v>880</v>
      </c>
      <c r="Q48" s="75">
        <v>3</v>
      </c>
      <c r="R48" s="75">
        <v>2</v>
      </c>
      <c r="S48" s="75" t="s">
        <v>324</v>
      </c>
      <c r="T48" s="5" t="s">
        <v>189</v>
      </c>
      <c r="U48" s="9"/>
      <c r="W48" s="104">
        <f>D48</f>
        <v>81.3</v>
      </c>
      <c r="X48" s="106">
        <f>E48</f>
        <v>25</v>
      </c>
      <c r="Y48" s="102">
        <f>H48</f>
        <v>178</v>
      </c>
      <c r="Z48" s="109">
        <f>I48</f>
        <v>27000</v>
      </c>
      <c r="AA48" s="109">
        <f>K48</f>
        <v>22000</v>
      </c>
      <c r="AB48" s="109">
        <f>M48</f>
        <v>5000</v>
      </c>
      <c r="AC48" s="4">
        <f>N48</f>
        <v>0.81481481481481477</v>
      </c>
      <c r="AD48" s="105">
        <f>O48</f>
        <v>1080</v>
      </c>
      <c r="AE48" s="75" t="str">
        <f>S48</f>
        <v>계</v>
      </c>
      <c r="AF48" s="75" t="str">
        <f>Q48&amp;"/"&amp;R48</f>
        <v>3/2</v>
      </c>
      <c r="AH48" s="20" t="str">
        <f t="shared" si="1"/>
        <v>원주기업도시유보라아이비파크1단지</v>
      </c>
      <c r="AI48" s="106">
        <f t="shared" si="2"/>
        <v>25</v>
      </c>
      <c r="AJ48" s="75" t="str">
        <f>IF(AI48="","",$AJ$2)</f>
        <v>A-</v>
      </c>
      <c r="AK48" s="75" t="s">
        <v>13</v>
      </c>
      <c r="AL48" s="75" t="s">
        <v>325</v>
      </c>
      <c r="AM48" s="75" t="s">
        <v>326</v>
      </c>
      <c r="AN48" s="75" t="str">
        <f>IF(AI48="","",$AN$2)</f>
        <v>C</v>
      </c>
      <c r="AO48" s="75" t="str">
        <f>IF(N48="","",IF(N48&gt;=$AO$1/100,"O","X"))</f>
        <v>O</v>
      </c>
      <c r="AP48" s="75" t="str">
        <f>IF(I48="","",IF(I48&lt;=$AP$1,"O","X"))</f>
        <v>O</v>
      </c>
      <c r="AQ48" s="75" t="str">
        <f>IF(O48="","",IF(O48&lt;=$AQ$1,"O","X"))</f>
        <v>O</v>
      </c>
      <c r="AR48" s="75" t="str">
        <f>IF(M48="","",IF(M48&lt;=$AR$1,"O","X"))</f>
        <v>O</v>
      </c>
      <c r="AS48" s="75" t="s">
        <v>2</v>
      </c>
      <c r="AT48" s="75" t="str">
        <f>IF(OR(F48="",AI48=""),"",IF(AND((F48&lt;=85),(AI48&gt;=15)),"O","X"))</f>
        <v>O</v>
      </c>
      <c r="AU48" s="75" t="str">
        <f>IF(C48="","",IF(C48&gt;=$AU$1,"O","X"))</f>
        <v>O</v>
      </c>
      <c r="AV48" s="75" t="str">
        <f>IF(AO48="","",IF(AND(AO48="O",AP48="O",AR48="O",AT48="O",AU48="O"),"후보","X"))</f>
        <v>후보</v>
      </c>
    </row>
    <row r="49" spans="1:48" x14ac:dyDescent="0.3">
      <c r="A49" s="9"/>
      <c r="B49" s="75"/>
      <c r="C49" s="6"/>
      <c r="D49" s="9"/>
      <c r="E49" s="14"/>
      <c r="F49" s="104"/>
      <c r="G49" s="9"/>
      <c r="H49" s="9"/>
      <c r="I49" s="9"/>
      <c r="J49" s="9"/>
      <c r="K49" s="9"/>
      <c r="L49" s="9"/>
      <c r="M49" s="9"/>
      <c r="N49" s="9"/>
      <c r="O49" s="105"/>
      <c r="P49" s="105"/>
      <c r="Q49" s="106"/>
      <c r="R49" s="106"/>
      <c r="S49" s="9"/>
      <c r="T49" s="48"/>
      <c r="U49" s="9"/>
      <c r="W49" s="70" t="str">
        <f>$A$4&amp;" "&amp;A50&amp;"("&amp;B50&amp;","&amp;C50&amp;"^)"</f>
        <v>지정면 원주기업도시라온프라이빗('18.12.,713^)</v>
      </c>
      <c r="X49" s="71"/>
      <c r="Y49" s="71"/>
      <c r="Z49" s="71"/>
      <c r="AA49" s="71"/>
      <c r="AB49" s="71"/>
      <c r="AC49" s="71"/>
      <c r="AD49" s="71"/>
      <c r="AE49" s="71"/>
      <c r="AF49" s="72"/>
      <c r="AH49" s="20" t="str">
        <f t="shared" si="1"/>
        <v/>
      </c>
      <c r="AI49" s="103" t="str">
        <f t="shared" si="2"/>
        <v/>
      </c>
      <c r="AJ49" s="75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</row>
    <row r="50" spans="1:48" x14ac:dyDescent="0.3">
      <c r="A50" s="9" t="s">
        <v>164</v>
      </c>
      <c r="B50" s="10" t="s">
        <v>332</v>
      </c>
      <c r="C50" s="107">
        <v>713</v>
      </c>
      <c r="D50" s="104">
        <v>81.400000000000006</v>
      </c>
      <c r="E50" s="106">
        <v>25</v>
      </c>
      <c r="F50" s="104">
        <v>59.8</v>
      </c>
      <c r="G50" s="17">
        <v>18</v>
      </c>
      <c r="H50" s="107">
        <v>280</v>
      </c>
      <c r="I50" s="108">
        <v>27000</v>
      </c>
      <c r="J50" s="108" t="s">
        <v>336</v>
      </c>
      <c r="K50" s="108">
        <v>20000</v>
      </c>
      <c r="L50" s="108" t="s">
        <v>353</v>
      </c>
      <c r="M50" s="109">
        <f>I50-K50</f>
        <v>7000</v>
      </c>
      <c r="N50" s="4">
        <f>IF(ISERROR(K50/I50),"",K50/I50)</f>
        <v>0.7407407407407407</v>
      </c>
      <c r="O50" s="105">
        <f>I50/E50</f>
        <v>1080</v>
      </c>
      <c r="P50" s="105">
        <f>K50/E50</f>
        <v>800</v>
      </c>
      <c r="Q50" s="75">
        <v>3</v>
      </c>
      <c r="R50" s="75">
        <v>2</v>
      </c>
      <c r="S50" s="75" t="s">
        <v>324</v>
      </c>
      <c r="T50" s="5">
        <v>105</v>
      </c>
      <c r="U50" s="9"/>
      <c r="W50" s="104">
        <f>D50</f>
        <v>81.400000000000006</v>
      </c>
      <c r="X50" s="106">
        <f>E50</f>
        <v>25</v>
      </c>
      <c r="Y50" s="102">
        <f>H50</f>
        <v>280</v>
      </c>
      <c r="Z50" s="109">
        <f>I50</f>
        <v>27000</v>
      </c>
      <c r="AA50" s="109">
        <f>K50</f>
        <v>20000</v>
      </c>
      <c r="AB50" s="109">
        <f>M50</f>
        <v>7000</v>
      </c>
      <c r="AC50" s="4">
        <f>N50</f>
        <v>0.7407407407407407</v>
      </c>
      <c r="AD50" s="105">
        <f>O50</f>
        <v>1080</v>
      </c>
      <c r="AE50" s="75" t="str">
        <f>S50</f>
        <v>계</v>
      </c>
      <c r="AF50" s="75" t="str">
        <f>Q50&amp;"/"&amp;R50</f>
        <v>3/2</v>
      </c>
      <c r="AH50" s="20" t="str">
        <f t="shared" si="1"/>
        <v>원주기업도시라온프라이빗</v>
      </c>
      <c r="AI50" s="106">
        <f t="shared" si="2"/>
        <v>25</v>
      </c>
      <c r="AJ50" s="75" t="str">
        <f>IF(AI50="","",$AJ$2)</f>
        <v>A-</v>
      </c>
      <c r="AK50" s="75" t="s">
        <v>13</v>
      </c>
      <c r="AL50" s="75" t="s">
        <v>325</v>
      </c>
      <c r="AM50" s="75" t="s">
        <v>326</v>
      </c>
      <c r="AN50" s="75" t="str">
        <f>IF(AI50="","",$AN$2)</f>
        <v>C</v>
      </c>
      <c r="AO50" s="75" t="str">
        <f>IF(N50="","",IF(N50&gt;=$AO$1/100,"O","X"))</f>
        <v>X</v>
      </c>
      <c r="AP50" s="75" t="str">
        <f>IF(I50="","",IF(I50&lt;=$AP$1,"O","X"))</f>
        <v>O</v>
      </c>
      <c r="AQ50" s="75" t="str">
        <f>IF(O50="","",IF(O50&lt;=$AQ$1,"O","X"))</f>
        <v>O</v>
      </c>
      <c r="AR50" s="75" t="str">
        <f>IF(M50="","",IF(M50&lt;=$AR$1,"O","X"))</f>
        <v>X</v>
      </c>
      <c r="AS50" s="75" t="s">
        <v>2</v>
      </c>
      <c r="AT50" s="75" t="str">
        <f>IF(OR(F50="",AI50=""),"",IF(AND((F50&lt;=85),(AI50&gt;=15)),"O","X"))</f>
        <v>O</v>
      </c>
      <c r="AU50" s="75" t="str">
        <f>IF(C50="","",IF(C50&gt;=$AU$1,"O","X"))</f>
        <v>O</v>
      </c>
      <c r="AV50" s="75" t="str">
        <f>IF(AO50="","",IF(AND(AO50="O",AP50="O",AR50="O",AT50="O",AU50="O"),"후보","X"))</f>
        <v>X</v>
      </c>
    </row>
    <row r="51" spans="1:48" x14ac:dyDescent="0.3">
      <c r="A51" s="9"/>
      <c r="B51" s="75"/>
      <c r="C51" s="6"/>
      <c r="D51" s="9"/>
      <c r="E51" s="14"/>
      <c r="F51" s="104"/>
      <c r="G51" s="9"/>
      <c r="H51" s="9"/>
      <c r="I51" s="9"/>
      <c r="J51" s="9"/>
      <c r="K51" s="9"/>
      <c r="L51" s="9"/>
      <c r="M51" s="9"/>
      <c r="N51" s="9"/>
      <c r="O51" s="105"/>
      <c r="P51" s="105"/>
      <c r="Q51" s="106"/>
      <c r="R51" s="106"/>
      <c r="S51" s="9"/>
      <c r="T51" s="48"/>
      <c r="U51" s="9"/>
      <c r="W51" s="70" t="str">
        <f>$A$4&amp;" "&amp;A52&amp;"("&amp;B52&amp;","&amp;C52&amp;"^)"</f>
        <v>지정면 이지더원1차('19.01.,1430^)</v>
      </c>
      <c r="X51" s="71"/>
      <c r="Y51" s="71"/>
      <c r="Z51" s="71"/>
      <c r="AA51" s="71"/>
      <c r="AB51" s="71"/>
      <c r="AC51" s="71"/>
      <c r="AD51" s="71"/>
      <c r="AE51" s="71"/>
      <c r="AF51" s="72"/>
      <c r="AH51" s="20" t="str">
        <f t="shared" si="1"/>
        <v/>
      </c>
      <c r="AI51" s="103" t="str">
        <f t="shared" si="2"/>
        <v/>
      </c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</row>
    <row r="52" spans="1:48" x14ac:dyDescent="0.3">
      <c r="A52" s="9" t="s">
        <v>174</v>
      </c>
      <c r="B52" s="10" t="s">
        <v>348</v>
      </c>
      <c r="C52" s="107">
        <v>1430</v>
      </c>
      <c r="D52" s="104">
        <v>79.599999999999994</v>
      </c>
      <c r="E52" s="106">
        <v>24</v>
      </c>
      <c r="F52" s="104">
        <v>59.9</v>
      </c>
      <c r="G52" s="17">
        <v>18</v>
      </c>
      <c r="H52" s="107">
        <v>470</v>
      </c>
      <c r="I52" s="108">
        <v>26000</v>
      </c>
      <c r="J52" s="108" t="s">
        <v>354</v>
      </c>
      <c r="K52" s="108">
        <v>19500</v>
      </c>
      <c r="L52" s="108" t="s">
        <v>101</v>
      </c>
      <c r="M52" s="109">
        <f>I52-K52</f>
        <v>6500</v>
      </c>
      <c r="N52" s="4">
        <f>IF(ISERROR(K52/I52),"",K52/I52)</f>
        <v>0.75</v>
      </c>
      <c r="O52" s="105">
        <f>I52/E52</f>
        <v>1083.3333333333333</v>
      </c>
      <c r="P52" s="105">
        <f>K52/E52</f>
        <v>812.5</v>
      </c>
      <c r="Q52" s="75">
        <v>2</v>
      </c>
      <c r="R52" s="75">
        <v>1</v>
      </c>
      <c r="S52" s="75" t="s">
        <v>355</v>
      </c>
      <c r="T52" s="5">
        <v>61</v>
      </c>
      <c r="U52" s="9"/>
      <c r="W52" s="104">
        <f>D52</f>
        <v>79.599999999999994</v>
      </c>
      <c r="X52" s="106">
        <f>E52</f>
        <v>24</v>
      </c>
      <c r="Y52" s="102">
        <f>H52</f>
        <v>470</v>
      </c>
      <c r="Z52" s="109">
        <f>I52</f>
        <v>26000</v>
      </c>
      <c r="AA52" s="109">
        <f>K52</f>
        <v>19500</v>
      </c>
      <c r="AB52" s="109">
        <f>M52</f>
        <v>6500</v>
      </c>
      <c r="AC52" s="4">
        <f>N52</f>
        <v>0.75</v>
      </c>
      <c r="AD52" s="105">
        <f>O52</f>
        <v>1083.3333333333333</v>
      </c>
      <c r="AE52" s="75" t="str">
        <f>S52</f>
        <v>복</v>
      </c>
      <c r="AF52" s="75" t="str">
        <f>Q52&amp;"/"&amp;R52</f>
        <v>2/1</v>
      </c>
      <c r="AH52" s="20" t="str">
        <f t="shared" si="1"/>
        <v>이지더원1차</v>
      </c>
      <c r="AI52" s="106">
        <f t="shared" si="2"/>
        <v>24</v>
      </c>
      <c r="AJ52" s="75" t="str">
        <f>IF(AI52="","",$AJ$2)</f>
        <v>A-</v>
      </c>
      <c r="AK52" s="75" t="s">
        <v>13</v>
      </c>
      <c r="AL52" s="75" t="s">
        <v>325</v>
      </c>
      <c r="AM52" s="75" t="s">
        <v>326</v>
      </c>
      <c r="AN52" s="75" t="str">
        <f>IF(AI52="","",$AN$2)</f>
        <v>C</v>
      </c>
      <c r="AO52" s="75" t="str">
        <f>IF(N52="","",IF(N52&gt;=$AO$1/100,"O","X"))</f>
        <v>X</v>
      </c>
      <c r="AP52" s="75" t="str">
        <f>IF(I52="","",IF(I52&lt;=$AP$1,"O","X"))</f>
        <v>O</v>
      </c>
      <c r="AQ52" s="75" t="str">
        <f>IF(O52="","",IF(O52&lt;=$AQ$1,"O","X"))</f>
        <v>O</v>
      </c>
      <c r="AR52" s="75" t="str">
        <f>IF(M52="","",IF(M52&lt;=$AR$1,"O","X"))</f>
        <v>X</v>
      </c>
      <c r="AS52" s="75" t="s">
        <v>2</v>
      </c>
      <c r="AT52" s="75" t="str">
        <f>IF(OR(F52="",AI52=""),"",IF(AND((F52&lt;=85),(AI52&gt;=15)),"O","X"))</f>
        <v>O</v>
      </c>
      <c r="AU52" s="75" t="str">
        <f>IF(C52="","",IF(C52&gt;=$AU$1,"O","X"))</f>
        <v>O</v>
      </c>
      <c r="AV52" s="75" t="str">
        <f>IF(AO52="","",IF(AND(AO52="O",AP52="O",AR52="O",AT52="O",AU52="O"),"후보","X"))</f>
        <v>X</v>
      </c>
    </row>
  </sheetData>
  <mergeCells count="1">
    <mergeCell ref="AJ1:AN1"/>
  </mergeCells>
  <phoneticPr fontId="2" type="noConversion"/>
  <conditionalFormatting sqref="AV4:AV6">
    <cfRule type="expression" dxfId="1217" priority="572">
      <formula>AV4="X"</formula>
    </cfRule>
    <cfRule type="expression" dxfId="1216" priority="573">
      <formula>AV4="후보"</formula>
    </cfRule>
  </conditionalFormatting>
  <conditionalFormatting sqref="AC1:AC2 AC4:AC6 N4:N5">
    <cfRule type="cellIs" dxfId="1215" priority="569" operator="greaterThan">
      <formula>0.9</formula>
    </cfRule>
    <cfRule type="cellIs" dxfId="1214" priority="570" operator="greaterThan">
      <formula>0.85</formula>
    </cfRule>
  </conditionalFormatting>
  <conditionalFormatting sqref="N1:N2">
    <cfRule type="cellIs" dxfId="1213" priority="567" operator="greaterThan">
      <formula>0.9</formula>
    </cfRule>
    <cfRule type="cellIs" dxfId="1212" priority="568" operator="greaterThan">
      <formula>0.85</formula>
    </cfRule>
  </conditionalFormatting>
  <conditionalFormatting sqref="N6">
    <cfRule type="cellIs" dxfId="1211" priority="565" operator="greaterThan">
      <formula>0.9</formula>
    </cfRule>
    <cfRule type="cellIs" dxfId="1210" priority="566" operator="greaterThan">
      <formula>0.85</formula>
    </cfRule>
  </conditionalFormatting>
  <conditionalFormatting sqref="E6">
    <cfRule type="expression" dxfId="1209" priority="561">
      <formula>AND(IF(OR($Q6=1,$Q6=2),1,0),IF($X6&lt;=20,1,0))</formula>
    </cfRule>
    <cfRule type="expression" dxfId="1208" priority="562">
      <formula>AND(IF($Q6=2,1,0),IF($X6&lt;30,1,0))</formula>
    </cfRule>
    <cfRule type="expression" dxfId="1207" priority="563">
      <formula>AND(IF($Q6=3,1,0),IF($X6&lt;30,1,0))</formula>
    </cfRule>
    <cfRule type="expression" dxfId="1206" priority="564">
      <formula>AND(IF($Q6=3,1,IF($Q6=4,1,0)),IF($F6&lt;=85,1,0))</formula>
    </cfRule>
  </conditionalFormatting>
  <conditionalFormatting sqref="X6">
    <cfRule type="expression" dxfId="1205" priority="557">
      <formula>AND(IF(OR($Q6=1,$Q6=2),1,0),IF($X6&lt;=20,1,0))</formula>
    </cfRule>
    <cfRule type="expression" dxfId="1204" priority="558">
      <formula>AND(IF($Q6=2,1,0),IF($X6&lt;30,1,0))</formula>
    </cfRule>
    <cfRule type="expression" dxfId="1203" priority="559">
      <formula>AND(IF($Q6=3,1,0),IF($X6&lt;30,1,0))</formula>
    </cfRule>
    <cfRule type="expression" dxfId="1202" priority="560">
      <formula>AND(IF($Q6=3,1,IF($Q6=4,1,0)),IF($F6&lt;=85,1,0))</formula>
    </cfRule>
  </conditionalFormatting>
  <conditionalFormatting sqref="AI6">
    <cfRule type="expression" dxfId="1201" priority="553">
      <formula>AND(IF(OR($Q6=1,$Q6=2),1,0),IF($X6&lt;=20,1,0))</formula>
    </cfRule>
    <cfRule type="expression" dxfId="1200" priority="554">
      <formula>AND(IF($Q6=2,1,0),IF($X6&lt;30,1,0))</formula>
    </cfRule>
    <cfRule type="expression" dxfId="1199" priority="555">
      <formula>AND(IF($Q6=3,1,0),IF($X6&lt;30,1,0))</formula>
    </cfRule>
    <cfRule type="expression" dxfId="1198" priority="556">
      <formula>AND(IF($Q6=3,1,IF($Q6=4,1,0)),IF($F6&lt;=85,1,0))</formula>
    </cfRule>
  </conditionalFormatting>
  <conditionalFormatting sqref="AV7">
    <cfRule type="expression" dxfId="1197" priority="551">
      <formula>AV7="X"</formula>
    </cfRule>
    <cfRule type="expression" dxfId="1196" priority="552">
      <formula>AV7="후보"</formula>
    </cfRule>
  </conditionalFormatting>
  <conditionalFormatting sqref="AC7 N7">
    <cfRule type="cellIs" dxfId="1195" priority="548" operator="greaterThan">
      <formula>0.9</formula>
    </cfRule>
    <cfRule type="cellIs" dxfId="1194" priority="549" operator="greaterThan">
      <formula>0.85</formula>
    </cfRule>
  </conditionalFormatting>
  <conditionalFormatting sqref="AV8">
    <cfRule type="expression" dxfId="1193" priority="546">
      <formula>AV8="X"</formula>
    </cfRule>
    <cfRule type="expression" dxfId="1192" priority="547">
      <formula>AV8="후보"</formula>
    </cfRule>
  </conditionalFormatting>
  <conditionalFormatting sqref="AC8">
    <cfRule type="cellIs" dxfId="1191" priority="543" operator="greaterThan">
      <formula>0.9</formula>
    </cfRule>
    <cfRule type="cellIs" dxfId="1190" priority="544" operator="greaterThan">
      <formula>0.85</formula>
    </cfRule>
  </conditionalFormatting>
  <conditionalFormatting sqref="N8">
    <cfRule type="cellIs" dxfId="1189" priority="541" operator="greaterThan">
      <formula>0.9</formula>
    </cfRule>
    <cfRule type="cellIs" dxfId="1188" priority="542" operator="greaterThan">
      <formula>0.85</formula>
    </cfRule>
  </conditionalFormatting>
  <conditionalFormatting sqref="E8">
    <cfRule type="expression" dxfId="1187" priority="537">
      <formula>AND(IF(OR($Q8=1,$Q8=2),1,0),IF($X8&lt;=20,1,0))</formula>
    </cfRule>
    <cfRule type="expression" dxfId="1186" priority="538">
      <formula>AND(IF($Q8=2,1,0),IF($X8&lt;30,1,0))</formula>
    </cfRule>
    <cfRule type="expression" dxfId="1185" priority="539">
      <formula>AND(IF($Q8=3,1,0),IF($X8&lt;30,1,0))</formula>
    </cfRule>
    <cfRule type="expression" dxfId="1184" priority="540">
      <formula>AND(IF($Q8=3,1,IF($Q8=4,1,0)),IF($F8&lt;=85,1,0))</formula>
    </cfRule>
  </conditionalFormatting>
  <conditionalFormatting sqref="X8">
    <cfRule type="expression" dxfId="1183" priority="533">
      <formula>AND(IF(OR($Q8=1,$Q8=2),1,0),IF($X8&lt;=20,1,0))</formula>
    </cfRule>
    <cfRule type="expression" dxfId="1182" priority="534">
      <formula>AND(IF($Q8=2,1,0),IF($X8&lt;30,1,0))</formula>
    </cfRule>
    <cfRule type="expression" dxfId="1181" priority="535">
      <formula>AND(IF($Q8=3,1,0),IF($X8&lt;30,1,0))</formula>
    </cfRule>
    <cfRule type="expression" dxfId="1180" priority="536">
      <formula>AND(IF($Q8=3,1,IF($Q8=4,1,0)),IF($F8&lt;=85,1,0))</formula>
    </cfRule>
  </conditionalFormatting>
  <conditionalFormatting sqref="AI8">
    <cfRule type="expression" dxfId="1179" priority="529">
      <formula>AND(IF(OR($Q8=1,$Q8=2),1,0),IF($X8&lt;=20,1,0))</formula>
    </cfRule>
    <cfRule type="expression" dxfId="1178" priority="530">
      <formula>AND(IF($Q8=2,1,0),IF($X8&lt;30,1,0))</formula>
    </cfRule>
    <cfRule type="expression" dxfId="1177" priority="531">
      <formula>AND(IF($Q8=3,1,0),IF($X8&lt;30,1,0))</formula>
    </cfRule>
    <cfRule type="expression" dxfId="1176" priority="532">
      <formula>AND(IF($Q8=3,1,IF($Q8=4,1,0)),IF($F8&lt;=85,1,0))</formula>
    </cfRule>
  </conditionalFormatting>
  <conditionalFormatting sqref="AV9">
    <cfRule type="expression" dxfId="1175" priority="527">
      <formula>AV9="X"</formula>
    </cfRule>
    <cfRule type="expression" dxfId="1174" priority="528">
      <formula>AV9="후보"</formula>
    </cfRule>
  </conditionalFormatting>
  <conditionalFormatting sqref="AC9 N9">
    <cfRule type="cellIs" dxfId="1173" priority="524" operator="greaterThan">
      <formula>0.9</formula>
    </cfRule>
    <cfRule type="cellIs" dxfId="1172" priority="525" operator="greaterThan">
      <formula>0.85</formula>
    </cfRule>
  </conditionalFormatting>
  <conditionalFormatting sqref="AV10">
    <cfRule type="expression" dxfId="1171" priority="522">
      <formula>AV10="X"</formula>
    </cfRule>
    <cfRule type="expression" dxfId="1170" priority="523">
      <formula>AV10="후보"</formula>
    </cfRule>
  </conditionalFormatting>
  <conditionalFormatting sqref="AC10">
    <cfRule type="cellIs" dxfId="1169" priority="519" operator="greaterThan">
      <formula>0.9</formula>
    </cfRule>
    <cfRule type="cellIs" dxfId="1168" priority="520" operator="greaterThan">
      <formula>0.85</formula>
    </cfRule>
  </conditionalFormatting>
  <conditionalFormatting sqref="N10">
    <cfRule type="cellIs" dxfId="1167" priority="517" operator="greaterThan">
      <formula>0.9</formula>
    </cfRule>
    <cfRule type="cellIs" dxfId="1166" priority="518" operator="greaterThan">
      <formula>0.85</formula>
    </cfRule>
  </conditionalFormatting>
  <conditionalFormatting sqref="E10">
    <cfRule type="expression" dxfId="1165" priority="513">
      <formula>AND(IF(OR($Q10=1,$Q10=2),1,0),IF($X10&lt;=20,1,0))</formula>
    </cfRule>
    <cfRule type="expression" dxfId="1164" priority="514">
      <formula>AND(IF($Q10=2,1,0),IF($X10&lt;30,1,0))</formula>
    </cfRule>
    <cfRule type="expression" dxfId="1163" priority="515">
      <formula>AND(IF($Q10=3,1,0),IF($X10&lt;30,1,0))</formula>
    </cfRule>
    <cfRule type="expression" dxfId="1162" priority="516">
      <formula>AND(IF($Q10=3,1,IF($Q10=4,1,0)),IF($F10&lt;=85,1,0))</formula>
    </cfRule>
  </conditionalFormatting>
  <conditionalFormatting sqref="X10">
    <cfRule type="expression" dxfId="1161" priority="509">
      <formula>AND(IF(OR($Q10=1,$Q10=2),1,0),IF($X10&lt;=20,1,0))</formula>
    </cfRule>
    <cfRule type="expression" dxfId="1160" priority="510">
      <formula>AND(IF($Q10=2,1,0),IF($X10&lt;30,1,0))</formula>
    </cfRule>
    <cfRule type="expression" dxfId="1159" priority="511">
      <formula>AND(IF($Q10=3,1,0),IF($X10&lt;30,1,0))</formula>
    </cfRule>
    <cfRule type="expression" dxfId="1158" priority="512">
      <formula>AND(IF($Q10=3,1,IF($Q10=4,1,0)),IF($F10&lt;=85,1,0))</formula>
    </cfRule>
  </conditionalFormatting>
  <conditionalFormatting sqref="AI10">
    <cfRule type="expression" dxfId="1157" priority="505">
      <formula>AND(IF(OR($Q10=1,$Q10=2),1,0),IF($X10&lt;=20,1,0))</formula>
    </cfRule>
    <cfRule type="expression" dxfId="1156" priority="506">
      <formula>AND(IF($Q10=2,1,0),IF($X10&lt;30,1,0))</formula>
    </cfRule>
    <cfRule type="expression" dxfId="1155" priority="507">
      <formula>AND(IF($Q10=3,1,0),IF($X10&lt;30,1,0))</formula>
    </cfRule>
    <cfRule type="expression" dxfId="1154" priority="508">
      <formula>AND(IF($Q10=3,1,IF($Q10=4,1,0)),IF($F10&lt;=85,1,0))</formula>
    </cfRule>
  </conditionalFormatting>
  <conditionalFormatting sqref="AV11">
    <cfRule type="expression" dxfId="1153" priority="503">
      <formula>AV11="X"</formula>
    </cfRule>
    <cfRule type="expression" dxfId="1152" priority="504">
      <formula>AV11="후보"</formula>
    </cfRule>
  </conditionalFormatting>
  <conditionalFormatting sqref="AC11 N11">
    <cfRule type="cellIs" dxfId="1151" priority="500" operator="greaterThan">
      <formula>0.9</formula>
    </cfRule>
    <cfRule type="cellIs" dxfId="1150" priority="501" operator="greaterThan">
      <formula>0.85</formula>
    </cfRule>
  </conditionalFormatting>
  <conditionalFormatting sqref="AV12">
    <cfRule type="expression" dxfId="1149" priority="498">
      <formula>AV12="X"</formula>
    </cfRule>
    <cfRule type="expression" dxfId="1148" priority="499">
      <formula>AV12="후보"</formula>
    </cfRule>
  </conditionalFormatting>
  <conditionalFormatting sqref="AC12">
    <cfRule type="cellIs" dxfId="1147" priority="495" operator="greaterThan">
      <formula>0.9</formula>
    </cfRule>
    <cfRule type="cellIs" dxfId="1146" priority="496" operator="greaterThan">
      <formula>0.85</formula>
    </cfRule>
  </conditionalFormatting>
  <conditionalFormatting sqref="N12">
    <cfRule type="cellIs" dxfId="1145" priority="493" operator="greaterThan">
      <formula>0.9</formula>
    </cfRule>
    <cfRule type="cellIs" dxfId="1144" priority="494" operator="greaterThan">
      <formula>0.85</formula>
    </cfRule>
  </conditionalFormatting>
  <conditionalFormatting sqref="E12">
    <cfRule type="expression" dxfId="1143" priority="489">
      <formula>AND(IF(OR($Q12=1,$Q12=2),1,0),IF($X12&lt;=20,1,0))</formula>
    </cfRule>
    <cfRule type="expression" dxfId="1142" priority="490">
      <formula>AND(IF($Q12=2,1,0),IF($X12&lt;30,1,0))</formula>
    </cfRule>
    <cfRule type="expression" dxfId="1141" priority="491">
      <formula>AND(IF($Q12=3,1,0),IF($X12&lt;30,1,0))</formula>
    </cfRule>
    <cfRule type="expression" dxfId="1140" priority="492">
      <formula>AND(IF($Q12=3,1,IF($Q12=4,1,0)),IF($F12&lt;=85,1,0))</formula>
    </cfRule>
  </conditionalFormatting>
  <conditionalFormatting sqref="X12">
    <cfRule type="expression" dxfId="1139" priority="485">
      <formula>AND(IF(OR($Q12=1,$Q12=2),1,0),IF($X12&lt;=20,1,0))</formula>
    </cfRule>
    <cfRule type="expression" dxfId="1138" priority="486">
      <formula>AND(IF($Q12=2,1,0),IF($X12&lt;30,1,0))</formula>
    </cfRule>
    <cfRule type="expression" dxfId="1137" priority="487">
      <formula>AND(IF($Q12=3,1,0),IF($X12&lt;30,1,0))</formula>
    </cfRule>
    <cfRule type="expression" dxfId="1136" priority="488">
      <formula>AND(IF($Q12=3,1,IF($Q12=4,1,0)),IF($F12&lt;=85,1,0))</formula>
    </cfRule>
  </conditionalFormatting>
  <conditionalFormatting sqref="AI12">
    <cfRule type="expression" dxfId="1135" priority="481">
      <formula>AND(IF(OR($Q12=1,$Q12=2),1,0),IF($X12&lt;=20,1,0))</formula>
    </cfRule>
    <cfRule type="expression" dxfId="1134" priority="482">
      <formula>AND(IF($Q12=2,1,0),IF($X12&lt;30,1,0))</formula>
    </cfRule>
    <cfRule type="expression" dxfId="1133" priority="483">
      <formula>AND(IF($Q12=3,1,0),IF($X12&lt;30,1,0))</formula>
    </cfRule>
    <cfRule type="expression" dxfId="1132" priority="484">
      <formula>AND(IF($Q12=3,1,IF($Q12=4,1,0)),IF($F12&lt;=85,1,0))</formula>
    </cfRule>
  </conditionalFormatting>
  <conditionalFormatting sqref="AV13">
    <cfRule type="expression" dxfId="1131" priority="479">
      <formula>AV13="X"</formula>
    </cfRule>
    <cfRule type="expression" dxfId="1130" priority="480">
      <formula>AV13="후보"</formula>
    </cfRule>
  </conditionalFormatting>
  <conditionalFormatting sqref="AC13 N13">
    <cfRule type="cellIs" dxfId="1129" priority="476" operator="greaterThan">
      <formula>0.9</formula>
    </cfRule>
    <cfRule type="cellIs" dxfId="1128" priority="477" operator="greaterThan">
      <formula>0.85</formula>
    </cfRule>
  </conditionalFormatting>
  <conditionalFormatting sqref="AV14">
    <cfRule type="expression" dxfId="1127" priority="474">
      <formula>AV14="X"</formula>
    </cfRule>
    <cfRule type="expression" dxfId="1126" priority="475">
      <formula>AV14="후보"</formula>
    </cfRule>
  </conditionalFormatting>
  <conditionalFormatting sqref="AC14">
    <cfRule type="cellIs" dxfId="1125" priority="471" operator="greaterThan">
      <formula>0.9</formula>
    </cfRule>
    <cfRule type="cellIs" dxfId="1124" priority="472" operator="greaterThan">
      <formula>0.85</formula>
    </cfRule>
  </conditionalFormatting>
  <conditionalFormatting sqref="N14">
    <cfRule type="cellIs" dxfId="1123" priority="469" operator="greaterThan">
      <formula>0.9</formula>
    </cfRule>
    <cfRule type="cellIs" dxfId="1122" priority="470" operator="greaterThan">
      <formula>0.85</formula>
    </cfRule>
  </conditionalFormatting>
  <conditionalFormatting sqref="E14">
    <cfRule type="expression" dxfId="1121" priority="465">
      <formula>AND(IF(OR($Q14=1,$Q14=2),1,0),IF($X14&lt;=20,1,0))</formula>
    </cfRule>
    <cfRule type="expression" dxfId="1120" priority="466">
      <formula>AND(IF($Q14=2,1,0),IF($X14&lt;30,1,0))</formula>
    </cfRule>
    <cfRule type="expression" dxfId="1119" priority="467">
      <formula>AND(IF($Q14=3,1,0),IF($X14&lt;30,1,0))</formula>
    </cfRule>
    <cfRule type="expression" dxfId="1118" priority="468">
      <formula>AND(IF($Q14=3,1,IF($Q14=4,1,0)),IF($F14&lt;=85,1,0))</formula>
    </cfRule>
  </conditionalFormatting>
  <conditionalFormatting sqref="X14">
    <cfRule type="expression" dxfId="1117" priority="461">
      <formula>AND(IF(OR($Q14=1,$Q14=2),1,0),IF($X14&lt;=20,1,0))</formula>
    </cfRule>
    <cfRule type="expression" dxfId="1116" priority="462">
      <formula>AND(IF($Q14=2,1,0),IF($X14&lt;30,1,0))</formula>
    </cfRule>
    <cfRule type="expression" dxfId="1115" priority="463">
      <formula>AND(IF($Q14=3,1,0),IF($X14&lt;30,1,0))</formula>
    </cfRule>
    <cfRule type="expression" dxfId="1114" priority="464">
      <formula>AND(IF($Q14=3,1,IF($Q14=4,1,0)),IF($F14&lt;=85,1,0))</formula>
    </cfRule>
  </conditionalFormatting>
  <conditionalFormatting sqref="AI14">
    <cfRule type="expression" dxfId="1113" priority="457">
      <formula>AND(IF(OR($Q14=1,$Q14=2),1,0),IF($X14&lt;=20,1,0))</formula>
    </cfRule>
    <cfRule type="expression" dxfId="1112" priority="458">
      <formula>AND(IF($Q14=2,1,0),IF($X14&lt;30,1,0))</formula>
    </cfRule>
    <cfRule type="expression" dxfId="1111" priority="459">
      <formula>AND(IF($Q14=3,1,0),IF($X14&lt;30,1,0))</formula>
    </cfRule>
    <cfRule type="expression" dxfId="1110" priority="460">
      <formula>AND(IF($Q14=3,1,IF($Q14=4,1,0)),IF($F14&lt;=85,1,0))</formula>
    </cfRule>
  </conditionalFormatting>
  <conditionalFormatting sqref="AV15">
    <cfRule type="expression" dxfId="1109" priority="455">
      <formula>AV15="X"</formula>
    </cfRule>
    <cfRule type="expression" dxfId="1108" priority="456">
      <formula>AV15="후보"</formula>
    </cfRule>
  </conditionalFormatting>
  <conditionalFormatting sqref="AC15 N15">
    <cfRule type="cellIs" dxfId="1107" priority="452" operator="greaterThan">
      <formula>0.9</formula>
    </cfRule>
    <cfRule type="cellIs" dxfId="1106" priority="453" operator="greaterThan">
      <formula>0.85</formula>
    </cfRule>
  </conditionalFormatting>
  <conditionalFormatting sqref="AV16">
    <cfRule type="expression" dxfId="1105" priority="450">
      <formula>AV16="X"</formula>
    </cfRule>
    <cfRule type="expression" dxfId="1104" priority="451">
      <formula>AV16="후보"</formula>
    </cfRule>
  </conditionalFormatting>
  <conditionalFormatting sqref="AC16">
    <cfRule type="cellIs" dxfId="1103" priority="447" operator="greaterThan">
      <formula>0.9</formula>
    </cfRule>
    <cfRule type="cellIs" dxfId="1102" priority="448" operator="greaterThan">
      <formula>0.85</formula>
    </cfRule>
  </conditionalFormatting>
  <conditionalFormatting sqref="N16">
    <cfRule type="cellIs" dxfId="1101" priority="445" operator="greaterThan">
      <formula>0.9</formula>
    </cfRule>
    <cfRule type="cellIs" dxfId="1100" priority="446" operator="greaterThan">
      <formula>0.85</formula>
    </cfRule>
  </conditionalFormatting>
  <conditionalFormatting sqref="E16">
    <cfRule type="expression" dxfId="1099" priority="441">
      <formula>AND(IF(OR($Q16=1,$Q16=2),1,0),IF($X16&lt;=20,1,0))</formula>
    </cfRule>
    <cfRule type="expression" dxfId="1098" priority="442">
      <formula>AND(IF($Q16=2,1,0),IF($X16&lt;30,1,0))</formula>
    </cfRule>
    <cfRule type="expression" dxfId="1097" priority="443">
      <formula>AND(IF($Q16=3,1,0),IF($X16&lt;30,1,0))</formula>
    </cfRule>
    <cfRule type="expression" dxfId="1096" priority="444">
      <formula>AND(IF($Q16=3,1,IF($Q16=4,1,0)),IF($F16&lt;=85,1,0))</formula>
    </cfRule>
  </conditionalFormatting>
  <conditionalFormatting sqref="X16">
    <cfRule type="expression" dxfId="1095" priority="437">
      <formula>AND(IF(OR($Q16=1,$Q16=2),1,0),IF($X16&lt;=20,1,0))</formula>
    </cfRule>
    <cfRule type="expression" dxfId="1094" priority="438">
      <formula>AND(IF($Q16=2,1,0),IF($X16&lt;30,1,0))</formula>
    </cfRule>
    <cfRule type="expression" dxfId="1093" priority="439">
      <formula>AND(IF($Q16=3,1,0),IF($X16&lt;30,1,0))</formula>
    </cfRule>
    <cfRule type="expression" dxfId="1092" priority="440">
      <formula>AND(IF($Q16=3,1,IF($Q16=4,1,0)),IF($F16&lt;=85,1,0))</formula>
    </cfRule>
  </conditionalFormatting>
  <conditionalFormatting sqref="AI16">
    <cfRule type="expression" dxfId="1091" priority="433">
      <formula>AND(IF(OR($Q16=1,$Q16=2),1,0),IF($X16&lt;=20,1,0))</formula>
    </cfRule>
    <cfRule type="expression" dxfId="1090" priority="434">
      <formula>AND(IF($Q16=2,1,0),IF($X16&lt;30,1,0))</formula>
    </cfRule>
    <cfRule type="expression" dxfId="1089" priority="435">
      <formula>AND(IF($Q16=3,1,0),IF($X16&lt;30,1,0))</formula>
    </cfRule>
    <cfRule type="expression" dxfId="1088" priority="436">
      <formula>AND(IF($Q16=3,1,IF($Q16=4,1,0)),IF($F16&lt;=85,1,0))</formula>
    </cfRule>
  </conditionalFormatting>
  <conditionalFormatting sqref="AV17">
    <cfRule type="expression" dxfId="1087" priority="431">
      <formula>AV17="X"</formula>
    </cfRule>
    <cfRule type="expression" dxfId="1086" priority="432">
      <formula>AV17="후보"</formula>
    </cfRule>
  </conditionalFormatting>
  <conditionalFormatting sqref="AC17 N17">
    <cfRule type="cellIs" dxfId="1085" priority="428" operator="greaterThan">
      <formula>0.9</formula>
    </cfRule>
    <cfRule type="cellIs" dxfId="1084" priority="429" operator="greaterThan">
      <formula>0.85</formula>
    </cfRule>
  </conditionalFormatting>
  <conditionalFormatting sqref="AV18">
    <cfRule type="expression" dxfId="1083" priority="426">
      <formula>AV18="X"</formula>
    </cfRule>
    <cfRule type="expression" dxfId="1082" priority="427">
      <formula>AV18="후보"</formula>
    </cfRule>
  </conditionalFormatting>
  <conditionalFormatting sqref="AC18">
    <cfRule type="cellIs" dxfId="1081" priority="423" operator="greaterThan">
      <formula>0.9</formula>
    </cfRule>
    <cfRule type="cellIs" dxfId="1080" priority="424" operator="greaterThan">
      <formula>0.85</formula>
    </cfRule>
  </conditionalFormatting>
  <conditionalFormatting sqref="N18">
    <cfRule type="cellIs" dxfId="1079" priority="421" operator="greaterThan">
      <formula>0.9</formula>
    </cfRule>
    <cfRule type="cellIs" dxfId="1078" priority="422" operator="greaterThan">
      <formula>0.85</formula>
    </cfRule>
  </conditionalFormatting>
  <conditionalFormatting sqref="E18">
    <cfRule type="expression" dxfId="1077" priority="417">
      <formula>AND(IF(OR($Q18=1,$Q18=2),1,0),IF($X18&lt;=20,1,0))</formula>
    </cfRule>
    <cfRule type="expression" dxfId="1076" priority="418">
      <formula>AND(IF($Q18=2,1,0),IF($X18&lt;30,1,0))</formula>
    </cfRule>
    <cfRule type="expression" dxfId="1075" priority="419">
      <formula>AND(IF($Q18=3,1,0),IF($X18&lt;30,1,0))</formula>
    </cfRule>
    <cfRule type="expression" dxfId="1074" priority="420">
      <formula>AND(IF($Q18=3,1,IF($Q18=4,1,0)),IF($F18&lt;=85,1,0))</formula>
    </cfRule>
  </conditionalFormatting>
  <conditionalFormatting sqref="X18">
    <cfRule type="expression" dxfId="1073" priority="413">
      <formula>AND(IF(OR($Q18=1,$Q18=2),1,0),IF($X18&lt;=20,1,0))</formula>
    </cfRule>
    <cfRule type="expression" dxfId="1072" priority="414">
      <formula>AND(IF($Q18=2,1,0),IF($X18&lt;30,1,0))</formula>
    </cfRule>
    <cfRule type="expression" dxfId="1071" priority="415">
      <formula>AND(IF($Q18=3,1,0),IF($X18&lt;30,1,0))</formula>
    </cfRule>
    <cfRule type="expression" dxfId="1070" priority="416">
      <formula>AND(IF($Q18=3,1,IF($Q18=4,1,0)),IF($F18&lt;=85,1,0))</formula>
    </cfRule>
  </conditionalFormatting>
  <conditionalFormatting sqref="AI18">
    <cfRule type="expression" dxfId="1069" priority="409">
      <formula>AND(IF(OR($Q18=1,$Q18=2),1,0),IF($X18&lt;=20,1,0))</formula>
    </cfRule>
    <cfRule type="expression" dxfId="1068" priority="410">
      <formula>AND(IF($Q18=2,1,0),IF($X18&lt;30,1,0))</formula>
    </cfRule>
    <cfRule type="expression" dxfId="1067" priority="411">
      <formula>AND(IF($Q18=3,1,0),IF($X18&lt;30,1,0))</formula>
    </cfRule>
    <cfRule type="expression" dxfId="1066" priority="412">
      <formula>AND(IF($Q18=3,1,IF($Q18=4,1,0)),IF($F18&lt;=85,1,0))</formula>
    </cfRule>
  </conditionalFormatting>
  <conditionalFormatting sqref="AV19">
    <cfRule type="expression" dxfId="1065" priority="407">
      <formula>AV19="X"</formula>
    </cfRule>
    <cfRule type="expression" dxfId="1064" priority="408">
      <formula>AV19="후보"</formula>
    </cfRule>
  </conditionalFormatting>
  <conditionalFormatting sqref="AC19 N19">
    <cfRule type="cellIs" dxfId="1063" priority="404" operator="greaterThan">
      <formula>0.9</formula>
    </cfRule>
    <cfRule type="cellIs" dxfId="1062" priority="405" operator="greaterThan">
      <formula>0.85</formula>
    </cfRule>
  </conditionalFormatting>
  <conditionalFormatting sqref="AV20">
    <cfRule type="expression" dxfId="1061" priority="402">
      <formula>AV20="X"</formula>
    </cfRule>
    <cfRule type="expression" dxfId="1060" priority="403">
      <formula>AV20="후보"</formula>
    </cfRule>
  </conditionalFormatting>
  <conditionalFormatting sqref="AC20">
    <cfRule type="cellIs" dxfId="1059" priority="399" operator="greaterThan">
      <formula>0.9</formula>
    </cfRule>
    <cfRule type="cellIs" dxfId="1058" priority="400" operator="greaterThan">
      <formula>0.85</formula>
    </cfRule>
  </conditionalFormatting>
  <conditionalFormatting sqref="N20">
    <cfRule type="cellIs" dxfId="1057" priority="397" operator="greaterThan">
      <formula>0.9</formula>
    </cfRule>
    <cfRule type="cellIs" dxfId="1056" priority="398" operator="greaterThan">
      <formula>0.85</formula>
    </cfRule>
  </conditionalFormatting>
  <conditionalFormatting sqref="E20">
    <cfRule type="expression" dxfId="1055" priority="393">
      <formula>AND(IF(OR($Q20=1,$Q20=2),1,0),IF($X20&lt;=20,1,0))</formula>
    </cfRule>
    <cfRule type="expression" dxfId="1054" priority="394">
      <formula>AND(IF($Q20=2,1,0),IF($X20&lt;30,1,0))</formula>
    </cfRule>
    <cfRule type="expression" dxfId="1053" priority="395">
      <formula>AND(IF($Q20=3,1,0),IF($X20&lt;30,1,0))</formula>
    </cfRule>
    <cfRule type="expression" dxfId="1052" priority="396">
      <formula>AND(IF($Q20=3,1,IF($Q20=4,1,0)),IF($F20&lt;=85,1,0))</formula>
    </cfRule>
  </conditionalFormatting>
  <conditionalFormatting sqref="X20">
    <cfRule type="expression" dxfId="1051" priority="389">
      <formula>AND(IF(OR($Q20=1,$Q20=2),1,0),IF($X20&lt;=20,1,0))</formula>
    </cfRule>
    <cfRule type="expression" dxfId="1050" priority="390">
      <formula>AND(IF($Q20=2,1,0),IF($X20&lt;30,1,0))</formula>
    </cfRule>
    <cfRule type="expression" dxfId="1049" priority="391">
      <formula>AND(IF($Q20=3,1,0),IF($X20&lt;30,1,0))</formula>
    </cfRule>
    <cfRule type="expression" dxfId="1048" priority="392">
      <formula>AND(IF($Q20=3,1,IF($Q20=4,1,0)),IF($F20&lt;=85,1,0))</formula>
    </cfRule>
  </conditionalFormatting>
  <conditionalFormatting sqref="AI20">
    <cfRule type="expression" dxfId="1047" priority="385">
      <formula>AND(IF(OR($Q20=1,$Q20=2),1,0),IF($X20&lt;=20,1,0))</formula>
    </cfRule>
    <cfRule type="expression" dxfId="1046" priority="386">
      <formula>AND(IF($Q20=2,1,0),IF($X20&lt;30,1,0))</formula>
    </cfRule>
    <cfRule type="expression" dxfId="1045" priority="387">
      <formula>AND(IF($Q20=3,1,0),IF($X20&lt;30,1,0))</formula>
    </cfRule>
    <cfRule type="expression" dxfId="1044" priority="388">
      <formula>AND(IF($Q20=3,1,IF($Q20=4,1,0)),IF($F20&lt;=85,1,0))</formula>
    </cfRule>
  </conditionalFormatting>
  <conditionalFormatting sqref="AV21">
    <cfRule type="expression" dxfId="1043" priority="383">
      <formula>AV21="X"</formula>
    </cfRule>
    <cfRule type="expression" dxfId="1042" priority="384">
      <formula>AV21="후보"</formula>
    </cfRule>
  </conditionalFormatting>
  <conditionalFormatting sqref="AC21 N21">
    <cfRule type="cellIs" dxfId="1041" priority="380" operator="greaterThan">
      <formula>0.9</formula>
    </cfRule>
    <cfRule type="cellIs" dxfId="1040" priority="381" operator="greaterThan">
      <formula>0.85</formula>
    </cfRule>
  </conditionalFormatting>
  <conditionalFormatting sqref="AV22">
    <cfRule type="expression" dxfId="1039" priority="378">
      <formula>AV22="X"</formula>
    </cfRule>
    <cfRule type="expression" dxfId="1038" priority="379">
      <formula>AV22="후보"</formula>
    </cfRule>
  </conditionalFormatting>
  <conditionalFormatting sqref="AC22">
    <cfRule type="cellIs" dxfId="1037" priority="375" operator="greaterThan">
      <formula>0.9</formula>
    </cfRule>
    <cfRule type="cellIs" dxfId="1036" priority="376" operator="greaterThan">
      <formula>0.85</formula>
    </cfRule>
  </conditionalFormatting>
  <conditionalFormatting sqref="N22">
    <cfRule type="cellIs" dxfId="1035" priority="373" operator="greaterThan">
      <formula>0.9</formula>
    </cfRule>
    <cfRule type="cellIs" dxfId="1034" priority="374" operator="greaterThan">
      <formula>0.85</formula>
    </cfRule>
  </conditionalFormatting>
  <conditionalFormatting sqref="E22">
    <cfRule type="expression" dxfId="1033" priority="369">
      <formula>AND(IF(OR($Q22=1,$Q22=2),1,0),IF($X22&lt;=20,1,0))</formula>
    </cfRule>
    <cfRule type="expression" dxfId="1032" priority="370">
      <formula>AND(IF($Q22=2,1,0),IF($X22&lt;30,1,0))</formula>
    </cfRule>
    <cfRule type="expression" dxfId="1031" priority="371">
      <formula>AND(IF($Q22=3,1,0),IF($X22&lt;30,1,0))</formula>
    </cfRule>
    <cfRule type="expression" dxfId="1030" priority="372">
      <formula>AND(IF($Q22=3,1,IF($Q22=4,1,0)),IF($F22&lt;=85,1,0))</formula>
    </cfRule>
  </conditionalFormatting>
  <conditionalFormatting sqref="X22">
    <cfRule type="expression" dxfId="1029" priority="365">
      <formula>AND(IF(OR($Q22=1,$Q22=2),1,0),IF($X22&lt;=20,1,0))</formula>
    </cfRule>
    <cfRule type="expression" dxfId="1028" priority="366">
      <formula>AND(IF($Q22=2,1,0),IF($X22&lt;30,1,0))</formula>
    </cfRule>
    <cfRule type="expression" dxfId="1027" priority="367">
      <formula>AND(IF($Q22=3,1,0),IF($X22&lt;30,1,0))</formula>
    </cfRule>
    <cfRule type="expression" dxfId="1026" priority="368">
      <formula>AND(IF($Q22=3,1,IF($Q22=4,1,0)),IF($F22&lt;=85,1,0))</formula>
    </cfRule>
  </conditionalFormatting>
  <conditionalFormatting sqref="AI22">
    <cfRule type="expression" dxfId="1025" priority="361">
      <formula>AND(IF(OR($Q22=1,$Q22=2),1,0),IF($X22&lt;=20,1,0))</formula>
    </cfRule>
    <cfRule type="expression" dxfId="1024" priority="362">
      <formula>AND(IF($Q22=2,1,0),IF($X22&lt;30,1,0))</formula>
    </cfRule>
    <cfRule type="expression" dxfId="1023" priority="363">
      <formula>AND(IF($Q22=3,1,0),IF($X22&lt;30,1,0))</formula>
    </cfRule>
    <cfRule type="expression" dxfId="1022" priority="364">
      <formula>AND(IF($Q22=3,1,IF($Q22=4,1,0)),IF($F22&lt;=85,1,0))</formula>
    </cfRule>
  </conditionalFormatting>
  <conditionalFormatting sqref="AV23">
    <cfRule type="expression" dxfId="1021" priority="359">
      <formula>AV23="X"</formula>
    </cfRule>
    <cfRule type="expression" dxfId="1020" priority="360">
      <formula>AV23="후보"</formula>
    </cfRule>
  </conditionalFormatting>
  <conditionalFormatting sqref="AC23 N23">
    <cfRule type="cellIs" dxfId="1019" priority="356" operator="greaterThan">
      <formula>0.9</formula>
    </cfRule>
    <cfRule type="cellIs" dxfId="1018" priority="357" operator="greaterThan">
      <formula>0.85</formula>
    </cfRule>
  </conditionalFormatting>
  <conditionalFormatting sqref="AV24">
    <cfRule type="expression" dxfId="1017" priority="354">
      <formula>AV24="X"</formula>
    </cfRule>
    <cfRule type="expression" dxfId="1016" priority="355">
      <formula>AV24="후보"</formula>
    </cfRule>
  </conditionalFormatting>
  <conditionalFormatting sqref="AC24">
    <cfRule type="cellIs" dxfId="1015" priority="351" operator="greaterThan">
      <formula>0.9</formula>
    </cfRule>
    <cfRule type="cellIs" dxfId="1014" priority="352" operator="greaterThan">
      <formula>0.85</formula>
    </cfRule>
  </conditionalFormatting>
  <conditionalFormatting sqref="N24">
    <cfRule type="cellIs" dxfId="1013" priority="349" operator="greaterThan">
      <formula>0.9</formula>
    </cfRule>
    <cfRule type="cellIs" dxfId="1012" priority="350" operator="greaterThan">
      <formula>0.85</formula>
    </cfRule>
  </conditionalFormatting>
  <conditionalFormatting sqref="E24">
    <cfRule type="expression" dxfId="1011" priority="345">
      <formula>AND(IF(OR($Q24=1,$Q24=2),1,0),IF($X24&lt;=20,1,0))</formula>
    </cfRule>
    <cfRule type="expression" dxfId="1010" priority="346">
      <formula>AND(IF($Q24=2,1,0),IF($X24&lt;30,1,0))</formula>
    </cfRule>
    <cfRule type="expression" dxfId="1009" priority="347">
      <formula>AND(IF($Q24=3,1,0),IF($X24&lt;30,1,0))</formula>
    </cfRule>
    <cfRule type="expression" dxfId="1008" priority="348">
      <formula>AND(IF($Q24=3,1,IF($Q24=4,1,0)),IF($F24&lt;=85,1,0))</formula>
    </cfRule>
  </conditionalFormatting>
  <conditionalFormatting sqref="X24">
    <cfRule type="expression" dxfId="1007" priority="341">
      <formula>AND(IF(OR($Q24=1,$Q24=2),1,0),IF($X24&lt;=20,1,0))</formula>
    </cfRule>
    <cfRule type="expression" dxfId="1006" priority="342">
      <formula>AND(IF($Q24=2,1,0),IF($X24&lt;30,1,0))</formula>
    </cfRule>
    <cfRule type="expression" dxfId="1005" priority="343">
      <formula>AND(IF($Q24=3,1,0),IF($X24&lt;30,1,0))</formula>
    </cfRule>
    <cfRule type="expression" dxfId="1004" priority="344">
      <formula>AND(IF($Q24=3,1,IF($Q24=4,1,0)),IF($F24&lt;=85,1,0))</formula>
    </cfRule>
  </conditionalFormatting>
  <conditionalFormatting sqref="AI24">
    <cfRule type="expression" dxfId="1003" priority="337">
      <formula>AND(IF(OR($Q24=1,$Q24=2),1,0),IF($X24&lt;=20,1,0))</formula>
    </cfRule>
    <cfRule type="expression" dxfId="1002" priority="338">
      <formula>AND(IF($Q24=2,1,0),IF($X24&lt;30,1,0))</formula>
    </cfRule>
    <cfRule type="expression" dxfId="1001" priority="339">
      <formula>AND(IF($Q24=3,1,0),IF($X24&lt;30,1,0))</formula>
    </cfRule>
    <cfRule type="expression" dxfId="1000" priority="340">
      <formula>AND(IF($Q24=3,1,IF($Q24=4,1,0)),IF($F24&lt;=85,1,0))</formula>
    </cfRule>
  </conditionalFormatting>
  <conditionalFormatting sqref="AV25">
    <cfRule type="expression" dxfId="999" priority="335">
      <formula>AV25="X"</formula>
    </cfRule>
    <cfRule type="expression" dxfId="998" priority="336">
      <formula>AV25="후보"</formula>
    </cfRule>
  </conditionalFormatting>
  <conditionalFormatting sqref="AC25 N25">
    <cfRule type="cellIs" dxfId="997" priority="332" operator="greaterThan">
      <formula>0.9</formula>
    </cfRule>
    <cfRule type="cellIs" dxfId="996" priority="333" operator="greaterThan">
      <formula>0.85</formula>
    </cfRule>
  </conditionalFormatting>
  <conditionalFormatting sqref="AV26">
    <cfRule type="expression" dxfId="995" priority="330">
      <formula>AV26="X"</formula>
    </cfRule>
    <cfRule type="expression" dxfId="994" priority="331">
      <formula>AV26="후보"</formula>
    </cfRule>
  </conditionalFormatting>
  <conditionalFormatting sqref="AC26">
    <cfRule type="cellIs" dxfId="993" priority="327" operator="greaterThan">
      <formula>0.9</formula>
    </cfRule>
    <cfRule type="cellIs" dxfId="992" priority="328" operator="greaterThan">
      <formula>0.85</formula>
    </cfRule>
  </conditionalFormatting>
  <conditionalFormatting sqref="N26">
    <cfRule type="cellIs" dxfId="991" priority="325" operator="greaterThan">
      <formula>0.9</formula>
    </cfRule>
    <cfRule type="cellIs" dxfId="990" priority="326" operator="greaterThan">
      <formula>0.85</formula>
    </cfRule>
  </conditionalFormatting>
  <conditionalFormatting sqref="E26">
    <cfRule type="expression" dxfId="989" priority="321">
      <formula>AND(IF(OR($Q26=1,$Q26=2),1,0),IF($X26&lt;=20,1,0))</formula>
    </cfRule>
    <cfRule type="expression" dxfId="988" priority="322">
      <formula>AND(IF($Q26=2,1,0),IF($X26&lt;30,1,0))</formula>
    </cfRule>
    <cfRule type="expression" dxfId="987" priority="323">
      <formula>AND(IF($Q26=3,1,0),IF($X26&lt;30,1,0))</formula>
    </cfRule>
    <cfRule type="expression" dxfId="986" priority="324">
      <formula>AND(IF($Q26=3,1,IF($Q26=4,1,0)),IF($F26&lt;=85,1,0))</formula>
    </cfRule>
  </conditionalFormatting>
  <conditionalFormatting sqref="X26">
    <cfRule type="expression" dxfId="985" priority="317">
      <formula>AND(IF(OR($Q26=1,$Q26=2),1,0),IF($X26&lt;=20,1,0))</formula>
    </cfRule>
    <cfRule type="expression" dxfId="984" priority="318">
      <formula>AND(IF($Q26=2,1,0),IF($X26&lt;30,1,0))</formula>
    </cfRule>
    <cfRule type="expression" dxfId="983" priority="319">
      <formula>AND(IF($Q26=3,1,0),IF($X26&lt;30,1,0))</formula>
    </cfRule>
    <cfRule type="expression" dxfId="982" priority="320">
      <formula>AND(IF($Q26=3,1,IF($Q26=4,1,0)),IF($F26&lt;=85,1,0))</formula>
    </cfRule>
  </conditionalFormatting>
  <conditionalFormatting sqref="AI26">
    <cfRule type="expression" dxfId="981" priority="313">
      <formula>AND(IF(OR($Q26=1,$Q26=2),1,0),IF($X26&lt;=20,1,0))</formula>
    </cfRule>
    <cfRule type="expression" dxfId="980" priority="314">
      <formula>AND(IF($Q26=2,1,0),IF($X26&lt;30,1,0))</formula>
    </cfRule>
    <cfRule type="expression" dxfId="979" priority="315">
      <formula>AND(IF($Q26=3,1,0),IF($X26&lt;30,1,0))</formula>
    </cfRule>
    <cfRule type="expression" dxfId="978" priority="316">
      <formula>AND(IF($Q26=3,1,IF($Q26=4,1,0)),IF($F26&lt;=85,1,0))</formula>
    </cfRule>
  </conditionalFormatting>
  <conditionalFormatting sqref="AV27">
    <cfRule type="expression" dxfId="977" priority="311">
      <formula>AV27="X"</formula>
    </cfRule>
    <cfRule type="expression" dxfId="976" priority="312">
      <formula>AV27="후보"</formula>
    </cfRule>
  </conditionalFormatting>
  <conditionalFormatting sqref="AC27 N27">
    <cfRule type="cellIs" dxfId="975" priority="308" operator="greaterThan">
      <formula>0.9</formula>
    </cfRule>
    <cfRule type="cellIs" dxfId="974" priority="309" operator="greaterThan">
      <formula>0.85</formula>
    </cfRule>
  </conditionalFormatting>
  <conditionalFormatting sqref="AV28">
    <cfRule type="expression" dxfId="973" priority="306">
      <formula>AV28="X"</formula>
    </cfRule>
    <cfRule type="expression" dxfId="972" priority="307">
      <formula>AV28="후보"</formula>
    </cfRule>
  </conditionalFormatting>
  <conditionalFormatting sqref="AC28">
    <cfRule type="cellIs" dxfId="971" priority="303" operator="greaterThan">
      <formula>0.9</formula>
    </cfRule>
    <cfRule type="cellIs" dxfId="970" priority="304" operator="greaterThan">
      <formula>0.85</formula>
    </cfRule>
  </conditionalFormatting>
  <conditionalFormatting sqref="N28">
    <cfRule type="cellIs" dxfId="969" priority="301" operator="greaterThan">
      <formula>0.9</formula>
    </cfRule>
    <cfRule type="cellIs" dxfId="968" priority="302" operator="greaterThan">
      <formula>0.85</formula>
    </cfRule>
  </conditionalFormatting>
  <conditionalFormatting sqref="E28">
    <cfRule type="expression" dxfId="967" priority="297">
      <formula>AND(IF(OR($Q28=1,$Q28=2),1,0),IF($X28&lt;=20,1,0))</formula>
    </cfRule>
    <cfRule type="expression" dxfId="966" priority="298">
      <formula>AND(IF($Q28=2,1,0),IF($X28&lt;30,1,0))</formula>
    </cfRule>
    <cfRule type="expression" dxfId="965" priority="299">
      <formula>AND(IF($Q28=3,1,0),IF($X28&lt;30,1,0))</formula>
    </cfRule>
    <cfRule type="expression" dxfId="964" priority="300">
      <formula>AND(IF($Q28=3,1,IF($Q28=4,1,0)),IF($F28&lt;=85,1,0))</formula>
    </cfRule>
  </conditionalFormatting>
  <conditionalFormatting sqref="X28">
    <cfRule type="expression" dxfId="963" priority="293">
      <formula>AND(IF(OR($Q28=1,$Q28=2),1,0),IF($X28&lt;=20,1,0))</formula>
    </cfRule>
    <cfRule type="expression" dxfId="962" priority="294">
      <formula>AND(IF($Q28=2,1,0),IF($X28&lt;30,1,0))</formula>
    </cfRule>
    <cfRule type="expression" dxfId="961" priority="295">
      <formula>AND(IF($Q28=3,1,0),IF($X28&lt;30,1,0))</formula>
    </cfRule>
    <cfRule type="expression" dxfId="960" priority="296">
      <formula>AND(IF($Q28=3,1,IF($Q28=4,1,0)),IF($F28&lt;=85,1,0))</formula>
    </cfRule>
  </conditionalFormatting>
  <conditionalFormatting sqref="AI28">
    <cfRule type="expression" dxfId="959" priority="289">
      <formula>AND(IF(OR($Q28=1,$Q28=2),1,0),IF($X28&lt;=20,1,0))</formula>
    </cfRule>
    <cfRule type="expression" dxfId="958" priority="290">
      <formula>AND(IF($Q28=2,1,0),IF($X28&lt;30,1,0))</formula>
    </cfRule>
    <cfRule type="expression" dxfId="957" priority="291">
      <formula>AND(IF($Q28=3,1,0),IF($X28&lt;30,1,0))</formula>
    </cfRule>
    <cfRule type="expression" dxfId="956" priority="292">
      <formula>AND(IF($Q28=3,1,IF($Q28=4,1,0)),IF($F28&lt;=85,1,0))</formula>
    </cfRule>
  </conditionalFormatting>
  <conditionalFormatting sqref="AV29">
    <cfRule type="expression" dxfId="955" priority="287">
      <formula>AV29="X"</formula>
    </cfRule>
    <cfRule type="expression" dxfId="954" priority="288">
      <formula>AV29="후보"</formula>
    </cfRule>
  </conditionalFormatting>
  <conditionalFormatting sqref="AC29 N29">
    <cfRule type="cellIs" dxfId="953" priority="284" operator="greaterThan">
      <formula>0.9</formula>
    </cfRule>
    <cfRule type="cellIs" dxfId="952" priority="285" operator="greaterThan">
      <formula>0.85</formula>
    </cfRule>
  </conditionalFormatting>
  <conditionalFormatting sqref="AV30">
    <cfRule type="expression" dxfId="951" priority="282">
      <formula>AV30="X"</formula>
    </cfRule>
    <cfRule type="expression" dxfId="950" priority="283">
      <formula>AV30="후보"</formula>
    </cfRule>
  </conditionalFormatting>
  <conditionalFormatting sqref="AC30">
    <cfRule type="cellIs" dxfId="949" priority="279" operator="greaterThan">
      <formula>0.9</formula>
    </cfRule>
    <cfRule type="cellIs" dxfId="948" priority="280" operator="greaterThan">
      <formula>0.85</formula>
    </cfRule>
  </conditionalFormatting>
  <conditionalFormatting sqref="N30">
    <cfRule type="cellIs" dxfId="947" priority="277" operator="greaterThan">
      <formula>0.9</formula>
    </cfRule>
    <cfRule type="cellIs" dxfId="946" priority="278" operator="greaterThan">
      <formula>0.85</formula>
    </cfRule>
  </conditionalFormatting>
  <conditionalFormatting sqref="E30">
    <cfRule type="expression" dxfId="945" priority="273">
      <formula>AND(IF(OR($Q30=1,$Q30=2),1,0),IF($X30&lt;=20,1,0))</formula>
    </cfRule>
    <cfRule type="expression" dxfId="944" priority="274">
      <formula>AND(IF($Q30=2,1,0),IF($X30&lt;30,1,0))</formula>
    </cfRule>
    <cfRule type="expression" dxfId="943" priority="275">
      <formula>AND(IF($Q30=3,1,0),IF($X30&lt;30,1,0))</formula>
    </cfRule>
    <cfRule type="expression" dxfId="942" priority="276">
      <formula>AND(IF($Q30=3,1,IF($Q30=4,1,0)),IF($F30&lt;=85,1,0))</formula>
    </cfRule>
  </conditionalFormatting>
  <conditionalFormatting sqref="X30">
    <cfRule type="expression" dxfId="941" priority="269">
      <formula>AND(IF(OR($Q30=1,$Q30=2),1,0),IF($X30&lt;=20,1,0))</formula>
    </cfRule>
    <cfRule type="expression" dxfId="940" priority="270">
      <formula>AND(IF($Q30=2,1,0),IF($X30&lt;30,1,0))</formula>
    </cfRule>
    <cfRule type="expression" dxfId="939" priority="271">
      <formula>AND(IF($Q30=3,1,0),IF($X30&lt;30,1,0))</formula>
    </cfRule>
    <cfRule type="expression" dxfId="938" priority="272">
      <formula>AND(IF($Q30=3,1,IF($Q30=4,1,0)),IF($F30&lt;=85,1,0))</formula>
    </cfRule>
  </conditionalFormatting>
  <conditionalFormatting sqref="AI30">
    <cfRule type="expression" dxfId="937" priority="265">
      <formula>AND(IF(OR($Q30=1,$Q30=2),1,0),IF($X30&lt;=20,1,0))</formula>
    </cfRule>
    <cfRule type="expression" dxfId="936" priority="266">
      <formula>AND(IF($Q30=2,1,0),IF($X30&lt;30,1,0))</formula>
    </cfRule>
    <cfRule type="expression" dxfId="935" priority="267">
      <formula>AND(IF($Q30=3,1,0),IF($X30&lt;30,1,0))</formula>
    </cfRule>
    <cfRule type="expression" dxfId="934" priority="268">
      <formula>AND(IF($Q30=3,1,IF($Q30=4,1,0)),IF($F30&lt;=85,1,0))</formula>
    </cfRule>
  </conditionalFormatting>
  <conditionalFormatting sqref="AV31">
    <cfRule type="expression" dxfId="933" priority="263">
      <formula>AV31="X"</formula>
    </cfRule>
    <cfRule type="expression" dxfId="932" priority="264">
      <formula>AV31="후보"</formula>
    </cfRule>
  </conditionalFormatting>
  <conditionalFormatting sqref="AC31 N31">
    <cfRule type="cellIs" dxfId="931" priority="260" operator="greaterThan">
      <formula>0.9</formula>
    </cfRule>
    <cfRule type="cellIs" dxfId="930" priority="261" operator="greaterThan">
      <formula>0.85</formula>
    </cfRule>
  </conditionalFormatting>
  <conditionalFormatting sqref="AV32">
    <cfRule type="expression" dxfId="929" priority="258">
      <formula>AV32="X"</formula>
    </cfRule>
    <cfRule type="expression" dxfId="928" priority="259">
      <formula>AV32="후보"</formula>
    </cfRule>
  </conditionalFormatting>
  <conditionalFormatting sqref="AC32">
    <cfRule type="cellIs" dxfId="927" priority="255" operator="greaterThan">
      <formula>0.9</formula>
    </cfRule>
    <cfRule type="cellIs" dxfId="926" priority="256" operator="greaterThan">
      <formula>0.85</formula>
    </cfRule>
  </conditionalFormatting>
  <conditionalFormatting sqref="N32">
    <cfRule type="cellIs" dxfId="925" priority="253" operator="greaterThan">
      <formula>0.9</formula>
    </cfRule>
    <cfRule type="cellIs" dxfId="924" priority="254" operator="greaterThan">
      <formula>0.85</formula>
    </cfRule>
  </conditionalFormatting>
  <conditionalFormatting sqref="E32">
    <cfRule type="expression" dxfId="923" priority="249">
      <formula>AND(IF(OR($Q32=1,$Q32=2),1,0),IF($X32&lt;=20,1,0))</formula>
    </cfRule>
    <cfRule type="expression" dxfId="922" priority="250">
      <formula>AND(IF($Q32=2,1,0),IF($X32&lt;30,1,0))</formula>
    </cfRule>
    <cfRule type="expression" dxfId="921" priority="251">
      <formula>AND(IF($Q32=3,1,0),IF($X32&lt;30,1,0))</formula>
    </cfRule>
    <cfRule type="expression" dxfId="920" priority="252">
      <formula>AND(IF($Q32=3,1,IF($Q32=4,1,0)),IF($F32&lt;=85,1,0))</formula>
    </cfRule>
  </conditionalFormatting>
  <conditionalFormatting sqref="X32">
    <cfRule type="expression" dxfId="919" priority="245">
      <formula>AND(IF(OR($Q32=1,$Q32=2),1,0),IF($X32&lt;=20,1,0))</formula>
    </cfRule>
    <cfRule type="expression" dxfId="918" priority="246">
      <formula>AND(IF($Q32=2,1,0),IF($X32&lt;30,1,0))</formula>
    </cfRule>
    <cfRule type="expression" dxfId="917" priority="247">
      <formula>AND(IF($Q32=3,1,0),IF($X32&lt;30,1,0))</formula>
    </cfRule>
    <cfRule type="expression" dxfId="916" priority="248">
      <formula>AND(IF($Q32=3,1,IF($Q32=4,1,0)),IF($F32&lt;=85,1,0))</formula>
    </cfRule>
  </conditionalFormatting>
  <conditionalFormatting sqref="AI32">
    <cfRule type="expression" dxfId="915" priority="241">
      <formula>AND(IF(OR($Q32=1,$Q32=2),1,0),IF($X32&lt;=20,1,0))</formula>
    </cfRule>
    <cfRule type="expression" dxfId="914" priority="242">
      <formula>AND(IF($Q32=2,1,0),IF($X32&lt;30,1,0))</formula>
    </cfRule>
    <cfRule type="expression" dxfId="913" priority="243">
      <formula>AND(IF($Q32=3,1,0),IF($X32&lt;30,1,0))</formula>
    </cfRule>
    <cfRule type="expression" dxfId="912" priority="244">
      <formula>AND(IF($Q32=3,1,IF($Q32=4,1,0)),IF($F32&lt;=85,1,0))</formula>
    </cfRule>
  </conditionalFormatting>
  <conditionalFormatting sqref="AV33">
    <cfRule type="expression" dxfId="911" priority="239">
      <formula>AV33="X"</formula>
    </cfRule>
    <cfRule type="expression" dxfId="910" priority="240">
      <formula>AV33="후보"</formula>
    </cfRule>
  </conditionalFormatting>
  <conditionalFormatting sqref="AC33 N33">
    <cfRule type="cellIs" dxfId="909" priority="236" operator="greaterThan">
      <formula>0.9</formula>
    </cfRule>
    <cfRule type="cellIs" dxfId="908" priority="237" operator="greaterThan">
      <formula>0.85</formula>
    </cfRule>
  </conditionalFormatting>
  <conditionalFormatting sqref="AV34">
    <cfRule type="expression" dxfId="907" priority="234">
      <formula>AV34="X"</formula>
    </cfRule>
    <cfRule type="expression" dxfId="906" priority="235">
      <formula>AV34="후보"</formula>
    </cfRule>
  </conditionalFormatting>
  <conditionalFormatting sqref="AC34">
    <cfRule type="cellIs" dxfId="905" priority="231" operator="greaterThan">
      <formula>0.9</formula>
    </cfRule>
    <cfRule type="cellIs" dxfId="904" priority="232" operator="greaterThan">
      <formula>0.85</formula>
    </cfRule>
  </conditionalFormatting>
  <conditionalFormatting sqref="N34">
    <cfRule type="cellIs" dxfId="903" priority="229" operator="greaterThan">
      <formula>0.9</formula>
    </cfRule>
    <cfRule type="cellIs" dxfId="902" priority="230" operator="greaterThan">
      <formula>0.85</formula>
    </cfRule>
  </conditionalFormatting>
  <conditionalFormatting sqref="E34">
    <cfRule type="expression" dxfId="901" priority="225">
      <formula>AND(IF(OR($Q34=1,$Q34=2),1,0),IF($X34&lt;=20,1,0))</formula>
    </cfRule>
    <cfRule type="expression" dxfId="900" priority="226">
      <formula>AND(IF($Q34=2,1,0),IF($X34&lt;30,1,0))</formula>
    </cfRule>
    <cfRule type="expression" dxfId="899" priority="227">
      <formula>AND(IF($Q34=3,1,0),IF($X34&lt;30,1,0))</formula>
    </cfRule>
    <cfRule type="expression" dxfId="898" priority="228">
      <formula>AND(IF($Q34=3,1,IF($Q34=4,1,0)),IF($F34&lt;=85,1,0))</formula>
    </cfRule>
  </conditionalFormatting>
  <conditionalFormatting sqref="X34">
    <cfRule type="expression" dxfId="897" priority="221">
      <formula>AND(IF(OR($Q34=1,$Q34=2),1,0),IF($X34&lt;=20,1,0))</formula>
    </cfRule>
    <cfRule type="expression" dxfId="896" priority="222">
      <formula>AND(IF($Q34=2,1,0),IF($X34&lt;30,1,0))</formula>
    </cfRule>
    <cfRule type="expression" dxfId="895" priority="223">
      <formula>AND(IF($Q34=3,1,0),IF($X34&lt;30,1,0))</formula>
    </cfRule>
    <cfRule type="expression" dxfId="894" priority="224">
      <formula>AND(IF($Q34=3,1,IF($Q34=4,1,0)),IF($F34&lt;=85,1,0))</formula>
    </cfRule>
  </conditionalFormatting>
  <conditionalFormatting sqref="AI34">
    <cfRule type="expression" dxfId="893" priority="217">
      <formula>AND(IF(OR($Q34=1,$Q34=2),1,0),IF($X34&lt;=20,1,0))</formula>
    </cfRule>
    <cfRule type="expression" dxfId="892" priority="218">
      <formula>AND(IF($Q34=2,1,0),IF($X34&lt;30,1,0))</formula>
    </cfRule>
    <cfRule type="expression" dxfId="891" priority="219">
      <formula>AND(IF($Q34=3,1,0),IF($X34&lt;30,1,0))</formula>
    </cfRule>
    <cfRule type="expression" dxfId="890" priority="220">
      <formula>AND(IF($Q34=3,1,IF($Q34=4,1,0)),IF($F34&lt;=85,1,0))</formula>
    </cfRule>
  </conditionalFormatting>
  <conditionalFormatting sqref="AV35">
    <cfRule type="expression" dxfId="889" priority="215">
      <formula>AV35="X"</formula>
    </cfRule>
    <cfRule type="expression" dxfId="888" priority="216">
      <formula>AV35="후보"</formula>
    </cfRule>
  </conditionalFormatting>
  <conditionalFormatting sqref="AC35 N35">
    <cfRule type="cellIs" dxfId="887" priority="212" operator="greaterThan">
      <formula>0.9</formula>
    </cfRule>
    <cfRule type="cellIs" dxfId="886" priority="213" operator="greaterThan">
      <formula>0.85</formula>
    </cfRule>
  </conditionalFormatting>
  <conditionalFormatting sqref="AV36">
    <cfRule type="expression" dxfId="885" priority="210">
      <formula>AV36="X"</formula>
    </cfRule>
    <cfRule type="expression" dxfId="884" priority="211">
      <formula>AV36="후보"</formula>
    </cfRule>
  </conditionalFormatting>
  <conditionalFormatting sqref="AC36">
    <cfRule type="cellIs" dxfId="883" priority="207" operator="greaterThan">
      <formula>0.9</formula>
    </cfRule>
    <cfRule type="cellIs" dxfId="882" priority="208" operator="greaterThan">
      <formula>0.85</formula>
    </cfRule>
  </conditionalFormatting>
  <conditionalFormatting sqref="N36">
    <cfRule type="cellIs" dxfId="881" priority="205" operator="greaterThan">
      <formula>0.9</formula>
    </cfRule>
    <cfRule type="cellIs" dxfId="880" priority="206" operator="greaterThan">
      <formula>0.85</formula>
    </cfRule>
  </conditionalFormatting>
  <conditionalFormatting sqref="E36">
    <cfRule type="expression" dxfId="879" priority="201">
      <formula>AND(IF(OR($Q36=1,$Q36=2),1,0),IF($X36&lt;=20,1,0))</formula>
    </cfRule>
    <cfRule type="expression" dxfId="878" priority="202">
      <formula>AND(IF($Q36=2,1,0),IF($X36&lt;30,1,0))</formula>
    </cfRule>
    <cfRule type="expression" dxfId="877" priority="203">
      <formula>AND(IF($Q36=3,1,0),IF($X36&lt;30,1,0))</formula>
    </cfRule>
    <cfRule type="expression" dxfId="876" priority="204">
      <formula>AND(IF($Q36=3,1,IF($Q36=4,1,0)),IF($F36&lt;=85,1,0))</formula>
    </cfRule>
  </conditionalFormatting>
  <conditionalFormatting sqref="X36">
    <cfRule type="expression" dxfId="875" priority="197">
      <formula>AND(IF(OR($Q36=1,$Q36=2),1,0),IF($X36&lt;=20,1,0))</formula>
    </cfRule>
    <cfRule type="expression" dxfId="874" priority="198">
      <formula>AND(IF($Q36=2,1,0),IF($X36&lt;30,1,0))</formula>
    </cfRule>
    <cfRule type="expression" dxfId="873" priority="199">
      <formula>AND(IF($Q36=3,1,0),IF($X36&lt;30,1,0))</formula>
    </cfRule>
    <cfRule type="expression" dxfId="872" priority="200">
      <formula>AND(IF($Q36=3,1,IF($Q36=4,1,0)),IF($F36&lt;=85,1,0))</formula>
    </cfRule>
  </conditionalFormatting>
  <conditionalFormatting sqref="AI36">
    <cfRule type="expression" dxfId="871" priority="193">
      <formula>AND(IF(OR($Q36=1,$Q36=2),1,0),IF($X36&lt;=20,1,0))</formula>
    </cfRule>
    <cfRule type="expression" dxfId="870" priority="194">
      <formula>AND(IF($Q36=2,1,0),IF($X36&lt;30,1,0))</formula>
    </cfRule>
    <cfRule type="expression" dxfId="869" priority="195">
      <formula>AND(IF($Q36=3,1,0),IF($X36&lt;30,1,0))</formula>
    </cfRule>
    <cfRule type="expression" dxfId="868" priority="196">
      <formula>AND(IF($Q36=3,1,IF($Q36=4,1,0)),IF($F36&lt;=85,1,0))</formula>
    </cfRule>
  </conditionalFormatting>
  <conditionalFormatting sqref="AV37">
    <cfRule type="expression" dxfId="867" priority="191">
      <formula>AV37="X"</formula>
    </cfRule>
    <cfRule type="expression" dxfId="866" priority="192">
      <formula>AV37="후보"</formula>
    </cfRule>
  </conditionalFormatting>
  <conditionalFormatting sqref="AC37 N37">
    <cfRule type="cellIs" dxfId="865" priority="188" operator="greaterThan">
      <formula>0.9</formula>
    </cfRule>
    <cfRule type="cellIs" dxfId="864" priority="189" operator="greaterThan">
      <formula>0.85</formula>
    </cfRule>
  </conditionalFormatting>
  <conditionalFormatting sqref="AV38">
    <cfRule type="expression" dxfId="863" priority="186">
      <formula>AV38="X"</formula>
    </cfRule>
    <cfRule type="expression" dxfId="862" priority="187">
      <formula>AV38="후보"</formula>
    </cfRule>
  </conditionalFormatting>
  <conditionalFormatting sqref="AC38">
    <cfRule type="cellIs" dxfId="861" priority="183" operator="greaterThan">
      <formula>0.9</formula>
    </cfRule>
    <cfRule type="cellIs" dxfId="860" priority="184" operator="greaterThan">
      <formula>0.85</formula>
    </cfRule>
  </conditionalFormatting>
  <conditionalFormatting sqref="N38">
    <cfRule type="cellIs" dxfId="859" priority="181" operator="greaterThan">
      <formula>0.9</formula>
    </cfRule>
    <cfRule type="cellIs" dxfId="858" priority="182" operator="greaterThan">
      <formula>0.85</formula>
    </cfRule>
  </conditionalFormatting>
  <conditionalFormatting sqref="E38">
    <cfRule type="expression" dxfId="857" priority="177">
      <formula>AND(IF(OR($Q38=1,$Q38=2),1,0),IF($X38&lt;=20,1,0))</formula>
    </cfRule>
    <cfRule type="expression" dxfId="856" priority="178">
      <formula>AND(IF($Q38=2,1,0),IF($X38&lt;30,1,0))</formula>
    </cfRule>
    <cfRule type="expression" dxfId="855" priority="179">
      <formula>AND(IF($Q38=3,1,0),IF($X38&lt;30,1,0))</formula>
    </cfRule>
    <cfRule type="expression" dxfId="854" priority="180">
      <formula>AND(IF($Q38=3,1,IF($Q38=4,1,0)),IF($F38&lt;=85,1,0))</formula>
    </cfRule>
  </conditionalFormatting>
  <conditionalFormatting sqref="X38">
    <cfRule type="expression" dxfId="853" priority="173">
      <formula>AND(IF(OR($Q38=1,$Q38=2),1,0),IF($X38&lt;=20,1,0))</formula>
    </cfRule>
    <cfRule type="expression" dxfId="852" priority="174">
      <formula>AND(IF($Q38=2,1,0),IF($X38&lt;30,1,0))</formula>
    </cfRule>
    <cfRule type="expression" dxfId="851" priority="175">
      <formula>AND(IF($Q38=3,1,0),IF($X38&lt;30,1,0))</formula>
    </cfRule>
    <cfRule type="expression" dxfId="850" priority="176">
      <formula>AND(IF($Q38=3,1,IF($Q38=4,1,0)),IF($F38&lt;=85,1,0))</formula>
    </cfRule>
  </conditionalFormatting>
  <conditionalFormatting sqref="AI38">
    <cfRule type="expression" dxfId="849" priority="169">
      <formula>AND(IF(OR($Q38=1,$Q38=2),1,0),IF($X38&lt;=20,1,0))</formula>
    </cfRule>
    <cfRule type="expression" dxfId="848" priority="170">
      <formula>AND(IF($Q38=2,1,0),IF($X38&lt;30,1,0))</formula>
    </cfRule>
    <cfRule type="expression" dxfId="847" priority="171">
      <formula>AND(IF($Q38=3,1,0),IF($X38&lt;30,1,0))</formula>
    </cfRule>
    <cfRule type="expression" dxfId="846" priority="172">
      <formula>AND(IF($Q38=3,1,IF($Q38=4,1,0)),IF($F38&lt;=85,1,0))</formula>
    </cfRule>
  </conditionalFormatting>
  <conditionalFormatting sqref="AV39">
    <cfRule type="expression" dxfId="845" priority="167">
      <formula>AV39="X"</formula>
    </cfRule>
    <cfRule type="expression" dxfId="844" priority="168">
      <formula>AV39="후보"</formula>
    </cfRule>
  </conditionalFormatting>
  <conditionalFormatting sqref="AC39 N39">
    <cfRule type="cellIs" dxfId="843" priority="164" operator="greaterThan">
      <formula>0.9</formula>
    </cfRule>
    <cfRule type="cellIs" dxfId="842" priority="165" operator="greaterThan">
      <formula>0.85</formula>
    </cfRule>
  </conditionalFormatting>
  <conditionalFormatting sqref="AV40">
    <cfRule type="expression" dxfId="841" priority="162">
      <formula>AV40="X"</formula>
    </cfRule>
    <cfRule type="expression" dxfId="840" priority="163">
      <formula>AV40="후보"</formula>
    </cfRule>
  </conditionalFormatting>
  <conditionalFormatting sqref="AC40">
    <cfRule type="cellIs" dxfId="839" priority="159" operator="greaterThan">
      <formula>0.9</formula>
    </cfRule>
    <cfRule type="cellIs" dxfId="838" priority="160" operator="greaterThan">
      <formula>0.85</formula>
    </cfRule>
  </conditionalFormatting>
  <conditionalFormatting sqref="N40">
    <cfRule type="cellIs" dxfId="837" priority="157" operator="greaterThan">
      <formula>0.9</formula>
    </cfRule>
    <cfRule type="cellIs" dxfId="836" priority="158" operator="greaterThan">
      <formula>0.85</formula>
    </cfRule>
  </conditionalFormatting>
  <conditionalFormatting sqref="E40">
    <cfRule type="expression" dxfId="835" priority="153">
      <formula>AND(IF(OR($Q40=1,$Q40=2),1,0),IF($X40&lt;=20,1,0))</formula>
    </cfRule>
    <cfRule type="expression" dxfId="834" priority="154">
      <formula>AND(IF($Q40=2,1,0),IF($X40&lt;30,1,0))</formula>
    </cfRule>
    <cfRule type="expression" dxfId="833" priority="155">
      <formula>AND(IF($Q40=3,1,0),IF($X40&lt;30,1,0))</formula>
    </cfRule>
    <cfRule type="expression" dxfId="832" priority="156">
      <formula>AND(IF($Q40=3,1,IF($Q40=4,1,0)),IF($F40&lt;=85,1,0))</formula>
    </cfRule>
  </conditionalFormatting>
  <conditionalFormatting sqref="X40">
    <cfRule type="expression" dxfId="831" priority="149">
      <formula>AND(IF(OR($Q40=1,$Q40=2),1,0),IF($X40&lt;=20,1,0))</formula>
    </cfRule>
    <cfRule type="expression" dxfId="830" priority="150">
      <formula>AND(IF($Q40=2,1,0),IF($X40&lt;30,1,0))</formula>
    </cfRule>
    <cfRule type="expression" dxfId="829" priority="151">
      <formula>AND(IF($Q40=3,1,0),IF($X40&lt;30,1,0))</formula>
    </cfRule>
    <cfRule type="expression" dxfId="828" priority="152">
      <formula>AND(IF($Q40=3,1,IF($Q40=4,1,0)),IF($F40&lt;=85,1,0))</formula>
    </cfRule>
  </conditionalFormatting>
  <conditionalFormatting sqref="AI40">
    <cfRule type="expression" dxfId="827" priority="145">
      <formula>AND(IF(OR($Q40=1,$Q40=2),1,0),IF($X40&lt;=20,1,0))</formula>
    </cfRule>
    <cfRule type="expression" dxfId="826" priority="146">
      <formula>AND(IF($Q40=2,1,0),IF($X40&lt;30,1,0))</formula>
    </cfRule>
    <cfRule type="expression" dxfId="825" priority="147">
      <formula>AND(IF($Q40=3,1,0),IF($X40&lt;30,1,0))</formula>
    </cfRule>
    <cfRule type="expression" dxfId="824" priority="148">
      <formula>AND(IF($Q40=3,1,IF($Q40=4,1,0)),IF($F40&lt;=85,1,0))</formula>
    </cfRule>
  </conditionalFormatting>
  <conditionalFormatting sqref="AV41">
    <cfRule type="expression" dxfId="823" priority="143">
      <formula>AV41="X"</formula>
    </cfRule>
    <cfRule type="expression" dxfId="822" priority="144">
      <formula>AV41="후보"</formula>
    </cfRule>
  </conditionalFormatting>
  <conditionalFormatting sqref="AC41 N41">
    <cfRule type="cellIs" dxfId="821" priority="140" operator="greaterThan">
      <formula>0.9</formula>
    </cfRule>
    <cfRule type="cellIs" dxfId="820" priority="141" operator="greaterThan">
      <formula>0.85</formula>
    </cfRule>
  </conditionalFormatting>
  <conditionalFormatting sqref="AV42">
    <cfRule type="expression" dxfId="819" priority="138">
      <formula>AV42="X"</formula>
    </cfRule>
    <cfRule type="expression" dxfId="818" priority="139">
      <formula>AV42="후보"</formula>
    </cfRule>
  </conditionalFormatting>
  <conditionalFormatting sqref="AC42">
    <cfRule type="cellIs" dxfId="817" priority="135" operator="greaterThan">
      <formula>0.9</formula>
    </cfRule>
    <cfRule type="cellIs" dxfId="816" priority="136" operator="greaterThan">
      <formula>0.85</formula>
    </cfRule>
  </conditionalFormatting>
  <conditionalFormatting sqref="N42">
    <cfRule type="cellIs" dxfId="815" priority="133" operator="greaterThan">
      <formula>0.9</formula>
    </cfRule>
    <cfRule type="cellIs" dxfId="814" priority="134" operator="greaterThan">
      <formula>0.85</formula>
    </cfRule>
  </conditionalFormatting>
  <conditionalFormatting sqref="E42">
    <cfRule type="expression" dxfId="813" priority="129">
      <formula>AND(IF(OR($Q42=1,$Q42=2),1,0),IF($X42&lt;=20,1,0))</formula>
    </cfRule>
    <cfRule type="expression" dxfId="812" priority="130">
      <formula>AND(IF($Q42=2,1,0),IF($X42&lt;30,1,0))</formula>
    </cfRule>
    <cfRule type="expression" dxfId="811" priority="131">
      <formula>AND(IF($Q42=3,1,0),IF($X42&lt;30,1,0))</formula>
    </cfRule>
    <cfRule type="expression" dxfId="810" priority="132">
      <formula>AND(IF($Q42=3,1,IF($Q42=4,1,0)),IF($F42&lt;=85,1,0))</formula>
    </cfRule>
  </conditionalFormatting>
  <conditionalFormatting sqref="X42">
    <cfRule type="expression" dxfId="809" priority="125">
      <formula>AND(IF(OR($Q42=1,$Q42=2),1,0),IF($X42&lt;=20,1,0))</formula>
    </cfRule>
    <cfRule type="expression" dxfId="808" priority="126">
      <formula>AND(IF($Q42=2,1,0),IF($X42&lt;30,1,0))</formula>
    </cfRule>
    <cfRule type="expression" dxfId="807" priority="127">
      <formula>AND(IF($Q42=3,1,0),IF($X42&lt;30,1,0))</formula>
    </cfRule>
    <cfRule type="expression" dxfId="806" priority="128">
      <formula>AND(IF($Q42=3,1,IF($Q42=4,1,0)),IF($F42&lt;=85,1,0))</formula>
    </cfRule>
  </conditionalFormatting>
  <conditionalFormatting sqref="AI42">
    <cfRule type="expression" dxfId="805" priority="121">
      <formula>AND(IF(OR($Q42=1,$Q42=2),1,0),IF($X42&lt;=20,1,0))</formula>
    </cfRule>
    <cfRule type="expression" dxfId="804" priority="122">
      <formula>AND(IF($Q42=2,1,0),IF($X42&lt;30,1,0))</formula>
    </cfRule>
    <cfRule type="expression" dxfId="803" priority="123">
      <formula>AND(IF($Q42=3,1,0),IF($X42&lt;30,1,0))</formula>
    </cfRule>
    <cfRule type="expression" dxfId="802" priority="124">
      <formula>AND(IF($Q42=3,1,IF($Q42=4,1,0)),IF($F42&lt;=85,1,0))</formula>
    </cfRule>
  </conditionalFormatting>
  <conditionalFormatting sqref="AV43">
    <cfRule type="expression" dxfId="801" priority="119">
      <formula>AV43="X"</formula>
    </cfRule>
    <cfRule type="expression" dxfId="800" priority="120">
      <formula>AV43="후보"</formula>
    </cfRule>
  </conditionalFormatting>
  <conditionalFormatting sqref="AC43 N43">
    <cfRule type="cellIs" dxfId="799" priority="116" operator="greaterThan">
      <formula>0.9</formula>
    </cfRule>
    <cfRule type="cellIs" dxfId="798" priority="117" operator="greaterThan">
      <formula>0.85</formula>
    </cfRule>
  </conditionalFormatting>
  <conditionalFormatting sqref="AV44">
    <cfRule type="expression" dxfId="797" priority="114">
      <formula>AV44="X"</formula>
    </cfRule>
    <cfRule type="expression" dxfId="796" priority="115">
      <formula>AV44="후보"</formula>
    </cfRule>
  </conditionalFormatting>
  <conditionalFormatting sqref="AC44">
    <cfRule type="cellIs" dxfId="795" priority="111" operator="greaterThan">
      <formula>0.9</formula>
    </cfRule>
    <cfRule type="cellIs" dxfId="794" priority="112" operator="greaterThan">
      <formula>0.85</formula>
    </cfRule>
  </conditionalFormatting>
  <conditionalFormatting sqref="N44">
    <cfRule type="cellIs" dxfId="793" priority="109" operator="greaterThan">
      <formula>0.9</formula>
    </cfRule>
    <cfRule type="cellIs" dxfId="792" priority="110" operator="greaterThan">
      <formula>0.85</formula>
    </cfRule>
  </conditionalFormatting>
  <conditionalFormatting sqref="E44">
    <cfRule type="expression" dxfId="791" priority="105">
      <formula>AND(IF(OR($Q44=1,$Q44=2),1,0),IF($X44&lt;=20,1,0))</formula>
    </cfRule>
    <cfRule type="expression" dxfId="790" priority="106">
      <formula>AND(IF($Q44=2,1,0),IF($X44&lt;30,1,0))</formula>
    </cfRule>
    <cfRule type="expression" dxfId="789" priority="107">
      <formula>AND(IF($Q44=3,1,0),IF($X44&lt;30,1,0))</formula>
    </cfRule>
    <cfRule type="expression" dxfId="788" priority="108">
      <formula>AND(IF($Q44=3,1,IF($Q44=4,1,0)),IF($F44&lt;=85,1,0))</formula>
    </cfRule>
  </conditionalFormatting>
  <conditionalFormatting sqref="X44">
    <cfRule type="expression" dxfId="787" priority="101">
      <formula>AND(IF(OR($Q44=1,$Q44=2),1,0),IF($X44&lt;=20,1,0))</formula>
    </cfRule>
    <cfRule type="expression" dxfId="786" priority="102">
      <formula>AND(IF($Q44=2,1,0),IF($X44&lt;30,1,0))</formula>
    </cfRule>
    <cfRule type="expression" dxfId="785" priority="103">
      <formula>AND(IF($Q44=3,1,0),IF($X44&lt;30,1,0))</formula>
    </cfRule>
    <cfRule type="expression" dxfId="784" priority="104">
      <formula>AND(IF($Q44=3,1,IF($Q44=4,1,0)),IF($F44&lt;=85,1,0))</formula>
    </cfRule>
  </conditionalFormatting>
  <conditionalFormatting sqref="AI44">
    <cfRule type="expression" dxfId="783" priority="97">
      <formula>AND(IF(OR($Q44=1,$Q44=2),1,0),IF($X44&lt;=20,1,0))</formula>
    </cfRule>
    <cfRule type="expression" dxfId="782" priority="98">
      <formula>AND(IF($Q44=2,1,0),IF($X44&lt;30,1,0))</formula>
    </cfRule>
    <cfRule type="expression" dxfId="781" priority="99">
      <formula>AND(IF($Q44=3,1,0),IF($X44&lt;30,1,0))</formula>
    </cfRule>
    <cfRule type="expression" dxfId="780" priority="100">
      <formula>AND(IF($Q44=3,1,IF($Q44=4,1,0)),IF($F44&lt;=85,1,0))</formula>
    </cfRule>
  </conditionalFormatting>
  <conditionalFormatting sqref="AV45">
    <cfRule type="expression" dxfId="779" priority="95">
      <formula>AV45="X"</formula>
    </cfRule>
    <cfRule type="expression" dxfId="778" priority="96">
      <formula>AV45="후보"</formula>
    </cfRule>
  </conditionalFormatting>
  <conditionalFormatting sqref="AC45 N45">
    <cfRule type="cellIs" dxfId="777" priority="92" operator="greaterThan">
      <formula>0.9</formula>
    </cfRule>
    <cfRule type="cellIs" dxfId="776" priority="93" operator="greaterThan">
      <formula>0.85</formula>
    </cfRule>
  </conditionalFormatting>
  <conditionalFormatting sqref="AV46">
    <cfRule type="expression" dxfId="775" priority="90">
      <formula>AV46="X"</formula>
    </cfRule>
    <cfRule type="expression" dxfId="774" priority="91">
      <formula>AV46="후보"</formula>
    </cfRule>
  </conditionalFormatting>
  <conditionalFormatting sqref="AC46">
    <cfRule type="cellIs" dxfId="773" priority="87" operator="greaterThan">
      <formula>0.9</formula>
    </cfRule>
    <cfRule type="cellIs" dxfId="772" priority="88" operator="greaterThan">
      <formula>0.85</formula>
    </cfRule>
  </conditionalFormatting>
  <conditionalFormatting sqref="N46">
    <cfRule type="cellIs" dxfId="771" priority="85" operator="greaterThan">
      <formula>0.9</formula>
    </cfRule>
    <cfRule type="cellIs" dxfId="770" priority="86" operator="greaterThan">
      <formula>0.85</formula>
    </cfRule>
  </conditionalFormatting>
  <conditionalFormatting sqref="E46">
    <cfRule type="expression" dxfId="769" priority="81">
      <formula>AND(IF(OR($Q46=1,$Q46=2),1,0),IF($X46&lt;=20,1,0))</formula>
    </cfRule>
    <cfRule type="expression" dxfId="768" priority="82">
      <formula>AND(IF($Q46=2,1,0),IF($X46&lt;30,1,0))</formula>
    </cfRule>
    <cfRule type="expression" dxfId="767" priority="83">
      <formula>AND(IF($Q46=3,1,0),IF($X46&lt;30,1,0))</formula>
    </cfRule>
    <cfRule type="expression" dxfId="766" priority="84">
      <formula>AND(IF($Q46=3,1,IF($Q46=4,1,0)),IF($F46&lt;=85,1,0))</formula>
    </cfRule>
  </conditionalFormatting>
  <conditionalFormatting sqref="X46">
    <cfRule type="expression" dxfId="765" priority="77">
      <formula>AND(IF(OR($Q46=1,$Q46=2),1,0),IF($X46&lt;=20,1,0))</formula>
    </cfRule>
    <cfRule type="expression" dxfId="764" priority="78">
      <formula>AND(IF($Q46=2,1,0),IF($X46&lt;30,1,0))</formula>
    </cfRule>
    <cfRule type="expression" dxfId="763" priority="79">
      <formula>AND(IF($Q46=3,1,0),IF($X46&lt;30,1,0))</formula>
    </cfRule>
    <cfRule type="expression" dxfId="762" priority="80">
      <formula>AND(IF($Q46=3,1,IF($Q46=4,1,0)),IF($F46&lt;=85,1,0))</formula>
    </cfRule>
  </conditionalFormatting>
  <conditionalFormatting sqref="AI46">
    <cfRule type="expression" dxfId="761" priority="73">
      <formula>AND(IF(OR($Q46=1,$Q46=2),1,0),IF($X46&lt;=20,1,0))</formula>
    </cfRule>
    <cfRule type="expression" dxfId="760" priority="74">
      <formula>AND(IF($Q46=2,1,0),IF($X46&lt;30,1,0))</formula>
    </cfRule>
    <cfRule type="expression" dxfId="759" priority="75">
      <formula>AND(IF($Q46=3,1,0),IF($X46&lt;30,1,0))</formula>
    </cfRule>
    <cfRule type="expression" dxfId="758" priority="76">
      <formula>AND(IF($Q46=3,1,IF($Q46=4,1,0)),IF($F46&lt;=85,1,0))</formula>
    </cfRule>
  </conditionalFormatting>
  <conditionalFormatting sqref="AV47">
    <cfRule type="expression" dxfId="757" priority="71">
      <formula>AV47="X"</formula>
    </cfRule>
    <cfRule type="expression" dxfId="756" priority="72">
      <formula>AV47="후보"</formula>
    </cfRule>
  </conditionalFormatting>
  <conditionalFormatting sqref="AC47 N47">
    <cfRule type="cellIs" dxfId="755" priority="68" operator="greaterThan">
      <formula>0.9</formula>
    </cfRule>
    <cfRule type="cellIs" dxfId="754" priority="69" operator="greaterThan">
      <formula>0.85</formula>
    </cfRule>
  </conditionalFormatting>
  <conditionalFormatting sqref="AV48">
    <cfRule type="expression" dxfId="753" priority="66">
      <formula>AV48="X"</formula>
    </cfRule>
    <cfRule type="expression" dxfId="752" priority="67">
      <formula>AV48="후보"</formula>
    </cfRule>
  </conditionalFormatting>
  <conditionalFormatting sqref="AC48">
    <cfRule type="cellIs" dxfId="751" priority="63" operator="greaterThan">
      <formula>0.9</formula>
    </cfRule>
    <cfRule type="cellIs" dxfId="750" priority="64" operator="greaterThan">
      <formula>0.85</formula>
    </cfRule>
  </conditionalFormatting>
  <conditionalFormatting sqref="N48">
    <cfRule type="cellIs" dxfId="749" priority="61" operator="greaterThan">
      <formula>0.9</formula>
    </cfRule>
    <cfRule type="cellIs" dxfId="748" priority="62" operator="greaterThan">
      <formula>0.85</formula>
    </cfRule>
  </conditionalFormatting>
  <conditionalFormatting sqref="E48">
    <cfRule type="expression" dxfId="747" priority="57">
      <formula>AND(IF(OR($Q48=1,$Q48=2),1,0),IF($X48&lt;=20,1,0))</formula>
    </cfRule>
    <cfRule type="expression" dxfId="746" priority="58">
      <formula>AND(IF($Q48=2,1,0),IF($X48&lt;30,1,0))</formula>
    </cfRule>
    <cfRule type="expression" dxfId="745" priority="59">
      <formula>AND(IF($Q48=3,1,0),IF($X48&lt;30,1,0))</formula>
    </cfRule>
    <cfRule type="expression" dxfId="744" priority="60">
      <formula>AND(IF($Q48=3,1,IF($Q48=4,1,0)),IF($F48&lt;=85,1,0))</formula>
    </cfRule>
  </conditionalFormatting>
  <conditionalFormatting sqref="X48">
    <cfRule type="expression" dxfId="743" priority="53">
      <formula>AND(IF(OR($Q48=1,$Q48=2),1,0),IF($X48&lt;=20,1,0))</formula>
    </cfRule>
    <cfRule type="expression" dxfId="742" priority="54">
      <formula>AND(IF($Q48=2,1,0),IF($X48&lt;30,1,0))</formula>
    </cfRule>
    <cfRule type="expression" dxfId="741" priority="55">
      <formula>AND(IF($Q48=3,1,0),IF($X48&lt;30,1,0))</formula>
    </cfRule>
    <cfRule type="expression" dxfId="740" priority="56">
      <formula>AND(IF($Q48=3,1,IF($Q48=4,1,0)),IF($F48&lt;=85,1,0))</formula>
    </cfRule>
  </conditionalFormatting>
  <conditionalFormatting sqref="AI48">
    <cfRule type="expression" dxfId="739" priority="49">
      <formula>AND(IF(OR($Q48=1,$Q48=2),1,0),IF($X48&lt;=20,1,0))</formula>
    </cfRule>
    <cfRule type="expression" dxfId="738" priority="50">
      <formula>AND(IF($Q48=2,1,0),IF($X48&lt;30,1,0))</formula>
    </cfRule>
    <cfRule type="expression" dxfId="737" priority="51">
      <formula>AND(IF($Q48=3,1,0),IF($X48&lt;30,1,0))</formula>
    </cfRule>
    <cfRule type="expression" dxfId="736" priority="52">
      <formula>AND(IF($Q48=3,1,IF($Q48=4,1,0)),IF($F48&lt;=85,1,0))</formula>
    </cfRule>
  </conditionalFormatting>
  <conditionalFormatting sqref="AV49">
    <cfRule type="expression" dxfId="735" priority="47">
      <formula>AV49="X"</formula>
    </cfRule>
    <cfRule type="expression" dxfId="734" priority="48">
      <formula>AV49="후보"</formula>
    </cfRule>
  </conditionalFormatting>
  <conditionalFormatting sqref="AC49 N49">
    <cfRule type="cellIs" dxfId="733" priority="44" operator="greaterThan">
      <formula>0.9</formula>
    </cfRule>
    <cfRule type="cellIs" dxfId="732" priority="45" operator="greaterThan">
      <formula>0.85</formula>
    </cfRule>
  </conditionalFormatting>
  <conditionalFormatting sqref="AV50">
    <cfRule type="expression" dxfId="731" priority="42">
      <formula>AV50="X"</formula>
    </cfRule>
    <cfRule type="expression" dxfId="730" priority="43">
      <formula>AV50="후보"</formula>
    </cfRule>
  </conditionalFormatting>
  <conditionalFormatting sqref="AC50">
    <cfRule type="cellIs" dxfId="729" priority="39" operator="greaterThan">
      <formula>0.9</formula>
    </cfRule>
    <cfRule type="cellIs" dxfId="728" priority="40" operator="greaterThan">
      <formula>0.85</formula>
    </cfRule>
  </conditionalFormatting>
  <conditionalFormatting sqref="N50">
    <cfRule type="cellIs" dxfId="727" priority="37" operator="greaterThan">
      <formula>0.9</formula>
    </cfRule>
    <cfRule type="cellIs" dxfId="726" priority="38" operator="greaterThan">
      <formula>0.85</formula>
    </cfRule>
  </conditionalFormatting>
  <conditionalFormatting sqref="E50">
    <cfRule type="expression" dxfId="725" priority="33">
      <formula>AND(IF(OR($Q50=1,$Q50=2),1,0),IF($X50&lt;=20,1,0))</formula>
    </cfRule>
    <cfRule type="expression" dxfId="724" priority="34">
      <formula>AND(IF($Q50=2,1,0),IF($X50&lt;30,1,0))</formula>
    </cfRule>
    <cfRule type="expression" dxfId="723" priority="35">
      <formula>AND(IF($Q50=3,1,0),IF($X50&lt;30,1,0))</formula>
    </cfRule>
    <cfRule type="expression" dxfId="722" priority="36">
      <formula>AND(IF($Q50=3,1,IF($Q50=4,1,0)),IF($F50&lt;=85,1,0))</formula>
    </cfRule>
  </conditionalFormatting>
  <conditionalFormatting sqref="X50">
    <cfRule type="expression" dxfId="721" priority="29">
      <formula>AND(IF(OR($Q50=1,$Q50=2),1,0),IF($X50&lt;=20,1,0))</formula>
    </cfRule>
    <cfRule type="expression" dxfId="720" priority="30">
      <formula>AND(IF($Q50=2,1,0),IF($X50&lt;30,1,0))</formula>
    </cfRule>
    <cfRule type="expression" dxfId="719" priority="31">
      <formula>AND(IF($Q50=3,1,0),IF($X50&lt;30,1,0))</formula>
    </cfRule>
    <cfRule type="expression" dxfId="718" priority="32">
      <formula>AND(IF($Q50=3,1,IF($Q50=4,1,0)),IF($F50&lt;=85,1,0))</formula>
    </cfRule>
  </conditionalFormatting>
  <conditionalFormatting sqref="AI50">
    <cfRule type="expression" dxfId="717" priority="25">
      <formula>AND(IF(OR($Q50=1,$Q50=2),1,0),IF($X50&lt;=20,1,0))</formula>
    </cfRule>
    <cfRule type="expression" dxfId="716" priority="26">
      <formula>AND(IF($Q50=2,1,0),IF($X50&lt;30,1,0))</formula>
    </cfRule>
    <cfRule type="expression" dxfId="715" priority="27">
      <formula>AND(IF($Q50=3,1,0),IF($X50&lt;30,1,0))</formula>
    </cfRule>
    <cfRule type="expression" dxfId="714" priority="28">
      <formula>AND(IF($Q50=3,1,IF($Q50=4,1,0)),IF($F50&lt;=85,1,0))</formula>
    </cfRule>
  </conditionalFormatting>
  <conditionalFormatting sqref="AV51">
    <cfRule type="expression" dxfId="713" priority="23">
      <formula>AV51="X"</formula>
    </cfRule>
    <cfRule type="expression" dxfId="712" priority="24">
      <formula>AV51="후보"</formula>
    </cfRule>
  </conditionalFormatting>
  <conditionalFormatting sqref="AC51 N51">
    <cfRule type="cellIs" dxfId="711" priority="20" operator="greaterThan">
      <formula>0.9</formula>
    </cfRule>
    <cfRule type="cellIs" dxfId="710" priority="21" operator="greaterThan">
      <formula>0.85</formula>
    </cfRule>
  </conditionalFormatting>
  <conditionalFormatting sqref="AV52">
    <cfRule type="expression" dxfId="709" priority="18">
      <formula>AV52="X"</formula>
    </cfRule>
    <cfRule type="expression" dxfId="708" priority="19">
      <formula>AV52="후보"</formula>
    </cfRule>
  </conditionalFormatting>
  <conditionalFormatting sqref="AC52">
    <cfRule type="cellIs" dxfId="707" priority="15" operator="greaterThan">
      <formula>0.9</formula>
    </cfRule>
    <cfRule type="cellIs" dxfId="706" priority="16" operator="greaterThan">
      <formula>0.85</formula>
    </cfRule>
  </conditionalFormatting>
  <conditionalFormatting sqref="N52">
    <cfRule type="cellIs" dxfId="705" priority="13" operator="greaterThan">
      <formula>0.9</formula>
    </cfRule>
    <cfRule type="cellIs" dxfId="704" priority="14" operator="greaterThan">
      <formula>0.85</formula>
    </cfRule>
  </conditionalFormatting>
  <conditionalFormatting sqref="E52">
    <cfRule type="expression" dxfId="703" priority="9">
      <formula>AND(IF(OR($Q52=1,$Q52=2),1,0),IF($X52&lt;=20,1,0))</formula>
    </cfRule>
    <cfRule type="expression" dxfId="702" priority="10">
      <formula>AND(IF($Q52=2,1,0),IF($X52&lt;30,1,0))</formula>
    </cfRule>
    <cfRule type="expression" dxfId="701" priority="11">
      <formula>AND(IF($Q52=3,1,0),IF($X52&lt;30,1,0))</formula>
    </cfRule>
    <cfRule type="expression" dxfId="700" priority="12">
      <formula>AND(IF($Q52=3,1,IF($Q52=4,1,0)),IF($F52&lt;=85,1,0))</formula>
    </cfRule>
  </conditionalFormatting>
  <conditionalFormatting sqref="X52">
    <cfRule type="expression" dxfId="699" priority="5">
      <formula>AND(IF(OR($Q52=1,$Q52=2),1,0),IF($X52&lt;=20,1,0))</formula>
    </cfRule>
    <cfRule type="expression" dxfId="698" priority="6">
      <formula>AND(IF($Q52=2,1,0),IF($X52&lt;30,1,0))</formula>
    </cfRule>
    <cfRule type="expression" dxfId="697" priority="7">
      <formula>AND(IF($Q52=3,1,0),IF($X52&lt;30,1,0))</formula>
    </cfRule>
    <cfRule type="expression" dxfId="696" priority="8">
      <formula>AND(IF($Q52=3,1,IF($Q52=4,1,0)),IF($F52&lt;=85,1,0))</formula>
    </cfRule>
  </conditionalFormatting>
  <conditionalFormatting sqref="AI52">
    <cfRule type="expression" dxfId="695" priority="1">
      <formula>AND(IF(OR($Q52=1,$Q52=2),1,0),IF($X52&lt;=20,1,0))</formula>
    </cfRule>
    <cfRule type="expression" dxfId="694" priority="2">
      <formula>AND(IF($Q52=2,1,0),IF($X52&lt;30,1,0))</formula>
    </cfRule>
    <cfRule type="expression" dxfId="693" priority="3">
      <formula>AND(IF($Q52=3,1,0),IF($X52&lt;30,1,0))</formula>
    </cfRule>
    <cfRule type="expression" dxfId="692" priority="4">
      <formula>AND(IF($Q52=3,1,IF($Q52=4,1,0)),IF($F52&lt;=85,1,0))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319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우산동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320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320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356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>IF(E4="","",E4)</f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우산동 한라비발디2차('14.09.,717^)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>IF(A5="","",A5)</f>
        <v/>
      </c>
      <c r="AI5" s="103" t="str">
        <f>IF(E5="","",E5)</f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192</v>
      </c>
      <c r="B6" s="10" t="s">
        <v>357</v>
      </c>
      <c r="C6" s="107">
        <v>717</v>
      </c>
      <c r="D6" s="104">
        <v>110.4</v>
      </c>
      <c r="E6" s="106">
        <v>33</v>
      </c>
      <c r="F6" s="104">
        <v>84.5</v>
      </c>
      <c r="G6" s="17">
        <v>26</v>
      </c>
      <c r="H6" s="107">
        <v>236</v>
      </c>
      <c r="I6" s="108">
        <v>30000</v>
      </c>
      <c r="J6" s="108" t="s">
        <v>335</v>
      </c>
      <c r="K6" s="108"/>
      <c r="L6" s="108"/>
      <c r="M6" s="109">
        <f>I6-K6</f>
        <v>30000</v>
      </c>
      <c r="N6" s="4">
        <f>IF(ISERROR(K6/I6),"",K6/I6)</f>
        <v>0</v>
      </c>
      <c r="O6" s="105">
        <f>I6/E6</f>
        <v>909.09090909090912</v>
      </c>
      <c r="P6" s="105">
        <f>K6/E6</f>
        <v>0</v>
      </c>
      <c r="Q6" s="75">
        <v>3</v>
      </c>
      <c r="R6" s="75">
        <v>2</v>
      </c>
      <c r="S6" s="75" t="s">
        <v>324</v>
      </c>
      <c r="T6" s="5">
        <v>126</v>
      </c>
      <c r="U6" s="9"/>
      <c r="W6" s="104">
        <f>D6</f>
        <v>110.4</v>
      </c>
      <c r="X6" s="106">
        <f>E6</f>
        <v>33</v>
      </c>
      <c r="Y6" s="102">
        <f>H6</f>
        <v>236</v>
      </c>
      <c r="Z6" s="109">
        <f>I6</f>
        <v>30000</v>
      </c>
      <c r="AA6" s="109">
        <f>K6</f>
        <v>0</v>
      </c>
      <c r="AB6" s="109">
        <f>M6</f>
        <v>30000</v>
      </c>
      <c r="AC6" s="4">
        <f>N6</f>
        <v>0</v>
      </c>
      <c r="AD6" s="105">
        <f>O6</f>
        <v>909.09090909090912</v>
      </c>
      <c r="AE6" s="75" t="str">
        <f>S6</f>
        <v>계</v>
      </c>
      <c r="AF6" s="75" t="str">
        <f>Q6&amp;"/"&amp;R6</f>
        <v>3/2</v>
      </c>
      <c r="AH6" s="20" t="str">
        <f>IF(A6="","",A6)</f>
        <v>한라비발디2차</v>
      </c>
      <c r="AI6" s="106">
        <f>IF(E6="","",E6)</f>
        <v>33</v>
      </c>
      <c r="AJ6" s="75" t="str">
        <f>IF(AI6="","",$AJ$2)</f>
        <v>A-</v>
      </c>
      <c r="AK6" s="75" t="s">
        <v>13</v>
      </c>
      <c r="AL6" s="75" t="s">
        <v>325</v>
      </c>
      <c r="AM6" s="75" t="s">
        <v>326</v>
      </c>
      <c r="AN6" s="75" t="str">
        <f>IF(AI6="","",$AN$2)</f>
        <v>C</v>
      </c>
      <c r="AO6" s="75" t="str">
        <f>IF(N6="","",IF(N6&gt;=$AO$1/100,"O","X"))</f>
        <v>X</v>
      </c>
      <c r="AP6" s="75" t="str">
        <f>IF(I6="","",IF(I6&lt;=$AP$1,"O","X"))</f>
        <v>O</v>
      </c>
      <c r="AQ6" s="75" t="str">
        <f>IF(O6="","",IF(O6&lt;=$AQ$1,"O","X"))</f>
        <v>O</v>
      </c>
      <c r="AR6" s="75" t="str">
        <f>IF(M6="","",IF(M6&lt;=$AR$1,"O","X"))</f>
        <v>X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X</v>
      </c>
    </row>
  </sheetData>
  <mergeCells count="1">
    <mergeCell ref="AJ1:AN1"/>
  </mergeCells>
  <phoneticPr fontId="2" type="noConversion"/>
  <conditionalFormatting sqref="AV4:AV6">
    <cfRule type="expression" dxfId="691" priority="20">
      <formula>AV4="X"</formula>
    </cfRule>
    <cfRule type="expression" dxfId="690" priority="21">
      <formula>AV4="후보"</formula>
    </cfRule>
  </conditionalFormatting>
  <conditionalFormatting sqref="AC1:AC2 AC4:AC6 N4:N5">
    <cfRule type="cellIs" dxfId="689" priority="17" operator="greaterThan">
      <formula>0.9</formula>
    </cfRule>
    <cfRule type="cellIs" dxfId="688" priority="18" operator="greaterThan">
      <formula>0.85</formula>
    </cfRule>
  </conditionalFormatting>
  <conditionalFormatting sqref="N1:N2">
    <cfRule type="cellIs" dxfId="687" priority="15" operator="greaterThan">
      <formula>0.9</formula>
    </cfRule>
    <cfRule type="cellIs" dxfId="686" priority="16" operator="greaterThan">
      <formula>0.85</formula>
    </cfRule>
  </conditionalFormatting>
  <conditionalFormatting sqref="N6">
    <cfRule type="cellIs" dxfId="685" priority="13" operator="greaterThan">
      <formula>0.9</formula>
    </cfRule>
    <cfRule type="cellIs" dxfId="684" priority="14" operator="greaterThan">
      <formula>0.85</formula>
    </cfRule>
  </conditionalFormatting>
  <conditionalFormatting sqref="E6">
    <cfRule type="expression" dxfId="683" priority="9">
      <formula>AND(IF(OR($Q6=1,$Q6=2),1,0),IF($X6&lt;=20,1,0))</formula>
    </cfRule>
    <cfRule type="expression" dxfId="682" priority="10">
      <formula>AND(IF($Q6=2,1,0),IF($X6&lt;30,1,0))</formula>
    </cfRule>
    <cfRule type="expression" dxfId="681" priority="11">
      <formula>AND(IF($Q6=3,1,0),IF($X6&lt;30,1,0))</formula>
    </cfRule>
    <cfRule type="expression" dxfId="680" priority="12">
      <formula>AND(IF($Q6=3,1,IF($Q6=4,1,0)),IF($F6&lt;=85,1,0))</formula>
    </cfRule>
  </conditionalFormatting>
  <conditionalFormatting sqref="X6">
    <cfRule type="expression" dxfId="679" priority="5">
      <formula>AND(IF(OR($Q6=1,$Q6=2),1,0),IF($X6&lt;=20,1,0))</formula>
    </cfRule>
    <cfRule type="expression" dxfId="678" priority="6">
      <formula>AND(IF($Q6=2,1,0),IF($X6&lt;30,1,0))</formula>
    </cfRule>
    <cfRule type="expression" dxfId="677" priority="7">
      <formula>AND(IF($Q6=3,1,0),IF($X6&lt;30,1,0))</formula>
    </cfRule>
    <cfRule type="expression" dxfId="676" priority="8">
      <formula>AND(IF($Q6=3,1,IF($Q6=4,1,0)),IF($F6&lt;=85,1,0))</formula>
    </cfRule>
  </conditionalFormatting>
  <conditionalFormatting sqref="AI6">
    <cfRule type="expression" dxfId="675" priority="1">
      <formula>AND(IF(OR($Q6=1,$Q6=2),1,0),IF($X6&lt;=20,1,0))</formula>
    </cfRule>
    <cfRule type="expression" dxfId="674" priority="2">
      <formula>AND(IF($Q6=2,1,0),IF($X6&lt;30,1,0))</formula>
    </cfRule>
    <cfRule type="expression" dxfId="673" priority="3">
      <formula>AND(IF($Q6=3,1,0),IF($X6&lt;30,1,0))</formula>
    </cfRule>
    <cfRule type="expression" dxfId="672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319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반곡동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320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320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358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반곡동 중흥에스-클래스프라디움('16.10.,850^)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22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199</v>
      </c>
      <c r="B6" s="10" t="s">
        <v>359</v>
      </c>
      <c r="C6" s="107">
        <v>850</v>
      </c>
      <c r="D6" s="104">
        <v>112.6</v>
      </c>
      <c r="E6" s="106">
        <v>34</v>
      </c>
      <c r="F6" s="104">
        <v>85</v>
      </c>
      <c r="G6" s="17">
        <v>26</v>
      </c>
      <c r="H6" s="107">
        <v>246</v>
      </c>
      <c r="I6" s="108">
        <v>47000</v>
      </c>
      <c r="J6" s="108" t="s">
        <v>101</v>
      </c>
      <c r="K6" s="108">
        <v>34000</v>
      </c>
      <c r="L6" s="108" t="s">
        <v>101</v>
      </c>
      <c r="M6" s="109">
        <f>I6-K6</f>
        <v>13000</v>
      </c>
      <c r="N6" s="4">
        <f>IF(ISERROR(K6/I6),"",K6/I6)</f>
        <v>0.72340425531914898</v>
      </c>
      <c r="O6" s="105">
        <f>I6/E6</f>
        <v>1382.3529411764705</v>
      </c>
      <c r="P6" s="105">
        <f>K6/E6</f>
        <v>1000</v>
      </c>
      <c r="Q6" s="75">
        <v>2</v>
      </c>
      <c r="R6" s="75">
        <v>1</v>
      </c>
      <c r="S6" s="75" t="s">
        <v>324</v>
      </c>
      <c r="T6" s="5">
        <v>57</v>
      </c>
      <c r="U6" s="9"/>
      <c r="W6" s="104">
        <f>D6</f>
        <v>112.6</v>
      </c>
      <c r="X6" s="106">
        <f>E6</f>
        <v>34</v>
      </c>
      <c r="Y6" s="102">
        <f>H6</f>
        <v>246</v>
      </c>
      <c r="Z6" s="109">
        <f>I6</f>
        <v>47000</v>
      </c>
      <c r="AA6" s="109">
        <f>K6</f>
        <v>34000</v>
      </c>
      <c r="AB6" s="109">
        <f>M6</f>
        <v>13000</v>
      </c>
      <c r="AC6" s="4">
        <f>N6</f>
        <v>0.72340425531914898</v>
      </c>
      <c r="AD6" s="105">
        <f>O6</f>
        <v>1382.3529411764705</v>
      </c>
      <c r="AE6" s="75" t="str">
        <f>S6</f>
        <v>계</v>
      </c>
      <c r="AF6" s="75" t="str">
        <f>Q6&amp;"/"&amp;R6</f>
        <v>2/1</v>
      </c>
      <c r="AH6" s="20" t="str">
        <f t="shared" si="1"/>
        <v>중흥에스-클래스프라디움</v>
      </c>
      <c r="AI6" s="106">
        <f t="shared" si="0"/>
        <v>34</v>
      </c>
      <c r="AJ6" s="75" t="str">
        <f>IF(AI6="","",$AJ$2)</f>
        <v>A-</v>
      </c>
      <c r="AK6" s="75" t="s">
        <v>13</v>
      </c>
      <c r="AL6" s="75" t="s">
        <v>325</v>
      </c>
      <c r="AM6" s="75" t="s">
        <v>326</v>
      </c>
      <c r="AN6" s="75" t="str">
        <f>IF(AI6="","",$AN$2)</f>
        <v>C</v>
      </c>
      <c r="AO6" s="75" t="str">
        <f>IF(N6="","",IF(N6&gt;=$AO$1/100,"O","X"))</f>
        <v>X</v>
      </c>
      <c r="AP6" s="75" t="str">
        <f>IF(I6="","",IF(I6&lt;=$AP$1,"O","X"))</f>
        <v>X</v>
      </c>
      <c r="AQ6" s="75" t="str">
        <f>IF(O6="","",IF(O6&lt;=$AQ$1,"O","X"))</f>
        <v>O</v>
      </c>
      <c r="AR6" s="75" t="str">
        <f>IF(M6="","",IF(M6&lt;=$AR$1,"O","X"))</f>
        <v>X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X</v>
      </c>
    </row>
    <row r="7" spans="1:48" x14ac:dyDescent="0.3">
      <c r="A7" s="9"/>
      <c r="B7" s="75"/>
      <c r="C7" s="6"/>
      <c r="D7" s="9"/>
      <c r="E7" s="14"/>
      <c r="F7" s="104"/>
      <c r="G7" s="9"/>
      <c r="H7" s="9"/>
      <c r="I7" s="9"/>
      <c r="J7" s="9"/>
      <c r="K7" s="9"/>
      <c r="L7" s="9"/>
      <c r="M7" s="9"/>
      <c r="N7" s="9"/>
      <c r="O7" s="105"/>
      <c r="P7" s="105"/>
      <c r="Q7" s="106"/>
      <c r="R7" s="106"/>
      <c r="S7" s="9"/>
      <c r="T7" s="48"/>
      <c r="U7" s="9"/>
      <c r="W7" s="70" t="str">
        <f>$A$4&amp;" "&amp;A8&amp;"("&amp;B8&amp;","&amp;C8&amp;"^)"</f>
        <v>반곡동 힐데스하임5단지('15.05.,682^)</v>
      </c>
      <c r="X7" s="71"/>
      <c r="Y7" s="71"/>
      <c r="Z7" s="71"/>
      <c r="AA7" s="71"/>
      <c r="AB7" s="71"/>
      <c r="AC7" s="71"/>
      <c r="AD7" s="71"/>
      <c r="AE7" s="71"/>
      <c r="AF7" s="72"/>
      <c r="AH7" s="20" t="str">
        <f t="shared" si="1"/>
        <v/>
      </c>
      <c r="AI7" s="103" t="str">
        <f t="shared" si="0"/>
        <v/>
      </c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</row>
    <row r="8" spans="1:48" x14ac:dyDescent="0.3">
      <c r="A8" s="9" t="s">
        <v>204</v>
      </c>
      <c r="B8" s="10" t="s">
        <v>360</v>
      </c>
      <c r="C8" s="107">
        <v>682</v>
      </c>
      <c r="D8" s="104">
        <v>114.8</v>
      </c>
      <c r="E8" s="106">
        <v>35</v>
      </c>
      <c r="F8" s="104">
        <v>85</v>
      </c>
      <c r="G8" s="17">
        <v>26</v>
      </c>
      <c r="H8" s="107">
        <v>216</v>
      </c>
      <c r="I8" s="108">
        <v>50000</v>
      </c>
      <c r="J8" s="108" t="s">
        <v>361</v>
      </c>
      <c r="K8" s="108">
        <v>38000</v>
      </c>
      <c r="L8" s="108" t="s">
        <v>337</v>
      </c>
      <c r="M8" s="109">
        <f>I8-K8</f>
        <v>12000</v>
      </c>
      <c r="N8" s="4">
        <f>IF(ISERROR(K8/I8),"",K8/I8)</f>
        <v>0.76</v>
      </c>
      <c r="O8" s="105">
        <f>I8/E8</f>
        <v>1428.5714285714287</v>
      </c>
      <c r="P8" s="105">
        <f>K8/E8</f>
        <v>1085.7142857142858</v>
      </c>
      <c r="Q8" s="75">
        <v>3</v>
      </c>
      <c r="R8" s="75">
        <v>1</v>
      </c>
      <c r="S8" s="75" t="s">
        <v>355</v>
      </c>
      <c r="T8" s="5">
        <v>95</v>
      </c>
      <c r="U8" s="9"/>
      <c r="W8" s="104">
        <f>D8</f>
        <v>114.8</v>
      </c>
      <c r="X8" s="106">
        <f>E8</f>
        <v>35</v>
      </c>
      <c r="Y8" s="102">
        <f>H8</f>
        <v>216</v>
      </c>
      <c r="Z8" s="109">
        <f>I8</f>
        <v>50000</v>
      </c>
      <c r="AA8" s="109">
        <f>K8</f>
        <v>38000</v>
      </c>
      <c r="AB8" s="109">
        <f>M8</f>
        <v>12000</v>
      </c>
      <c r="AC8" s="4">
        <f>N8</f>
        <v>0.76</v>
      </c>
      <c r="AD8" s="105">
        <f>O8</f>
        <v>1428.5714285714287</v>
      </c>
      <c r="AE8" s="75" t="str">
        <f>S8</f>
        <v>복</v>
      </c>
      <c r="AF8" s="75" t="str">
        <f>Q8&amp;"/"&amp;R8</f>
        <v>3/1</v>
      </c>
      <c r="AH8" s="20" t="str">
        <f t="shared" si="1"/>
        <v>힐데스하임5단지</v>
      </c>
      <c r="AI8" s="106">
        <f t="shared" si="0"/>
        <v>35</v>
      </c>
      <c r="AJ8" s="75" t="str">
        <f>IF(AI8="","",$AJ$2)</f>
        <v>A-</v>
      </c>
      <c r="AK8" s="75" t="s">
        <v>13</v>
      </c>
      <c r="AL8" s="75" t="s">
        <v>325</v>
      </c>
      <c r="AM8" s="75" t="s">
        <v>326</v>
      </c>
      <c r="AN8" s="75" t="str">
        <f>IF(AI8="","",$AN$2)</f>
        <v>C</v>
      </c>
      <c r="AO8" s="75" t="str">
        <f>IF(N8="","",IF(N8&gt;=$AO$1/100,"O","X"))</f>
        <v>X</v>
      </c>
      <c r="AP8" s="75" t="str">
        <f>IF(I8="","",IF(I8&lt;=$AP$1,"O","X"))</f>
        <v>X</v>
      </c>
      <c r="AQ8" s="75" t="str">
        <f>IF(O8="","",IF(O8&lt;=$AQ$1,"O","X"))</f>
        <v>O</v>
      </c>
      <c r="AR8" s="75" t="str">
        <f>IF(M8="","",IF(M8&lt;=$AR$1,"O","X"))</f>
        <v>X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>X</v>
      </c>
    </row>
    <row r="9" spans="1:48" x14ac:dyDescent="0.3">
      <c r="A9" s="9"/>
      <c r="B9" s="75"/>
      <c r="C9" s="6"/>
      <c r="D9" s="9"/>
      <c r="E9" s="14"/>
      <c r="F9" s="104"/>
      <c r="G9" s="9"/>
      <c r="H9" s="9"/>
      <c r="I9" s="9"/>
      <c r="J9" s="9"/>
      <c r="K9" s="9"/>
      <c r="L9" s="9"/>
      <c r="M9" s="9"/>
      <c r="N9" s="9"/>
      <c r="O9" s="105"/>
      <c r="P9" s="105"/>
      <c r="Q9" s="106"/>
      <c r="R9" s="106"/>
      <c r="S9" s="9"/>
      <c r="T9" s="48"/>
      <c r="U9" s="9"/>
      <c r="W9" s="70" t="str">
        <f>$A$4&amp;" "&amp;A10&amp;"("&amp;B10&amp;","&amp;C10&amp;"^)"</f>
        <v>반곡동 반곡모아엘가('17.07.,418^)</v>
      </c>
      <c r="X9" s="71"/>
      <c r="Y9" s="71"/>
      <c r="Z9" s="71"/>
      <c r="AA9" s="71"/>
      <c r="AB9" s="71"/>
      <c r="AC9" s="71"/>
      <c r="AD9" s="71"/>
      <c r="AE9" s="71"/>
      <c r="AF9" s="72"/>
      <c r="AH9" s="20" t="str">
        <f t="shared" si="1"/>
        <v/>
      </c>
      <c r="AI9" s="103" t="str">
        <f t="shared" si="0"/>
        <v/>
      </c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</row>
    <row r="10" spans="1:48" x14ac:dyDescent="0.3">
      <c r="A10" s="9" t="s">
        <v>209</v>
      </c>
      <c r="B10" s="10" t="s">
        <v>362</v>
      </c>
      <c r="C10" s="107">
        <v>418</v>
      </c>
      <c r="D10" s="104">
        <v>109.6</v>
      </c>
      <c r="E10" s="106">
        <v>33</v>
      </c>
      <c r="F10" s="104">
        <v>84.9</v>
      </c>
      <c r="G10" s="17">
        <v>26</v>
      </c>
      <c r="H10" s="107">
        <v>258</v>
      </c>
      <c r="I10" s="108">
        <v>40000</v>
      </c>
      <c r="J10" s="108" t="s">
        <v>94</v>
      </c>
      <c r="K10" s="108">
        <v>33000</v>
      </c>
      <c r="L10" s="108" t="s">
        <v>352</v>
      </c>
      <c r="M10" s="109">
        <f>I10-K10</f>
        <v>7000</v>
      </c>
      <c r="N10" s="4">
        <f>IF(ISERROR(K10/I10),"",K10/I10)</f>
        <v>0.82499999999999996</v>
      </c>
      <c r="O10" s="105">
        <f>I10/E10</f>
        <v>1212.121212121212</v>
      </c>
      <c r="P10" s="105">
        <f>K10/E10</f>
        <v>1000</v>
      </c>
      <c r="Q10" s="75">
        <v>3</v>
      </c>
      <c r="R10" s="75">
        <v>1</v>
      </c>
      <c r="S10" s="75" t="s">
        <v>324</v>
      </c>
      <c r="T10" s="5">
        <v>79</v>
      </c>
      <c r="U10" s="9"/>
      <c r="W10" s="104">
        <f>D10</f>
        <v>109.6</v>
      </c>
      <c r="X10" s="106">
        <f>E10</f>
        <v>33</v>
      </c>
      <c r="Y10" s="102">
        <f>H10</f>
        <v>258</v>
      </c>
      <c r="Z10" s="109">
        <f>I10</f>
        <v>40000</v>
      </c>
      <c r="AA10" s="109">
        <f>K10</f>
        <v>33000</v>
      </c>
      <c r="AB10" s="109">
        <f>M10</f>
        <v>7000</v>
      </c>
      <c r="AC10" s="4">
        <f>N10</f>
        <v>0.82499999999999996</v>
      </c>
      <c r="AD10" s="105">
        <f>O10</f>
        <v>1212.121212121212</v>
      </c>
      <c r="AE10" s="75" t="str">
        <f>S10</f>
        <v>계</v>
      </c>
      <c r="AF10" s="75" t="str">
        <f>Q10&amp;"/"&amp;R10</f>
        <v>3/1</v>
      </c>
      <c r="AH10" s="20" t="str">
        <f t="shared" si="1"/>
        <v>반곡모아엘가</v>
      </c>
      <c r="AI10" s="106">
        <f t="shared" si="0"/>
        <v>33</v>
      </c>
      <c r="AJ10" s="75" t="str">
        <f>IF(AI10="","",$AJ$2)</f>
        <v>A-</v>
      </c>
      <c r="AK10" s="75" t="s">
        <v>13</v>
      </c>
      <c r="AL10" s="75" t="s">
        <v>325</v>
      </c>
      <c r="AM10" s="75" t="s">
        <v>326</v>
      </c>
      <c r="AN10" s="75" t="str">
        <f>IF(AI10="","",$AN$2)</f>
        <v>C</v>
      </c>
      <c r="AO10" s="75" t="str">
        <f>IF(N10="","",IF(N10&gt;=$AO$1/100,"O","X"))</f>
        <v>O</v>
      </c>
      <c r="AP10" s="75" t="str">
        <f>IF(I10="","",IF(I10&lt;=$AP$1,"O","X"))</f>
        <v>O</v>
      </c>
      <c r="AQ10" s="75" t="str">
        <f>IF(O10="","",IF(O10&lt;=$AQ$1,"O","X"))</f>
        <v>O</v>
      </c>
      <c r="AR10" s="75" t="str">
        <f>IF(M10="","",IF(M10&lt;=$AR$1,"O","X"))</f>
        <v>X</v>
      </c>
      <c r="AS10" s="75" t="s">
        <v>2</v>
      </c>
      <c r="AT10" s="75" t="str">
        <f>IF(OR(F10="",AI10=""),"",IF(AND((F10&lt;=85),(AI10&gt;=15)),"O","X"))</f>
        <v>O</v>
      </c>
      <c r="AU10" s="75" t="str">
        <f>IF(C10="","",IF(C10&gt;=$AU$1,"O","X"))</f>
        <v>O</v>
      </c>
      <c r="AV10" s="75" t="str">
        <f>IF(AO10="","",IF(AND(AO10="O",AP10="O",AR10="O",AT10="O",AU10="O"),"후보","X"))</f>
        <v>X</v>
      </c>
    </row>
    <row r="11" spans="1:48" x14ac:dyDescent="0.3">
      <c r="A11" s="9"/>
      <c r="B11" s="75"/>
      <c r="C11" s="6"/>
      <c r="D11" s="9"/>
      <c r="E11" s="14"/>
      <c r="F11" s="104"/>
      <c r="G11" s="9"/>
      <c r="H11" s="9"/>
      <c r="I11" s="9"/>
      <c r="J11" s="9"/>
      <c r="K11" s="9"/>
      <c r="L11" s="9"/>
      <c r="M11" s="9"/>
      <c r="N11" s="9"/>
      <c r="O11" s="105"/>
      <c r="P11" s="105"/>
      <c r="Q11" s="106"/>
      <c r="R11" s="106"/>
      <c r="S11" s="9"/>
      <c r="T11" s="48"/>
      <c r="U11" s="9"/>
      <c r="W11" s="70" t="str">
        <f>$A$4&amp;" "&amp;A12&amp;"("&amp;B12&amp;","&amp;C12&amp;"^)"</f>
        <v>반곡동 푸른숨LH3단지('15.06.,728^)</v>
      </c>
      <c r="X11" s="71"/>
      <c r="Y11" s="71"/>
      <c r="Z11" s="71"/>
      <c r="AA11" s="71"/>
      <c r="AB11" s="71"/>
      <c r="AC11" s="71"/>
      <c r="AD11" s="71"/>
      <c r="AE11" s="71"/>
      <c r="AF11" s="72"/>
      <c r="AH11" s="20" t="str">
        <f t="shared" si="1"/>
        <v/>
      </c>
      <c r="AI11" s="103" t="str">
        <f t="shared" si="0"/>
        <v/>
      </c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</row>
    <row r="12" spans="1:48" x14ac:dyDescent="0.3">
      <c r="A12" s="9" t="s">
        <v>214</v>
      </c>
      <c r="B12" s="10" t="s">
        <v>363</v>
      </c>
      <c r="C12" s="107">
        <v>728</v>
      </c>
      <c r="D12" s="104">
        <v>109.6</v>
      </c>
      <c r="E12" s="106">
        <v>33</v>
      </c>
      <c r="F12" s="104">
        <v>84.9</v>
      </c>
      <c r="G12" s="17">
        <v>26</v>
      </c>
      <c r="H12" s="107">
        <v>191</v>
      </c>
      <c r="I12" s="108">
        <v>38000</v>
      </c>
      <c r="J12" s="108" t="s">
        <v>94</v>
      </c>
      <c r="K12" s="108">
        <v>30000</v>
      </c>
      <c r="L12" s="108" t="s">
        <v>101</v>
      </c>
      <c r="M12" s="109">
        <f>I12-K12</f>
        <v>8000</v>
      </c>
      <c r="N12" s="4">
        <f>IF(ISERROR(K12/I12),"",K12/I12)</f>
        <v>0.78947368421052633</v>
      </c>
      <c r="O12" s="105">
        <f>I12/E12</f>
        <v>1151.5151515151515</v>
      </c>
      <c r="P12" s="105">
        <f>K12/E12</f>
        <v>909.09090909090912</v>
      </c>
      <c r="Q12" s="75">
        <v>3</v>
      </c>
      <c r="R12" s="75">
        <v>2</v>
      </c>
      <c r="S12" s="75" t="s">
        <v>324</v>
      </c>
      <c r="T12" s="5" t="s">
        <v>216</v>
      </c>
      <c r="U12" s="9"/>
      <c r="W12" s="104">
        <f>D12</f>
        <v>109.6</v>
      </c>
      <c r="X12" s="106">
        <f>E12</f>
        <v>33</v>
      </c>
      <c r="Y12" s="102">
        <f>H12</f>
        <v>191</v>
      </c>
      <c r="Z12" s="109">
        <f>I12</f>
        <v>38000</v>
      </c>
      <c r="AA12" s="109">
        <f>K12</f>
        <v>30000</v>
      </c>
      <c r="AB12" s="109">
        <f>M12</f>
        <v>8000</v>
      </c>
      <c r="AC12" s="4">
        <f>N12</f>
        <v>0.78947368421052633</v>
      </c>
      <c r="AD12" s="105">
        <f>O12</f>
        <v>1151.5151515151515</v>
      </c>
      <c r="AE12" s="75" t="str">
        <f>S12</f>
        <v>계</v>
      </c>
      <c r="AF12" s="75" t="str">
        <f>Q12&amp;"/"&amp;R12</f>
        <v>3/2</v>
      </c>
      <c r="AH12" s="20" t="str">
        <f t="shared" si="1"/>
        <v>푸른숨LH3단지</v>
      </c>
      <c r="AI12" s="106">
        <f t="shared" si="0"/>
        <v>33</v>
      </c>
      <c r="AJ12" s="75" t="str">
        <f>IF(AI12="","",$AJ$2)</f>
        <v>A-</v>
      </c>
      <c r="AK12" s="75" t="s">
        <v>13</v>
      </c>
      <c r="AL12" s="75" t="s">
        <v>325</v>
      </c>
      <c r="AM12" s="75" t="s">
        <v>326</v>
      </c>
      <c r="AN12" s="75" t="str">
        <f>IF(AI12="","",$AN$2)</f>
        <v>C</v>
      </c>
      <c r="AO12" s="75" t="str">
        <f>IF(N12="","",IF(N12&gt;=$AO$1/100,"O","X"))</f>
        <v>X</v>
      </c>
      <c r="AP12" s="75" t="str">
        <f>IF(I12="","",IF(I12&lt;=$AP$1,"O","X"))</f>
        <v>O</v>
      </c>
      <c r="AQ12" s="75" t="str">
        <f>IF(O12="","",IF(O12&lt;=$AQ$1,"O","X"))</f>
        <v>O</v>
      </c>
      <c r="AR12" s="75" t="str">
        <f>IF(M12="","",IF(M12&lt;=$AR$1,"O","X"))</f>
        <v>X</v>
      </c>
      <c r="AS12" s="75" t="s">
        <v>2</v>
      </c>
      <c r="AT12" s="75" t="str">
        <f>IF(OR(F12="",AI12=""),"",IF(AND((F12&lt;=85),(AI12&gt;=15)),"O","X"))</f>
        <v>O</v>
      </c>
      <c r="AU12" s="75" t="str">
        <f>IF(C12="","",IF(C12&gt;=$AU$1,"O","X"))</f>
        <v>O</v>
      </c>
      <c r="AV12" s="75" t="str">
        <f>IF(AO12="","",IF(AND(AO12="O",AP12="O",AR12="O",AT12="O",AU12="O"),"후보","X"))</f>
        <v>X</v>
      </c>
    </row>
    <row r="13" spans="1:48" x14ac:dyDescent="0.3">
      <c r="A13" s="9"/>
      <c r="B13" s="75"/>
      <c r="C13" s="6"/>
      <c r="D13" s="9"/>
      <c r="E13" s="14"/>
      <c r="F13" s="104"/>
      <c r="G13" s="9"/>
      <c r="H13" s="9"/>
      <c r="I13" s="9"/>
      <c r="J13" s="9"/>
      <c r="K13" s="9"/>
      <c r="L13" s="9"/>
      <c r="M13" s="9"/>
      <c r="N13" s="9"/>
      <c r="O13" s="105"/>
      <c r="P13" s="105"/>
      <c r="Q13" s="106"/>
      <c r="R13" s="106"/>
      <c r="S13" s="9"/>
      <c r="T13" s="48"/>
      <c r="U13" s="9"/>
      <c r="W13" s="70" t="str">
        <f>$A$4&amp;" "&amp;A14&amp;"("&amp;B14&amp;","&amp;C14&amp;"^)"</f>
        <v>반곡동 e편한세상반곡('18.11.,508^)</v>
      </c>
      <c r="X13" s="71"/>
      <c r="Y13" s="71"/>
      <c r="Z13" s="71"/>
      <c r="AA13" s="71"/>
      <c r="AB13" s="71"/>
      <c r="AC13" s="71"/>
      <c r="AD13" s="71"/>
      <c r="AE13" s="71"/>
      <c r="AF13" s="72"/>
      <c r="AH13" s="20" t="str">
        <f t="shared" si="1"/>
        <v/>
      </c>
      <c r="AI13" s="103" t="str">
        <f t="shared" si="0"/>
        <v/>
      </c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</row>
    <row r="14" spans="1:48" x14ac:dyDescent="0.3">
      <c r="A14" s="9" t="s">
        <v>220</v>
      </c>
      <c r="B14" s="10" t="s">
        <v>364</v>
      </c>
      <c r="C14" s="107">
        <v>508</v>
      </c>
      <c r="D14" s="104">
        <v>111.3</v>
      </c>
      <c r="E14" s="106">
        <v>34</v>
      </c>
      <c r="F14" s="104">
        <v>85</v>
      </c>
      <c r="G14" s="17">
        <v>26</v>
      </c>
      <c r="H14" s="107">
        <v>84</v>
      </c>
      <c r="I14" s="108">
        <v>39500</v>
      </c>
      <c r="J14" s="108" t="s">
        <v>94</v>
      </c>
      <c r="K14" s="108">
        <v>30000</v>
      </c>
      <c r="L14" s="108" t="s">
        <v>94</v>
      </c>
      <c r="M14" s="109">
        <f>I14-K14</f>
        <v>9500</v>
      </c>
      <c r="N14" s="4">
        <f>IF(ISERROR(K14/I14),"",K14/I14)</f>
        <v>0.759493670886076</v>
      </c>
      <c r="O14" s="105">
        <f>I14/E14</f>
        <v>1161.7647058823529</v>
      </c>
      <c r="P14" s="105">
        <f>K14/E14</f>
        <v>882.35294117647061</v>
      </c>
      <c r="Q14" s="75">
        <v>1</v>
      </c>
      <c r="R14" s="75">
        <v>1</v>
      </c>
      <c r="S14" s="75" t="s">
        <v>324</v>
      </c>
      <c r="T14" s="5" t="s">
        <v>222</v>
      </c>
      <c r="U14" s="9"/>
      <c r="W14" s="104">
        <f>D14</f>
        <v>111.3</v>
      </c>
      <c r="X14" s="106">
        <f>E14</f>
        <v>34</v>
      </c>
      <c r="Y14" s="102">
        <f>H14</f>
        <v>84</v>
      </c>
      <c r="Z14" s="109">
        <f>I14</f>
        <v>39500</v>
      </c>
      <c r="AA14" s="109">
        <f>K14</f>
        <v>30000</v>
      </c>
      <c r="AB14" s="109">
        <f>M14</f>
        <v>9500</v>
      </c>
      <c r="AC14" s="4">
        <f>N14</f>
        <v>0.759493670886076</v>
      </c>
      <c r="AD14" s="105">
        <f>O14</f>
        <v>1161.7647058823529</v>
      </c>
      <c r="AE14" s="75" t="str">
        <f>S14</f>
        <v>계</v>
      </c>
      <c r="AF14" s="75" t="str">
        <f>Q14&amp;"/"&amp;R14</f>
        <v>1/1</v>
      </c>
      <c r="AH14" s="20" t="str">
        <f t="shared" si="1"/>
        <v>e편한세상반곡</v>
      </c>
      <c r="AI14" s="106">
        <f t="shared" si="0"/>
        <v>34</v>
      </c>
      <c r="AJ14" s="75" t="str">
        <f>IF(AI14="","",$AJ$2)</f>
        <v>A-</v>
      </c>
      <c r="AK14" s="75" t="s">
        <v>13</v>
      </c>
      <c r="AL14" s="75" t="s">
        <v>325</v>
      </c>
      <c r="AM14" s="75" t="s">
        <v>326</v>
      </c>
      <c r="AN14" s="75" t="str">
        <f>IF(AI14="","",$AN$2)</f>
        <v>C</v>
      </c>
      <c r="AO14" s="75" t="str">
        <f>IF(N14="","",IF(N14&gt;=$AO$1/100,"O","X"))</f>
        <v>X</v>
      </c>
      <c r="AP14" s="75" t="str">
        <f>IF(I14="","",IF(I14&lt;=$AP$1,"O","X"))</f>
        <v>O</v>
      </c>
      <c r="AQ14" s="75" t="str">
        <f>IF(O14="","",IF(O14&lt;=$AQ$1,"O","X"))</f>
        <v>O</v>
      </c>
      <c r="AR14" s="75" t="str">
        <f>IF(M14="","",IF(M14&lt;=$AR$1,"O","X"))</f>
        <v>X</v>
      </c>
      <c r="AS14" s="75" t="s">
        <v>2</v>
      </c>
      <c r="AT14" s="75" t="str">
        <f>IF(OR(F14="",AI14=""),"",IF(AND((F14&lt;=85),(AI14&gt;=15)),"O","X"))</f>
        <v>O</v>
      </c>
      <c r="AU14" s="75" t="str">
        <f>IF(C14="","",IF(C14&gt;=$AU$1,"O","X"))</f>
        <v>O</v>
      </c>
      <c r="AV14" s="75" t="str">
        <f>IF(AO14="","",IF(AND(AO14="O",AP14="O",AR14="O",AT14="O",AU14="O"),"후보","X"))</f>
        <v>X</v>
      </c>
    </row>
    <row r="15" spans="1:48" x14ac:dyDescent="0.3">
      <c r="A15" s="9"/>
      <c r="B15" s="75"/>
      <c r="C15" s="6"/>
      <c r="D15" s="9"/>
      <c r="E15" s="14"/>
      <c r="F15" s="104"/>
      <c r="G15" s="9"/>
      <c r="H15" s="9"/>
      <c r="I15" s="9"/>
      <c r="J15" s="9"/>
      <c r="K15" s="9"/>
      <c r="L15" s="9"/>
      <c r="M15" s="9"/>
      <c r="N15" s="9"/>
      <c r="O15" s="105"/>
      <c r="P15" s="105"/>
      <c r="Q15" s="106"/>
      <c r="R15" s="106"/>
      <c r="S15" s="9"/>
      <c r="T15" s="48"/>
      <c r="U15" s="9"/>
      <c r="W15" s="70" t="str">
        <f>$A$4&amp;" "&amp;A16&amp;"("&amp;B16&amp;","&amp;C16&amp;"^)"</f>
        <v>반곡동 LH센트럴파크('19.02.,855^)</v>
      </c>
      <c r="X15" s="71"/>
      <c r="Y15" s="71"/>
      <c r="Z15" s="71"/>
      <c r="AA15" s="71"/>
      <c r="AB15" s="71"/>
      <c r="AC15" s="71"/>
      <c r="AD15" s="71"/>
      <c r="AE15" s="71"/>
      <c r="AF15" s="72"/>
      <c r="AH15" s="20" t="str">
        <f t="shared" si="1"/>
        <v/>
      </c>
      <c r="AI15" s="103" t="str">
        <f t="shared" si="0"/>
        <v/>
      </c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</row>
    <row r="16" spans="1:48" x14ac:dyDescent="0.3">
      <c r="A16" s="9" t="s">
        <v>223</v>
      </c>
      <c r="B16" s="10" t="s">
        <v>365</v>
      </c>
      <c r="C16" s="107">
        <v>855</v>
      </c>
      <c r="D16" s="104">
        <v>110.9</v>
      </c>
      <c r="E16" s="106">
        <v>34</v>
      </c>
      <c r="F16" s="104">
        <v>85</v>
      </c>
      <c r="G16" s="17">
        <v>26</v>
      </c>
      <c r="H16" s="107">
        <v>601</v>
      </c>
      <c r="I16" s="108">
        <v>39000</v>
      </c>
      <c r="J16" s="108" t="s">
        <v>94</v>
      </c>
      <c r="K16" s="108">
        <v>29000</v>
      </c>
      <c r="L16" s="108" t="s">
        <v>101</v>
      </c>
      <c r="M16" s="109">
        <f>I16-K16</f>
        <v>10000</v>
      </c>
      <c r="N16" s="4">
        <f>IF(ISERROR(K16/I16),"",K16/I16)</f>
        <v>0.74358974358974361</v>
      </c>
      <c r="O16" s="105">
        <f>I16/E16</f>
        <v>1147.0588235294117</v>
      </c>
      <c r="P16" s="105">
        <f>K16/E16</f>
        <v>852.94117647058829</v>
      </c>
      <c r="Q16" s="75">
        <v>3</v>
      </c>
      <c r="R16" s="75">
        <v>1</v>
      </c>
      <c r="S16" s="75" t="s">
        <v>324</v>
      </c>
      <c r="T16" s="5">
        <v>80</v>
      </c>
      <c r="U16" s="9"/>
      <c r="W16" s="104">
        <f>D16</f>
        <v>110.9</v>
      </c>
      <c r="X16" s="106">
        <f>E16</f>
        <v>34</v>
      </c>
      <c r="Y16" s="102">
        <f>H16</f>
        <v>601</v>
      </c>
      <c r="Z16" s="109">
        <f>I16</f>
        <v>39000</v>
      </c>
      <c r="AA16" s="109">
        <f>K16</f>
        <v>29000</v>
      </c>
      <c r="AB16" s="109">
        <f>M16</f>
        <v>10000</v>
      </c>
      <c r="AC16" s="4">
        <f>N16</f>
        <v>0.74358974358974361</v>
      </c>
      <c r="AD16" s="105">
        <f>O16</f>
        <v>1147.0588235294117</v>
      </c>
      <c r="AE16" s="75" t="str">
        <f>S16</f>
        <v>계</v>
      </c>
      <c r="AF16" s="75" t="str">
        <f>Q16&amp;"/"&amp;R16</f>
        <v>3/1</v>
      </c>
      <c r="AH16" s="20" t="str">
        <f t="shared" si="1"/>
        <v>LH센트럴파크</v>
      </c>
      <c r="AI16" s="106">
        <f t="shared" si="0"/>
        <v>34</v>
      </c>
      <c r="AJ16" s="75" t="str">
        <f>IF(AI16="","",$AJ$2)</f>
        <v>A-</v>
      </c>
      <c r="AK16" s="75" t="s">
        <v>13</v>
      </c>
      <c r="AL16" s="75" t="s">
        <v>325</v>
      </c>
      <c r="AM16" s="75" t="s">
        <v>326</v>
      </c>
      <c r="AN16" s="75" t="str">
        <f>IF(AI16="","",$AN$2)</f>
        <v>C</v>
      </c>
      <c r="AO16" s="75" t="str">
        <f>IF(N16="","",IF(N16&gt;=$AO$1/100,"O","X"))</f>
        <v>X</v>
      </c>
      <c r="AP16" s="75" t="str">
        <f>IF(I16="","",IF(I16&lt;=$AP$1,"O","X"))</f>
        <v>O</v>
      </c>
      <c r="AQ16" s="75" t="str">
        <f>IF(O16="","",IF(O16&lt;=$AQ$1,"O","X"))</f>
        <v>O</v>
      </c>
      <c r="AR16" s="75" t="str">
        <f>IF(M16="","",IF(M16&lt;=$AR$1,"O","X"))</f>
        <v>X</v>
      </c>
      <c r="AS16" s="75" t="s">
        <v>2</v>
      </c>
      <c r="AT16" s="75" t="str">
        <f>IF(OR(F16="",AI16=""),"",IF(AND((F16&lt;=85),(AI16&gt;=15)),"O","X"))</f>
        <v>O</v>
      </c>
      <c r="AU16" s="75" t="str">
        <f>IF(C16="","",IF(C16&gt;=$AU$1,"O","X"))</f>
        <v>O</v>
      </c>
      <c r="AV16" s="75" t="str">
        <f>IF(AO16="","",IF(AND(AO16="O",AP16="O",AR16="O",AT16="O",AU16="O"),"후보","X"))</f>
        <v>X</v>
      </c>
    </row>
    <row r="17" spans="1:48" x14ac:dyDescent="0.3">
      <c r="A17" s="9"/>
      <c r="B17" s="75"/>
      <c r="C17" s="6"/>
      <c r="D17" s="9"/>
      <c r="E17" s="14"/>
      <c r="F17" s="104"/>
      <c r="G17" s="9"/>
      <c r="H17" s="9"/>
      <c r="I17" s="9"/>
      <c r="J17" s="9"/>
      <c r="K17" s="9"/>
      <c r="L17" s="9"/>
      <c r="M17" s="9"/>
      <c r="N17" s="9"/>
      <c r="O17" s="105"/>
      <c r="P17" s="105"/>
      <c r="Q17" s="106"/>
      <c r="R17" s="106"/>
      <c r="S17" s="9"/>
      <c r="T17" s="48"/>
      <c r="U17" s="9"/>
      <c r="W17" s="70" t="str">
        <f>$A$4&amp;" "&amp;A18&amp;"("&amp;B18&amp;","&amp;C18&amp;"^)"</f>
        <v>반곡동 푸른숨휴브레스('13.12.,1110^)</v>
      </c>
      <c r="X17" s="71"/>
      <c r="Y17" s="71"/>
      <c r="Z17" s="71"/>
      <c r="AA17" s="71"/>
      <c r="AB17" s="71"/>
      <c r="AC17" s="71"/>
      <c r="AD17" s="71"/>
      <c r="AE17" s="71"/>
      <c r="AF17" s="72"/>
      <c r="AH17" s="20" t="str">
        <f t="shared" si="1"/>
        <v/>
      </c>
      <c r="AI17" s="103" t="str">
        <f t="shared" si="0"/>
        <v/>
      </c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</row>
    <row r="18" spans="1:48" x14ac:dyDescent="0.3">
      <c r="A18" s="9" t="s">
        <v>228</v>
      </c>
      <c r="B18" s="10" t="s">
        <v>366</v>
      </c>
      <c r="C18" s="107">
        <v>1110</v>
      </c>
      <c r="D18" s="104">
        <v>109.1</v>
      </c>
      <c r="E18" s="106">
        <v>33</v>
      </c>
      <c r="F18" s="104">
        <v>84.9</v>
      </c>
      <c r="G18" s="17">
        <v>26</v>
      </c>
      <c r="H18" s="107">
        <v>770</v>
      </c>
      <c r="I18" s="108">
        <v>37000</v>
      </c>
      <c r="J18" s="108" t="s">
        <v>94</v>
      </c>
      <c r="K18" s="108">
        <v>29000</v>
      </c>
      <c r="L18" s="108" t="s">
        <v>349</v>
      </c>
      <c r="M18" s="109">
        <f>I18-K18</f>
        <v>8000</v>
      </c>
      <c r="N18" s="4">
        <f>IF(ISERROR(K18/I18),"",K18/I18)</f>
        <v>0.78378378378378377</v>
      </c>
      <c r="O18" s="105">
        <f>I18/E18</f>
        <v>1121.2121212121212</v>
      </c>
      <c r="P18" s="105">
        <f>K18/E18</f>
        <v>878.78787878787875</v>
      </c>
      <c r="Q18" s="75">
        <v>3</v>
      </c>
      <c r="R18" s="75">
        <v>1</v>
      </c>
      <c r="S18" s="75" t="s">
        <v>355</v>
      </c>
      <c r="T18" s="5">
        <v>79</v>
      </c>
      <c r="U18" s="9"/>
      <c r="W18" s="104">
        <f>D18</f>
        <v>109.1</v>
      </c>
      <c r="X18" s="106">
        <f>E18</f>
        <v>33</v>
      </c>
      <c r="Y18" s="102">
        <f>H18</f>
        <v>770</v>
      </c>
      <c r="Z18" s="109">
        <f>I18</f>
        <v>37000</v>
      </c>
      <c r="AA18" s="109">
        <f>K18</f>
        <v>29000</v>
      </c>
      <c r="AB18" s="109">
        <f>M18</f>
        <v>8000</v>
      </c>
      <c r="AC18" s="4">
        <f>N18</f>
        <v>0.78378378378378377</v>
      </c>
      <c r="AD18" s="105">
        <f>O18</f>
        <v>1121.2121212121212</v>
      </c>
      <c r="AE18" s="75" t="str">
        <f>S18</f>
        <v>복</v>
      </c>
      <c r="AF18" s="75" t="str">
        <f>Q18&amp;"/"&amp;R18</f>
        <v>3/1</v>
      </c>
      <c r="AH18" s="20" t="str">
        <f t="shared" si="1"/>
        <v>푸른숨휴브레스</v>
      </c>
      <c r="AI18" s="106">
        <f t="shared" si="0"/>
        <v>33</v>
      </c>
      <c r="AJ18" s="75" t="str">
        <f>IF(AI18="","",$AJ$2)</f>
        <v>A-</v>
      </c>
      <c r="AK18" s="75" t="s">
        <v>13</v>
      </c>
      <c r="AL18" s="75" t="s">
        <v>325</v>
      </c>
      <c r="AM18" s="75" t="s">
        <v>326</v>
      </c>
      <c r="AN18" s="75" t="str">
        <f>IF(AI18="","",$AN$2)</f>
        <v>C</v>
      </c>
      <c r="AO18" s="75" t="str">
        <f>IF(N18="","",IF(N18&gt;=$AO$1/100,"O","X"))</f>
        <v>X</v>
      </c>
      <c r="AP18" s="75" t="str">
        <f>IF(I18="","",IF(I18&lt;=$AP$1,"O","X"))</f>
        <v>O</v>
      </c>
      <c r="AQ18" s="75" t="str">
        <f>IF(O18="","",IF(O18&lt;=$AQ$1,"O","X"))</f>
        <v>O</v>
      </c>
      <c r="AR18" s="75" t="str">
        <f>IF(M18="","",IF(M18&lt;=$AR$1,"O","X"))</f>
        <v>X</v>
      </c>
      <c r="AS18" s="75" t="s">
        <v>2</v>
      </c>
      <c r="AT18" s="75" t="str">
        <f>IF(OR(F18="",AI18=""),"",IF(AND((F18&lt;=85),(AI18&gt;=15)),"O","X"))</f>
        <v>O</v>
      </c>
      <c r="AU18" s="75" t="str">
        <f>IF(C18="","",IF(C18&gt;=$AU$1,"O","X"))</f>
        <v>O</v>
      </c>
      <c r="AV18" s="75" t="str">
        <f>IF(AO18="","",IF(AND(AO18="O",AP18="O",AR18="O",AT18="O",AU18="O"),"후보","X"))</f>
        <v>X</v>
      </c>
    </row>
    <row r="19" spans="1:48" x14ac:dyDescent="0.3">
      <c r="A19" s="9"/>
      <c r="B19" s="75"/>
      <c r="C19" s="6"/>
      <c r="D19" s="9"/>
      <c r="E19" s="14"/>
      <c r="F19" s="104"/>
      <c r="G19" s="9"/>
      <c r="H19" s="9"/>
      <c r="I19" s="9"/>
      <c r="J19" s="9"/>
      <c r="K19" s="9"/>
      <c r="L19" s="9"/>
      <c r="M19" s="9"/>
      <c r="N19" s="9"/>
      <c r="O19" s="105"/>
      <c r="P19" s="105"/>
      <c r="Q19" s="106"/>
      <c r="R19" s="106"/>
      <c r="S19" s="9"/>
      <c r="T19" s="48"/>
      <c r="U19" s="9"/>
      <c r="W19" s="70" t="str">
        <f>$A$4&amp;" "&amp;A20&amp;"("&amp;B20&amp;","&amp;C20&amp;"^)"</f>
        <v>반곡동 반곡퍼스트힐('14.10.,424^)</v>
      </c>
      <c r="X19" s="71"/>
      <c r="Y19" s="71"/>
      <c r="Z19" s="71"/>
      <c r="AA19" s="71"/>
      <c r="AB19" s="71"/>
      <c r="AC19" s="71"/>
      <c r="AD19" s="71"/>
      <c r="AE19" s="71"/>
      <c r="AF19" s="72"/>
      <c r="AH19" s="20" t="str">
        <f t="shared" si="1"/>
        <v/>
      </c>
      <c r="AI19" s="103" t="str">
        <f t="shared" si="0"/>
        <v/>
      </c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</row>
    <row r="20" spans="1:48" x14ac:dyDescent="0.3">
      <c r="A20" s="9" t="s">
        <v>233</v>
      </c>
      <c r="B20" s="10" t="s">
        <v>367</v>
      </c>
      <c r="C20" s="107">
        <v>424</v>
      </c>
      <c r="D20" s="104">
        <v>109.7</v>
      </c>
      <c r="E20" s="106">
        <v>33</v>
      </c>
      <c r="F20" s="104">
        <v>85</v>
      </c>
      <c r="G20" s="17">
        <v>26</v>
      </c>
      <c r="H20" s="107">
        <v>251</v>
      </c>
      <c r="I20" s="108">
        <v>31500</v>
      </c>
      <c r="J20" s="108" t="s">
        <v>349</v>
      </c>
      <c r="K20" s="108">
        <v>23000</v>
      </c>
      <c r="L20" s="108" t="s">
        <v>352</v>
      </c>
      <c r="M20" s="109">
        <f>I20-K20</f>
        <v>8500</v>
      </c>
      <c r="N20" s="4">
        <f>IF(ISERROR(K20/I20),"",K20/I20)</f>
        <v>0.73015873015873012</v>
      </c>
      <c r="O20" s="105">
        <f>I20/E20</f>
        <v>954.5454545454545</v>
      </c>
      <c r="P20" s="105">
        <f>K20/E20</f>
        <v>696.969696969697</v>
      </c>
      <c r="Q20" s="75">
        <v>4</v>
      </c>
      <c r="R20" s="75">
        <v>2</v>
      </c>
      <c r="S20" s="75" t="s">
        <v>324</v>
      </c>
      <c r="T20" s="5" t="s">
        <v>235</v>
      </c>
      <c r="U20" s="9"/>
      <c r="W20" s="104">
        <f>D20</f>
        <v>109.7</v>
      </c>
      <c r="X20" s="106">
        <f>E20</f>
        <v>33</v>
      </c>
      <c r="Y20" s="102">
        <f>H20</f>
        <v>251</v>
      </c>
      <c r="Z20" s="109">
        <f>I20</f>
        <v>31500</v>
      </c>
      <c r="AA20" s="109">
        <f>K20</f>
        <v>23000</v>
      </c>
      <c r="AB20" s="109">
        <f>M20</f>
        <v>8500</v>
      </c>
      <c r="AC20" s="4">
        <f>N20</f>
        <v>0.73015873015873012</v>
      </c>
      <c r="AD20" s="105">
        <f>O20</f>
        <v>954.5454545454545</v>
      </c>
      <c r="AE20" s="75" t="str">
        <f>S20</f>
        <v>계</v>
      </c>
      <c r="AF20" s="75" t="str">
        <f>Q20&amp;"/"&amp;R20</f>
        <v>4/2</v>
      </c>
      <c r="AH20" s="20" t="str">
        <f t="shared" si="1"/>
        <v>반곡퍼스트힐</v>
      </c>
      <c r="AI20" s="106">
        <f t="shared" si="0"/>
        <v>33</v>
      </c>
      <c r="AJ20" s="75" t="str">
        <f>IF(AI20="","",$AJ$2)</f>
        <v>A-</v>
      </c>
      <c r="AK20" s="75" t="s">
        <v>13</v>
      </c>
      <c r="AL20" s="75" t="s">
        <v>325</v>
      </c>
      <c r="AM20" s="75" t="s">
        <v>326</v>
      </c>
      <c r="AN20" s="75" t="str">
        <f>IF(AI20="","",$AN$2)</f>
        <v>C</v>
      </c>
      <c r="AO20" s="75" t="str">
        <f>IF(N20="","",IF(N20&gt;=$AO$1/100,"O","X"))</f>
        <v>X</v>
      </c>
      <c r="AP20" s="75" t="str">
        <f>IF(I20="","",IF(I20&lt;=$AP$1,"O","X"))</f>
        <v>O</v>
      </c>
      <c r="AQ20" s="75" t="str">
        <f>IF(O20="","",IF(O20&lt;=$AQ$1,"O","X"))</f>
        <v>O</v>
      </c>
      <c r="AR20" s="75" t="str">
        <f>IF(M20="","",IF(M20&lt;=$AR$1,"O","X"))</f>
        <v>X</v>
      </c>
      <c r="AS20" s="75" t="s">
        <v>2</v>
      </c>
      <c r="AT20" s="75" t="str">
        <f>IF(OR(F20="",AI20=""),"",IF(AND((F20&lt;=85),(AI20&gt;=15)),"O","X"))</f>
        <v>O</v>
      </c>
      <c r="AU20" s="75" t="str">
        <f>IF(C20="","",IF(C20&gt;=$AU$1,"O","X"))</f>
        <v>O</v>
      </c>
      <c r="AV20" s="75" t="str">
        <f>IF(AO20="","",IF(AND(AO20="O",AP20="O",AR20="O",AT20="O",AU20="O"),"후보","X"))</f>
        <v>X</v>
      </c>
    </row>
    <row r="21" spans="1:48" x14ac:dyDescent="0.3">
      <c r="A21" s="9"/>
      <c r="B21" s="75"/>
      <c r="C21" s="6"/>
      <c r="D21" s="9"/>
      <c r="E21" s="14"/>
      <c r="F21" s="104"/>
      <c r="G21" s="9"/>
      <c r="H21" s="9"/>
      <c r="I21" s="9"/>
      <c r="J21" s="9"/>
      <c r="K21" s="9"/>
      <c r="L21" s="9"/>
      <c r="M21" s="9"/>
      <c r="N21" s="9"/>
      <c r="O21" s="105"/>
      <c r="P21" s="105"/>
      <c r="Q21" s="106"/>
      <c r="R21" s="106"/>
      <c r="S21" s="9"/>
      <c r="T21" s="48"/>
      <c r="U21" s="9"/>
      <c r="W21" s="70" t="str">
        <f>$A$4&amp;" "&amp;A22&amp;"("&amp;B22&amp;","&amp;C22&amp;"^)"</f>
        <v>반곡동 e편한세상반곡('18.11.,508^)</v>
      </c>
      <c r="X21" s="71"/>
      <c r="Y21" s="71"/>
      <c r="Z21" s="71"/>
      <c r="AA21" s="71"/>
      <c r="AB21" s="71"/>
      <c r="AC21" s="71"/>
      <c r="AD21" s="71"/>
      <c r="AE21" s="71"/>
      <c r="AF21" s="72"/>
      <c r="AH21" s="20" t="str">
        <f t="shared" si="1"/>
        <v/>
      </c>
      <c r="AI21" s="103" t="str">
        <f t="shared" si="0"/>
        <v/>
      </c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</row>
    <row r="22" spans="1:48" x14ac:dyDescent="0.3">
      <c r="A22" s="9" t="s">
        <v>220</v>
      </c>
      <c r="B22" s="10" t="s">
        <v>364</v>
      </c>
      <c r="C22" s="107">
        <v>508</v>
      </c>
      <c r="D22" s="104">
        <v>84.5</v>
      </c>
      <c r="E22" s="106">
        <v>26</v>
      </c>
      <c r="F22" s="104">
        <v>59.8</v>
      </c>
      <c r="G22" s="17">
        <v>18</v>
      </c>
      <c r="H22" s="107">
        <v>164</v>
      </c>
      <c r="I22" s="108">
        <v>28900</v>
      </c>
      <c r="J22" s="108" t="s">
        <v>327</v>
      </c>
      <c r="K22" s="108">
        <v>18000</v>
      </c>
      <c r="L22" s="108" t="s">
        <v>101</v>
      </c>
      <c r="M22" s="109">
        <f>I22-K22</f>
        <v>10900</v>
      </c>
      <c r="N22" s="4">
        <f>IF(ISERROR(K22/I22),"",K22/I22)</f>
        <v>0.62283737024221453</v>
      </c>
      <c r="O22" s="105">
        <f>I22/E22</f>
        <v>1111.5384615384614</v>
      </c>
      <c r="P22" s="105">
        <f>K22/E22</f>
        <v>692.30769230769226</v>
      </c>
      <c r="Q22" s="75">
        <v>3</v>
      </c>
      <c r="R22" s="75">
        <v>2</v>
      </c>
      <c r="S22" s="75" t="s">
        <v>324</v>
      </c>
      <c r="T22" s="5" t="s">
        <v>153</v>
      </c>
      <c r="U22" s="9"/>
      <c r="W22" s="104">
        <f>D22</f>
        <v>84.5</v>
      </c>
      <c r="X22" s="106">
        <f>E22</f>
        <v>26</v>
      </c>
      <c r="Y22" s="102">
        <f>H22</f>
        <v>164</v>
      </c>
      <c r="Z22" s="109">
        <f>I22</f>
        <v>28900</v>
      </c>
      <c r="AA22" s="109">
        <f>K22</f>
        <v>18000</v>
      </c>
      <c r="AB22" s="109">
        <f>M22</f>
        <v>10900</v>
      </c>
      <c r="AC22" s="4">
        <f>N22</f>
        <v>0.62283737024221453</v>
      </c>
      <c r="AD22" s="105">
        <f>O22</f>
        <v>1111.5384615384614</v>
      </c>
      <c r="AE22" s="75" t="str">
        <f>S22</f>
        <v>계</v>
      </c>
      <c r="AF22" s="75" t="str">
        <f>Q22&amp;"/"&amp;R22</f>
        <v>3/2</v>
      </c>
      <c r="AH22" s="20" t="str">
        <f t="shared" si="1"/>
        <v>e편한세상반곡</v>
      </c>
      <c r="AI22" s="106">
        <f t="shared" si="0"/>
        <v>26</v>
      </c>
      <c r="AJ22" s="75" t="str">
        <f>IF(AI22="","",$AJ$2)</f>
        <v>A-</v>
      </c>
      <c r="AK22" s="75" t="s">
        <v>13</v>
      </c>
      <c r="AL22" s="75" t="s">
        <v>325</v>
      </c>
      <c r="AM22" s="75" t="s">
        <v>326</v>
      </c>
      <c r="AN22" s="75" t="str">
        <f>IF(AI22="","",$AN$2)</f>
        <v>C</v>
      </c>
      <c r="AO22" s="75" t="str">
        <f>IF(N22="","",IF(N22&gt;=$AO$1/100,"O","X"))</f>
        <v>X</v>
      </c>
      <c r="AP22" s="75" t="str">
        <f>IF(I22="","",IF(I22&lt;=$AP$1,"O","X"))</f>
        <v>O</v>
      </c>
      <c r="AQ22" s="75" t="str">
        <f>IF(O22="","",IF(O22&lt;=$AQ$1,"O","X"))</f>
        <v>O</v>
      </c>
      <c r="AR22" s="75" t="str">
        <f>IF(M22="","",IF(M22&lt;=$AR$1,"O","X"))</f>
        <v>X</v>
      </c>
      <c r="AS22" s="75" t="s">
        <v>2</v>
      </c>
      <c r="AT22" s="75" t="str">
        <f>IF(OR(F22="",AI22=""),"",IF(AND((F22&lt;=85),(AI22&gt;=15)),"O","X"))</f>
        <v>O</v>
      </c>
      <c r="AU22" s="75" t="str">
        <f>IF(C22="","",IF(C22&gt;=$AU$1,"O","X"))</f>
        <v>O</v>
      </c>
      <c r="AV22" s="75" t="str">
        <f>IF(AO22="","",IF(AND(AO22="O",AP22="O",AR22="O",AT22="O",AU22="O"),"후보","X"))</f>
        <v>X</v>
      </c>
    </row>
  </sheetData>
  <mergeCells count="1">
    <mergeCell ref="AJ1:AN1"/>
  </mergeCells>
  <phoneticPr fontId="2" type="noConversion"/>
  <conditionalFormatting sqref="AV4:AV6">
    <cfRule type="expression" dxfId="671" priority="212">
      <formula>AV4="X"</formula>
    </cfRule>
    <cfRule type="expression" dxfId="670" priority="213">
      <formula>AV4="후보"</formula>
    </cfRule>
  </conditionalFormatting>
  <conditionalFormatting sqref="AC1:AC2 AC4:AC6 N4:N5">
    <cfRule type="cellIs" dxfId="669" priority="209" operator="greaterThan">
      <formula>0.9</formula>
    </cfRule>
    <cfRule type="cellIs" dxfId="668" priority="210" operator="greaterThan">
      <formula>0.85</formula>
    </cfRule>
  </conditionalFormatting>
  <conditionalFormatting sqref="N1:N2">
    <cfRule type="cellIs" dxfId="667" priority="207" operator="greaterThan">
      <formula>0.9</formula>
    </cfRule>
    <cfRule type="cellIs" dxfId="666" priority="208" operator="greaterThan">
      <formula>0.85</formula>
    </cfRule>
  </conditionalFormatting>
  <conditionalFormatting sqref="N6">
    <cfRule type="cellIs" dxfId="665" priority="205" operator="greaterThan">
      <formula>0.9</formula>
    </cfRule>
    <cfRule type="cellIs" dxfId="664" priority="206" operator="greaterThan">
      <formula>0.85</formula>
    </cfRule>
  </conditionalFormatting>
  <conditionalFormatting sqref="E6">
    <cfRule type="expression" dxfId="663" priority="201">
      <formula>AND(IF(OR($Q6=1,$Q6=2),1,0),IF($X6&lt;=20,1,0))</formula>
    </cfRule>
    <cfRule type="expression" dxfId="662" priority="202">
      <formula>AND(IF($Q6=2,1,0),IF($X6&lt;30,1,0))</formula>
    </cfRule>
    <cfRule type="expression" dxfId="661" priority="203">
      <formula>AND(IF($Q6=3,1,0),IF($X6&lt;30,1,0))</formula>
    </cfRule>
    <cfRule type="expression" dxfId="660" priority="204">
      <formula>AND(IF($Q6=3,1,IF($Q6=4,1,0)),IF($F6&lt;=85,1,0))</formula>
    </cfRule>
  </conditionalFormatting>
  <conditionalFormatting sqref="X6">
    <cfRule type="expression" dxfId="659" priority="197">
      <formula>AND(IF(OR($Q6=1,$Q6=2),1,0),IF($X6&lt;=20,1,0))</formula>
    </cfRule>
    <cfRule type="expression" dxfId="658" priority="198">
      <formula>AND(IF($Q6=2,1,0),IF($X6&lt;30,1,0))</formula>
    </cfRule>
    <cfRule type="expression" dxfId="657" priority="199">
      <formula>AND(IF($Q6=3,1,0),IF($X6&lt;30,1,0))</formula>
    </cfRule>
    <cfRule type="expression" dxfId="656" priority="200">
      <formula>AND(IF($Q6=3,1,IF($Q6=4,1,0)),IF($F6&lt;=85,1,0))</formula>
    </cfRule>
  </conditionalFormatting>
  <conditionalFormatting sqref="AI6">
    <cfRule type="expression" dxfId="655" priority="193">
      <formula>AND(IF(OR($Q6=1,$Q6=2),1,0),IF($X6&lt;=20,1,0))</formula>
    </cfRule>
    <cfRule type="expression" dxfId="654" priority="194">
      <formula>AND(IF($Q6=2,1,0),IF($X6&lt;30,1,0))</formula>
    </cfRule>
    <cfRule type="expression" dxfId="653" priority="195">
      <formula>AND(IF($Q6=3,1,0),IF($X6&lt;30,1,0))</formula>
    </cfRule>
    <cfRule type="expression" dxfId="652" priority="196">
      <formula>AND(IF($Q6=3,1,IF($Q6=4,1,0)),IF($F6&lt;=85,1,0))</formula>
    </cfRule>
  </conditionalFormatting>
  <conditionalFormatting sqref="AV7">
    <cfRule type="expression" dxfId="651" priority="191">
      <formula>AV7="X"</formula>
    </cfRule>
    <cfRule type="expression" dxfId="650" priority="192">
      <formula>AV7="후보"</formula>
    </cfRule>
  </conditionalFormatting>
  <conditionalFormatting sqref="AC7 N7">
    <cfRule type="cellIs" dxfId="649" priority="188" operator="greaterThan">
      <formula>0.9</formula>
    </cfRule>
    <cfRule type="cellIs" dxfId="648" priority="189" operator="greaterThan">
      <formula>0.85</formula>
    </cfRule>
  </conditionalFormatting>
  <conditionalFormatting sqref="AV8">
    <cfRule type="expression" dxfId="647" priority="186">
      <formula>AV8="X"</formula>
    </cfRule>
    <cfRule type="expression" dxfId="646" priority="187">
      <formula>AV8="후보"</formula>
    </cfRule>
  </conditionalFormatting>
  <conditionalFormatting sqref="AC8">
    <cfRule type="cellIs" dxfId="645" priority="183" operator="greaterThan">
      <formula>0.9</formula>
    </cfRule>
    <cfRule type="cellIs" dxfId="644" priority="184" operator="greaterThan">
      <formula>0.85</formula>
    </cfRule>
  </conditionalFormatting>
  <conditionalFormatting sqref="N8">
    <cfRule type="cellIs" dxfId="643" priority="181" operator="greaterThan">
      <formula>0.9</formula>
    </cfRule>
    <cfRule type="cellIs" dxfId="642" priority="182" operator="greaterThan">
      <formula>0.85</formula>
    </cfRule>
  </conditionalFormatting>
  <conditionalFormatting sqref="E8">
    <cfRule type="expression" dxfId="641" priority="177">
      <formula>AND(IF(OR($Q8=1,$Q8=2),1,0),IF($X8&lt;=20,1,0))</formula>
    </cfRule>
    <cfRule type="expression" dxfId="640" priority="178">
      <formula>AND(IF($Q8=2,1,0),IF($X8&lt;30,1,0))</formula>
    </cfRule>
    <cfRule type="expression" dxfId="639" priority="179">
      <formula>AND(IF($Q8=3,1,0),IF($X8&lt;30,1,0))</formula>
    </cfRule>
    <cfRule type="expression" dxfId="638" priority="180">
      <formula>AND(IF($Q8=3,1,IF($Q8=4,1,0)),IF($F8&lt;=85,1,0))</formula>
    </cfRule>
  </conditionalFormatting>
  <conditionalFormatting sqref="X8">
    <cfRule type="expression" dxfId="637" priority="173">
      <formula>AND(IF(OR($Q8=1,$Q8=2),1,0),IF($X8&lt;=20,1,0))</formula>
    </cfRule>
    <cfRule type="expression" dxfId="636" priority="174">
      <formula>AND(IF($Q8=2,1,0),IF($X8&lt;30,1,0))</formula>
    </cfRule>
    <cfRule type="expression" dxfId="635" priority="175">
      <formula>AND(IF($Q8=3,1,0),IF($X8&lt;30,1,0))</formula>
    </cfRule>
    <cfRule type="expression" dxfId="634" priority="176">
      <formula>AND(IF($Q8=3,1,IF($Q8=4,1,0)),IF($F8&lt;=85,1,0))</formula>
    </cfRule>
  </conditionalFormatting>
  <conditionalFormatting sqref="AI8">
    <cfRule type="expression" dxfId="633" priority="169">
      <formula>AND(IF(OR($Q8=1,$Q8=2),1,0),IF($X8&lt;=20,1,0))</formula>
    </cfRule>
    <cfRule type="expression" dxfId="632" priority="170">
      <formula>AND(IF($Q8=2,1,0),IF($X8&lt;30,1,0))</formula>
    </cfRule>
    <cfRule type="expression" dxfId="631" priority="171">
      <formula>AND(IF($Q8=3,1,0),IF($X8&lt;30,1,0))</formula>
    </cfRule>
    <cfRule type="expression" dxfId="630" priority="172">
      <formula>AND(IF($Q8=3,1,IF($Q8=4,1,0)),IF($F8&lt;=85,1,0))</formula>
    </cfRule>
  </conditionalFormatting>
  <conditionalFormatting sqref="AV9">
    <cfRule type="expression" dxfId="629" priority="167">
      <formula>AV9="X"</formula>
    </cfRule>
    <cfRule type="expression" dxfId="628" priority="168">
      <formula>AV9="후보"</formula>
    </cfRule>
  </conditionalFormatting>
  <conditionalFormatting sqref="AC9 N9">
    <cfRule type="cellIs" dxfId="627" priority="164" operator="greaterThan">
      <formula>0.9</formula>
    </cfRule>
    <cfRule type="cellIs" dxfId="626" priority="165" operator="greaterThan">
      <formula>0.85</formula>
    </cfRule>
  </conditionalFormatting>
  <conditionalFormatting sqref="AV10">
    <cfRule type="expression" dxfId="625" priority="162">
      <formula>AV10="X"</formula>
    </cfRule>
    <cfRule type="expression" dxfId="624" priority="163">
      <formula>AV10="후보"</formula>
    </cfRule>
  </conditionalFormatting>
  <conditionalFormatting sqref="AC10">
    <cfRule type="cellIs" dxfId="623" priority="159" operator="greaterThan">
      <formula>0.9</formula>
    </cfRule>
    <cfRule type="cellIs" dxfId="622" priority="160" operator="greaterThan">
      <formula>0.85</formula>
    </cfRule>
  </conditionalFormatting>
  <conditionalFormatting sqref="N10">
    <cfRule type="cellIs" dxfId="621" priority="157" operator="greaterThan">
      <formula>0.9</formula>
    </cfRule>
    <cfRule type="cellIs" dxfId="620" priority="158" operator="greaterThan">
      <formula>0.85</formula>
    </cfRule>
  </conditionalFormatting>
  <conditionalFormatting sqref="E10">
    <cfRule type="expression" dxfId="619" priority="153">
      <formula>AND(IF(OR($Q10=1,$Q10=2),1,0),IF($X10&lt;=20,1,0))</formula>
    </cfRule>
    <cfRule type="expression" dxfId="618" priority="154">
      <formula>AND(IF($Q10=2,1,0),IF($X10&lt;30,1,0))</formula>
    </cfRule>
    <cfRule type="expression" dxfId="617" priority="155">
      <formula>AND(IF($Q10=3,1,0),IF($X10&lt;30,1,0))</formula>
    </cfRule>
    <cfRule type="expression" dxfId="616" priority="156">
      <formula>AND(IF($Q10=3,1,IF($Q10=4,1,0)),IF($F10&lt;=85,1,0))</formula>
    </cfRule>
  </conditionalFormatting>
  <conditionalFormatting sqref="X10">
    <cfRule type="expression" dxfId="615" priority="149">
      <formula>AND(IF(OR($Q10=1,$Q10=2),1,0),IF($X10&lt;=20,1,0))</formula>
    </cfRule>
    <cfRule type="expression" dxfId="614" priority="150">
      <formula>AND(IF($Q10=2,1,0),IF($X10&lt;30,1,0))</formula>
    </cfRule>
    <cfRule type="expression" dxfId="613" priority="151">
      <formula>AND(IF($Q10=3,1,0),IF($X10&lt;30,1,0))</formula>
    </cfRule>
    <cfRule type="expression" dxfId="612" priority="152">
      <formula>AND(IF($Q10=3,1,IF($Q10=4,1,0)),IF($F10&lt;=85,1,0))</formula>
    </cfRule>
  </conditionalFormatting>
  <conditionalFormatting sqref="AI10">
    <cfRule type="expression" dxfId="611" priority="145">
      <formula>AND(IF(OR($Q10=1,$Q10=2),1,0),IF($X10&lt;=20,1,0))</formula>
    </cfRule>
    <cfRule type="expression" dxfId="610" priority="146">
      <formula>AND(IF($Q10=2,1,0),IF($X10&lt;30,1,0))</formula>
    </cfRule>
    <cfRule type="expression" dxfId="609" priority="147">
      <formula>AND(IF($Q10=3,1,0),IF($X10&lt;30,1,0))</formula>
    </cfRule>
    <cfRule type="expression" dxfId="608" priority="148">
      <formula>AND(IF($Q10=3,1,IF($Q10=4,1,0)),IF($F10&lt;=85,1,0))</formula>
    </cfRule>
  </conditionalFormatting>
  <conditionalFormatting sqref="AV11">
    <cfRule type="expression" dxfId="607" priority="143">
      <formula>AV11="X"</formula>
    </cfRule>
    <cfRule type="expression" dxfId="606" priority="144">
      <formula>AV11="후보"</formula>
    </cfRule>
  </conditionalFormatting>
  <conditionalFormatting sqref="AC11 N11">
    <cfRule type="cellIs" dxfId="605" priority="140" operator="greaterThan">
      <formula>0.9</formula>
    </cfRule>
    <cfRule type="cellIs" dxfId="604" priority="141" operator="greaterThan">
      <formula>0.85</formula>
    </cfRule>
  </conditionalFormatting>
  <conditionalFormatting sqref="AV12">
    <cfRule type="expression" dxfId="603" priority="138">
      <formula>AV12="X"</formula>
    </cfRule>
    <cfRule type="expression" dxfId="602" priority="139">
      <formula>AV12="후보"</formula>
    </cfRule>
  </conditionalFormatting>
  <conditionalFormatting sqref="AC12">
    <cfRule type="cellIs" dxfId="601" priority="135" operator="greaterThan">
      <formula>0.9</formula>
    </cfRule>
    <cfRule type="cellIs" dxfId="600" priority="136" operator="greaterThan">
      <formula>0.85</formula>
    </cfRule>
  </conditionalFormatting>
  <conditionalFormatting sqref="N12">
    <cfRule type="cellIs" dxfId="599" priority="133" operator="greaterThan">
      <formula>0.9</formula>
    </cfRule>
    <cfRule type="cellIs" dxfId="598" priority="134" operator="greaterThan">
      <formula>0.85</formula>
    </cfRule>
  </conditionalFormatting>
  <conditionalFormatting sqref="E12">
    <cfRule type="expression" dxfId="597" priority="129">
      <formula>AND(IF(OR($Q12=1,$Q12=2),1,0),IF($X12&lt;=20,1,0))</formula>
    </cfRule>
    <cfRule type="expression" dxfId="596" priority="130">
      <formula>AND(IF($Q12=2,1,0),IF($X12&lt;30,1,0))</formula>
    </cfRule>
    <cfRule type="expression" dxfId="595" priority="131">
      <formula>AND(IF($Q12=3,1,0),IF($X12&lt;30,1,0))</formula>
    </cfRule>
    <cfRule type="expression" dxfId="594" priority="132">
      <formula>AND(IF($Q12=3,1,IF($Q12=4,1,0)),IF($F12&lt;=85,1,0))</formula>
    </cfRule>
  </conditionalFormatting>
  <conditionalFormatting sqref="X12">
    <cfRule type="expression" dxfId="593" priority="125">
      <formula>AND(IF(OR($Q12=1,$Q12=2),1,0),IF($X12&lt;=20,1,0))</formula>
    </cfRule>
    <cfRule type="expression" dxfId="592" priority="126">
      <formula>AND(IF($Q12=2,1,0),IF($X12&lt;30,1,0))</formula>
    </cfRule>
    <cfRule type="expression" dxfId="591" priority="127">
      <formula>AND(IF($Q12=3,1,0),IF($X12&lt;30,1,0))</formula>
    </cfRule>
    <cfRule type="expression" dxfId="590" priority="128">
      <formula>AND(IF($Q12=3,1,IF($Q12=4,1,0)),IF($F12&lt;=85,1,0))</formula>
    </cfRule>
  </conditionalFormatting>
  <conditionalFormatting sqref="AI12">
    <cfRule type="expression" dxfId="589" priority="121">
      <formula>AND(IF(OR($Q12=1,$Q12=2),1,0),IF($X12&lt;=20,1,0))</formula>
    </cfRule>
    <cfRule type="expression" dxfId="588" priority="122">
      <formula>AND(IF($Q12=2,1,0),IF($X12&lt;30,1,0))</formula>
    </cfRule>
    <cfRule type="expression" dxfId="587" priority="123">
      <formula>AND(IF($Q12=3,1,0),IF($X12&lt;30,1,0))</formula>
    </cfRule>
    <cfRule type="expression" dxfId="586" priority="124">
      <formula>AND(IF($Q12=3,1,IF($Q12=4,1,0)),IF($F12&lt;=85,1,0))</formula>
    </cfRule>
  </conditionalFormatting>
  <conditionalFormatting sqref="AV13">
    <cfRule type="expression" dxfId="585" priority="119">
      <formula>AV13="X"</formula>
    </cfRule>
    <cfRule type="expression" dxfId="584" priority="120">
      <formula>AV13="후보"</formula>
    </cfRule>
  </conditionalFormatting>
  <conditionalFormatting sqref="AC13 N13">
    <cfRule type="cellIs" dxfId="583" priority="116" operator="greaterThan">
      <formula>0.9</formula>
    </cfRule>
    <cfRule type="cellIs" dxfId="582" priority="117" operator="greaterThan">
      <formula>0.85</formula>
    </cfRule>
  </conditionalFormatting>
  <conditionalFormatting sqref="AV14">
    <cfRule type="expression" dxfId="581" priority="114">
      <formula>AV14="X"</formula>
    </cfRule>
    <cfRule type="expression" dxfId="580" priority="115">
      <formula>AV14="후보"</formula>
    </cfRule>
  </conditionalFormatting>
  <conditionalFormatting sqref="AC14">
    <cfRule type="cellIs" dxfId="579" priority="111" operator="greaterThan">
      <formula>0.9</formula>
    </cfRule>
    <cfRule type="cellIs" dxfId="578" priority="112" operator="greaterThan">
      <formula>0.85</formula>
    </cfRule>
  </conditionalFormatting>
  <conditionalFormatting sqref="N14">
    <cfRule type="cellIs" dxfId="577" priority="109" operator="greaterThan">
      <formula>0.9</formula>
    </cfRule>
    <cfRule type="cellIs" dxfId="576" priority="110" operator="greaterThan">
      <formula>0.85</formula>
    </cfRule>
  </conditionalFormatting>
  <conditionalFormatting sqref="E14">
    <cfRule type="expression" dxfId="575" priority="105">
      <formula>AND(IF(OR($Q14=1,$Q14=2),1,0),IF($X14&lt;=20,1,0))</formula>
    </cfRule>
    <cfRule type="expression" dxfId="574" priority="106">
      <formula>AND(IF($Q14=2,1,0),IF($X14&lt;30,1,0))</formula>
    </cfRule>
    <cfRule type="expression" dxfId="573" priority="107">
      <formula>AND(IF($Q14=3,1,0),IF($X14&lt;30,1,0))</formula>
    </cfRule>
    <cfRule type="expression" dxfId="572" priority="108">
      <formula>AND(IF($Q14=3,1,IF($Q14=4,1,0)),IF($F14&lt;=85,1,0))</formula>
    </cfRule>
  </conditionalFormatting>
  <conditionalFormatting sqref="X14">
    <cfRule type="expression" dxfId="571" priority="101">
      <formula>AND(IF(OR($Q14=1,$Q14=2),1,0),IF($X14&lt;=20,1,0))</formula>
    </cfRule>
    <cfRule type="expression" dxfId="570" priority="102">
      <formula>AND(IF($Q14=2,1,0),IF($X14&lt;30,1,0))</formula>
    </cfRule>
    <cfRule type="expression" dxfId="569" priority="103">
      <formula>AND(IF($Q14=3,1,0),IF($X14&lt;30,1,0))</formula>
    </cfRule>
    <cfRule type="expression" dxfId="568" priority="104">
      <formula>AND(IF($Q14=3,1,IF($Q14=4,1,0)),IF($F14&lt;=85,1,0))</formula>
    </cfRule>
  </conditionalFormatting>
  <conditionalFormatting sqref="AI14">
    <cfRule type="expression" dxfId="567" priority="97">
      <formula>AND(IF(OR($Q14=1,$Q14=2),1,0),IF($X14&lt;=20,1,0))</formula>
    </cfRule>
    <cfRule type="expression" dxfId="566" priority="98">
      <formula>AND(IF($Q14=2,1,0),IF($X14&lt;30,1,0))</formula>
    </cfRule>
    <cfRule type="expression" dxfId="565" priority="99">
      <formula>AND(IF($Q14=3,1,0),IF($X14&lt;30,1,0))</formula>
    </cfRule>
    <cfRule type="expression" dxfId="564" priority="100">
      <formula>AND(IF($Q14=3,1,IF($Q14=4,1,0)),IF($F14&lt;=85,1,0))</formula>
    </cfRule>
  </conditionalFormatting>
  <conditionalFormatting sqref="AV15">
    <cfRule type="expression" dxfId="563" priority="95">
      <formula>AV15="X"</formula>
    </cfRule>
    <cfRule type="expression" dxfId="562" priority="96">
      <formula>AV15="후보"</formula>
    </cfRule>
  </conditionalFormatting>
  <conditionalFormatting sqref="AC15 N15">
    <cfRule type="cellIs" dxfId="561" priority="92" operator="greaterThan">
      <formula>0.9</formula>
    </cfRule>
    <cfRule type="cellIs" dxfId="560" priority="93" operator="greaterThan">
      <formula>0.85</formula>
    </cfRule>
  </conditionalFormatting>
  <conditionalFormatting sqref="AV16">
    <cfRule type="expression" dxfId="559" priority="90">
      <formula>AV16="X"</formula>
    </cfRule>
    <cfRule type="expression" dxfId="558" priority="91">
      <formula>AV16="후보"</formula>
    </cfRule>
  </conditionalFormatting>
  <conditionalFormatting sqref="AC16">
    <cfRule type="cellIs" dxfId="557" priority="87" operator="greaterThan">
      <formula>0.9</formula>
    </cfRule>
    <cfRule type="cellIs" dxfId="556" priority="88" operator="greaterThan">
      <formula>0.85</formula>
    </cfRule>
  </conditionalFormatting>
  <conditionalFormatting sqref="N16">
    <cfRule type="cellIs" dxfId="555" priority="85" operator="greaterThan">
      <formula>0.9</formula>
    </cfRule>
    <cfRule type="cellIs" dxfId="554" priority="86" operator="greaterThan">
      <formula>0.85</formula>
    </cfRule>
  </conditionalFormatting>
  <conditionalFormatting sqref="E16">
    <cfRule type="expression" dxfId="553" priority="81">
      <formula>AND(IF(OR($Q16=1,$Q16=2),1,0),IF($X16&lt;=20,1,0))</formula>
    </cfRule>
    <cfRule type="expression" dxfId="552" priority="82">
      <formula>AND(IF($Q16=2,1,0),IF($X16&lt;30,1,0))</formula>
    </cfRule>
    <cfRule type="expression" dxfId="551" priority="83">
      <formula>AND(IF($Q16=3,1,0),IF($X16&lt;30,1,0))</formula>
    </cfRule>
    <cfRule type="expression" dxfId="550" priority="84">
      <formula>AND(IF($Q16=3,1,IF($Q16=4,1,0)),IF($F16&lt;=85,1,0))</formula>
    </cfRule>
  </conditionalFormatting>
  <conditionalFormatting sqref="X16">
    <cfRule type="expression" dxfId="549" priority="77">
      <formula>AND(IF(OR($Q16=1,$Q16=2),1,0),IF($X16&lt;=20,1,0))</formula>
    </cfRule>
    <cfRule type="expression" dxfId="548" priority="78">
      <formula>AND(IF($Q16=2,1,0),IF($X16&lt;30,1,0))</formula>
    </cfRule>
    <cfRule type="expression" dxfId="547" priority="79">
      <formula>AND(IF($Q16=3,1,0),IF($X16&lt;30,1,0))</formula>
    </cfRule>
    <cfRule type="expression" dxfId="546" priority="80">
      <formula>AND(IF($Q16=3,1,IF($Q16=4,1,0)),IF($F16&lt;=85,1,0))</formula>
    </cfRule>
  </conditionalFormatting>
  <conditionalFormatting sqref="AI16">
    <cfRule type="expression" dxfId="545" priority="73">
      <formula>AND(IF(OR($Q16=1,$Q16=2),1,0),IF($X16&lt;=20,1,0))</formula>
    </cfRule>
    <cfRule type="expression" dxfId="544" priority="74">
      <formula>AND(IF($Q16=2,1,0),IF($X16&lt;30,1,0))</formula>
    </cfRule>
    <cfRule type="expression" dxfId="543" priority="75">
      <formula>AND(IF($Q16=3,1,0),IF($X16&lt;30,1,0))</formula>
    </cfRule>
    <cfRule type="expression" dxfId="542" priority="76">
      <formula>AND(IF($Q16=3,1,IF($Q16=4,1,0)),IF($F16&lt;=85,1,0))</formula>
    </cfRule>
  </conditionalFormatting>
  <conditionalFormatting sqref="AV17">
    <cfRule type="expression" dxfId="541" priority="71">
      <formula>AV17="X"</formula>
    </cfRule>
    <cfRule type="expression" dxfId="540" priority="72">
      <formula>AV17="후보"</formula>
    </cfRule>
  </conditionalFormatting>
  <conditionalFormatting sqref="AC17 N17">
    <cfRule type="cellIs" dxfId="539" priority="68" operator="greaterThan">
      <formula>0.9</formula>
    </cfRule>
    <cfRule type="cellIs" dxfId="538" priority="69" operator="greaterThan">
      <formula>0.85</formula>
    </cfRule>
  </conditionalFormatting>
  <conditionalFormatting sqref="AV18">
    <cfRule type="expression" dxfId="537" priority="66">
      <formula>AV18="X"</formula>
    </cfRule>
    <cfRule type="expression" dxfId="536" priority="67">
      <formula>AV18="후보"</formula>
    </cfRule>
  </conditionalFormatting>
  <conditionalFormatting sqref="AC18">
    <cfRule type="cellIs" dxfId="535" priority="63" operator="greaterThan">
      <formula>0.9</formula>
    </cfRule>
    <cfRule type="cellIs" dxfId="534" priority="64" operator="greaterThan">
      <formula>0.85</formula>
    </cfRule>
  </conditionalFormatting>
  <conditionalFormatting sqref="N18">
    <cfRule type="cellIs" dxfId="533" priority="61" operator="greaterThan">
      <formula>0.9</formula>
    </cfRule>
    <cfRule type="cellIs" dxfId="532" priority="62" operator="greaterThan">
      <formula>0.85</formula>
    </cfRule>
  </conditionalFormatting>
  <conditionalFormatting sqref="E18">
    <cfRule type="expression" dxfId="531" priority="57">
      <formula>AND(IF(OR($Q18=1,$Q18=2),1,0),IF($X18&lt;=20,1,0))</formula>
    </cfRule>
    <cfRule type="expression" dxfId="530" priority="58">
      <formula>AND(IF($Q18=2,1,0),IF($X18&lt;30,1,0))</formula>
    </cfRule>
    <cfRule type="expression" dxfId="529" priority="59">
      <formula>AND(IF($Q18=3,1,0),IF($X18&lt;30,1,0))</formula>
    </cfRule>
    <cfRule type="expression" dxfId="528" priority="60">
      <formula>AND(IF($Q18=3,1,IF($Q18=4,1,0)),IF($F18&lt;=85,1,0))</formula>
    </cfRule>
  </conditionalFormatting>
  <conditionalFormatting sqref="X18">
    <cfRule type="expression" dxfId="527" priority="53">
      <formula>AND(IF(OR($Q18=1,$Q18=2),1,0),IF($X18&lt;=20,1,0))</formula>
    </cfRule>
    <cfRule type="expression" dxfId="526" priority="54">
      <formula>AND(IF($Q18=2,1,0),IF($X18&lt;30,1,0))</formula>
    </cfRule>
    <cfRule type="expression" dxfId="525" priority="55">
      <formula>AND(IF($Q18=3,1,0),IF($X18&lt;30,1,0))</formula>
    </cfRule>
    <cfRule type="expression" dxfId="524" priority="56">
      <formula>AND(IF($Q18=3,1,IF($Q18=4,1,0)),IF($F18&lt;=85,1,0))</formula>
    </cfRule>
  </conditionalFormatting>
  <conditionalFormatting sqref="AI18">
    <cfRule type="expression" dxfId="523" priority="49">
      <formula>AND(IF(OR($Q18=1,$Q18=2),1,0),IF($X18&lt;=20,1,0))</formula>
    </cfRule>
    <cfRule type="expression" dxfId="522" priority="50">
      <formula>AND(IF($Q18=2,1,0),IF($X18&lt;30,1,0))</formula>
    </cfRule>
    <cfRule type="expression" dxfId="521" priority="51">
      <formula>AND(IF($Q18=3,1,0),IF($X18&lt;30,1,0))</formula>
    </cfRule>
    <cfRule type="expression" dxfId="520" priority="52">
      <formula>AND(IF($Q18=3,1,IF($Q18=4,1,0)),IF($F18&lt;=85,1,0))</formula>
    </cfRule>
  </conditionalFormatting>
  <conditionalFormatting sqref="AV19">
    <cfRule type="expression" dxfId="519" priority="47">
      <formula>AV19="X"</formula>
    </cfRule>
    <cfRule type="expression" dxfId="518" priority="48">
      <formula>AV19="후보"</formula>
    </cfRule>
  </conditionalFormatting>
  <conditionalFormatting sqref="AC19 N19">
    <cfRule type="cellIs" dxfId="517" priority="44" operator="greaterThan">
      <formula>0.9</formula>
    </cfRule>
    <cfRule type="cellIs" dxfId="516" priority="45" operator="greaterThan">
      <formula>0.85</formula>
    </cfRule>
  </conditionalFormatting>
  <conditionalFormatting sqref="AV20">
    <cfRule type="expression" dxfId="515" priority="42">
      <formula>AV20="X"</formula>
    </cfRule>
    <cfRule type="expression" dxfId="514" priority="43">
      <formula>AV20="후보"</formula>
    </cfRule>
  </conditionalFormatting>
  <conditionalFormatting sqref="AC20">
    <cfRule type="cellIs" dxfId="513" priority="39" operator="greaterThan">
      <formula>0.9</formula>
    </cfRule>
    <cfRule type="cellIs" dxfId="512" priority="40" operator="greaterThan">
      <formula>0.85</formula>
    </cfRule>
  </conditionalFormatting>
  <conditionalFormatting sqref="N20">
    <cfRule type="cellIs" dxfId="511" priority="37" operator="greaterThan">
      <formula>0.9</formula>
    </cfRule>
    <cfRule type="cellIs" dxfId="510" priority="38" operator="greaterThan">
      <formula>0.85</formula>
    </cfRule>
  </conditionalFormatting>
  <conditionalFormatting sqref="E20">
    <cfRule type="expression" dxfId="509" priority="33">
      <formula>AND(IF(OR($Q20=1,$Q20=2),1,0),IF($X20&lt;=20,1,0))</formula>
    </cfRule>
    <cfRule type="expression" dxfId="508" priority="34">
      <formula>AND(IF($Q20=2,1,0),IF($X20&lt;30,1,0))</formula>
    </cfRule>
    <cfRule type="expression" dxfId="507" priority="35">
      <formula>AND(IF($Q20=3,1,0),IF($X20&lt;30,1,0))</formula>
    </cfRule>
    <cfRule type="expression" dxfId="506" priority="36">
      <formula>AND(IF($Q20=3,1,IF($Q20=4,1,0)),IF($F20&lt;=85,1,0))</formula>
    </cfRule>
  </conditionalFormatting>
  <conditionalFormatting sqref="X20">
    <cfRule type="expression" dxfId="505" priority="29">
      <formula>AND(IF(OR($Q20=1,$Q20=2),1,0),IF($X20&lt;=20,1,0))</formula>
    </cfRule>
    <cfRule type="expression" dxfId="504" priority="30">
      <formula>AND(IF($Q20=2,1,0),IF($X20&lt;30,1,0))</formula>
    </cfRule>
    <cfRule type="expression" dxfId="503" priority="31">
      <formula>AND(IF($Q20=3,1,0),IF($X20&lt;30,1,0))</formula>
    </cfRule>
    <cfRule type="expression" dxfId="502" priority="32">
      <formula>AND(IF($Q20=3,1,IF($Q20=4,1,0)),IF($F20&lt;=85,1,0))</formula>
    </cfRule>
  </conditionalFormatting>
  <conditionalFormatting sqref="AI20">
    <cfRule type="expression" dxfId="501" priority="25">
      <formula>AND(IF(OR($Q20=1,$Q20=2),1,0),IF($X20&lt;=20,1,0))</formula>
    </cfRule>
    <cfRule type="expression" dxfId="500" priority="26">
      <formula>AND(IF($Q20=2,1,0),IF($X20&lt;30,1,0))</formula>
    </cfRule>
    <cfRule type="expression" dxfId="499" priority="27">
      <formula>AND(IF($Q20=3,1,0),IF($X20&lt;30,1,0))</formula>
    </cfRule>
    <cfRule type="expression" dxfId="498" priority="28">
      <formula>AND(IF($Q20=3,1,IF($Q20=4,1,0)),IF($F20&lt;=85,1,0))</formula>
    </cfRule>
  </conditionalFormatting>
  <conditionalFormatting sqref="AV21">
    <cfRule type="expression" dxfId="497" priority="23">
      <formula>AV21="X"</formula>
    </cfRule>
    <cfRule type="expression" dxfId="496" priority="24">
      <formula>AV21="후보"</formula>
    </cfRule>
  </conditionalFormatting>
  <conditionalFormatting sqref="AC21 N21">
    <cfRule type="cellIs" dxfId="495" priority="20" operator="greaterThan">
      <formula>0.9</formula>
    </cfRule>
    <cfRule type="cellIs" dxfId="494" priority="21" operator="greaterThan">
      <formula>0.85</formula>
    </cfRule>
  </conditionalFormatting>
  <conditionalFormatting sqref="AV22">
    <cfRule type="expression" dxfId="493" priority="18">
      <formula>AV22="X"</formula>
    </cfRule>
    <cfRule type="expression" dxfId="492" priority="19">
      <formula>AV22="후보"</formula>
    </cfRule>
  </conditionalFormatting>
  <conditionalFormatting sqref="AC22">
    <cfRule type="cellIs" dxfId="491" priority="15" operator="greaterThan">
      <formula>0.9</formula>
    </cfRule>
    <cfRule type="cellIs" dxfId="490" priority="16" operator="greaterThan">
      <formula>0.85</formula>
    </cfRule>
  </conditionalFormatting>
  <conditionalFormatting sqref="N22">
    <cfRule type="cellIs" dxfId="489" priority="13" operator="greaterThan">
      <formula>0.9</formula>
    </cfRule>
    <cfRule type="cellIs" dxfId="488" priority="14" operator="greaterThan">
      <formula>0.85</formula>
    </cfRule>
  </conditionalFormatting>
  <conditionalFormatting sqref="E22">
    <cfRule type="expression" dxfId="487" priority="9">
      <formula>AND(IF(OR($Q22=1,$Q22=2),1,0),IF($X22&lt;=20,1,0))</formula>
    </cfRule>
    <cfRule type="expression" dxfId="486" priority="10">
      <formula>AND(IF($Q22=2,1,0),IF($X22&lt;30,1,0))</formula>
    </cfRule>
    <cfRule type="expression" dxfId="485" priority="11">
      <formula>AND(IF($Q22=3,1,0),IF($X22&lt;30,1,0))</formula>
    </cfRule>
    <cfRule type="expression" dxfId="484" priority="12">
      <formula>AND(IF($Q22=3,1,IF($Q22=4,1,0)),IF($F22&lt;=85,1,0))</formula>
    </cfRule>
  </conditionalFormatting>
  <conditionalFormatting sqref="X22">
    <cfRule type="expression" dxfId="483" priority="5">
      <formula>AND(IF(OR($Q22=1,$Q22=2),1,0),IF($X22&lt;=20,1,0))</formula>
    </cfRule>
    <cfRule type="expression" dxfId="482" priority="6">
      <formula>AND(IF($Q22=2,1,0),IF($X22&lt;30,1,0))</formula>
    </cfRule>
    <cfRule type="expression" dxfId="481" priority="7">
      <formula>AND(IF($Q22=3,1,0),IF($X22&lt;30,1,0))</formula>
    </cfRule>
    <cfRule type="expression" dxfId="480" priority="8">
      <formula>AND(IF($Q22=3,1,IF($Q22=4,1,0)),IF($F22&lt;=85,1,0))</formula>
    </cfRule>
  </conditionalFormatting>
  <conditionalFormatting sqref="AI22">
    <cfRule type="expression" dxfId="479" priority="1">
      <formula>AND(IF(OR($Q22=1,$Q22=2),1,0),IF($X22&lt;=20,1,0))</formula>
    </cfRule>
    <cfRule type="expression" dxfId="478" priority="2">
      <formula>AND(IF($Q22=2,1,0),IF($X22&lt;30,1,0))</formula>
    </cfRule>
    <cfRule type="expression" dxfId="477" priority="3">
      <formula>AND(IF($Q22=3,1,0),IF($X22&lt;30,1,0))</formula>
    </cfRule>
    <cfRule type="expression" dxfId="476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319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문막읍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320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320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368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>IF(E4="","",E4)</f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문막읍 서원주코아루아너스('18.04.,842^)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>IF(A5="","",A5)</f>
        <v/>
      </c>
      <c r="AI5" s="103" t="str">
        <f>IF(E5="","",E5)</f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240</v>
      </c>
      <c r="B6" s="10" t="s">
        <v>369</v>
      </c>
      <c r="C6" s="107">
        <v>842</v>
      </c>
      <c r="D6" s="104">
        <v>117.4</v>
      </c>
      <c r="E6" s="106">
        <v>35</v>
      </c>
      <c r="F6" s="104">
        <v>84.6</v>
      </c>
      <c r="G6" s="17">
        <v>26</v>
      </c>
      <c r="H6" s="107">
        <v>376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3</v>
      </c>
      <c r="R6" s="75">
        <v>2</v>
      </c>
      <c r="S6" s="75" t="s">
        <v>324</v>
      </c>
      <c r="T6" s="5">
        <v>103</v>
      </c>
      <c r="U6" s="9"/>
      <c r="W6" s="104">
        <f>D6</f>
        <v>117.4</v>
      </c>
      <c r="X6" s="106">
        <f>E6</f>
        <v>35</v>
      </c>
      <c r="Y6" s="102">
        <f>H6</f>
        <v>376</v>
      </c>
      <c r="Z6" s="109">
        <f>I6</f>
        <v>0</v>
      </c>
      <c r="AA6" s="109">
        <f>K6</f>
        <v>0</v>
      </c>
      <c r="AB6" s="109">
        <f>M6</f>
        <v>0</v>
      </c>
      <c r="AC6" s="4" t="str">
        <f>N6</f>
        <v/>
      </c>
      <c r="AD6" s="105">
        <f>O6</f>
        <v>0</v>
      </c>
      <c r="AE6" s="75" t="str">
        <f>S6</f>
        <v>계</v>
      </c>
      <c r="AF6" s="75" t="str">
        <f>Q6&amp;"/"&amp;R6</f>
        <v>3/2</v>
      </c>
      <c r="AH6" s="20" t="str">
        <f>IF(A6="","",A6)</f>
        <v>서원주코아루아너스</v>
      </c>
      <c r="AI6" s="106">
        <f>IF(E6="","",E6)</f>
        <v>35</v>
      </c>
      <c r="AJ6" s="75" t="str">
        <f>IF(AI6="","",$AJ$2)</f>
        <v>A-</v>
      </c>
      <c r="AK6" s="75" t="s">
        <v>13</v>
      </c>
      <c r="AL6" s="75" t="s">
        <v>325</v>
      </c>
      <c r="AM6" s="75" t="s">
        <v>326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475" priority="20">
      <formula>AV4="X"</formula>
    </cfRule>
    <cfRule type="expression" dxfId="474" priority="21">
      <formula>AV4="후보"</formula>
    </cfRule>
  </conditionalFormatting>
  <conditionalFormatting sqref="AC1:AC2 AC4:AC6 N4:N5">
    <cfRule type="cellIs" dxfId="473" priority="17" operator="greaterThan">
      <formula>0.9</formula>
    </cfRule>
    <cfRule type="cellIs" dxfId="472" priority="18" operator="greaterThan">
      <formula>0.85</formula>
    </cfRule>
  </conditionalFormatting>
  <conditionalFormatting sqref="N1:N2">
    <cfRule type="cellIs" dxfId="471" priority="15" operator="greaterThan">
      <formula>0.9</formula>
    </cfRule>
    <cfRule type="cellIs" dxfId="470" priority="16" operator="greaterThan">
      <formula>0.85</formula>
    </cfRule>
  </conditionalFormatting>
  <conditionalFormatting sqref="N6">
    <cfRule type="cellIs" dxfId="469" priority="13" operator="greaterThan">
      <formula>0.9</formula>
    </cfRule>
    <cfRule type="cellIs" dxfId="468" priority="14" operator="greaterThan">
      <formula>0.85</formula>
    </cfRule>
  </conditionalFormatting>
  <conditionalFormatting sqref="E6">
    <cfRule type="expression" dxfId="467" priority="9">
      <formula>AND(IF(OR($Q6=1,$Q6=2),1,0),IF($X6&lt;=20,1,0))</formula>
    </cfRule>
    <cfRule type="expression" dxfId="466" priority="10">
      <formula>AND(IF($Q6=2,1,0),IF($X6&lt;30,1,0))</formula>
    </cfRule>
    <cfRule type="expression" dxfId="465" priority="11">
      <formula>AND(IF($Q6=3,1,0),IF($X6&lt;30,1,0))</formula>
    </cfRule>
    <cfRule type="expression" dxfId="464" priority="12">
      <formula>AND(IF($Q6=3,1,IF($Q6=4,1,0)),IF($F6&lt;=85,1,0))</formula>
    </cfRule>
  </conditionalFormatting>
  <conditionalFormatting sqref="X6">
    <cfRule type="expression" dxfId="463" priority="5">
      <formula>AND(IF(OR($Q6=1,$Q6=2),1,0),IF($X6&lt;=20,1,0))</formula>
    </cfRule>
    <cfRule type="expression" dxfId="462" priority="6">
      <formula>AND(IF($Q6=2,1,0),IF($X6&lt;30,1,0))</formula>
    </cfRule>
    <cfRule type="expression" dxfId="461" priority="7">
      <formula>AND(IF($Q6=3,1,0),IF($X6&lt;30,1,0))</formula>
    </cfRule>
    <cfRule type="expression" dxfId="460" priority="8">
      <formula>AND(IF($Q6=3,1,IF($Q6=4,1,0)),IF($F6&lt;=85,1,0))</formula>
    </cfRule>
  </conditionalFormatting>
  <conditionalFormatting sqref="AI6">
    <cfRule type="expression" dxfId="459" priority="1">
      <formula>AND(IF(OR($Q6=1,$Q6=2),1,0),IF($X6&lt;=20,1,0))</formula>
    </cfRule>
    <cfRule type="expression" dxfId="458" priority="2">
      <formula>AND(IF($Q6=2,1,0),IF($X6&lt;30,1,0))</formula>
    </cfRule>
    <cfRule type="expression" dxfId="457" priority="3">
      <formula>AND(IF($Q6=3,1,0),IF($X6&lt;30,1,0))</formula>
    </cfRule>
    <cfRule type="expression" dxfId="456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319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무실동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320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320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370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무실동 더샵원주센트럴파크1단지('21.11.,936^)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8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243</v>
      </c>
      <c r="B6" s="10" t="s">
        <v>371</v>
      </c>
      <c r="C6" s="107">
        <v>936</v>
      </c>
      <c r="D6" s="104">
        <v>111.6</v>
      </c>
      <c r="E6" s="106">
        <v>34</v>
      </c>
      <c r="F6" s="104">
        <v>85</v>
      </c>
      <c r="G6" s="17">
        <v>26</v>
      </c>
      <c r="H6" s="107">
        <v>272</v>
      </c>
      <c r="I6" s="108">
        <v>56200</v>
      </c>
      <c r="J6" s="108" t="s">
        <v>372</v>
      </c>
      <c r="K6" s="108">
        <v>29000</v>
      </c>
      <c r="L6" s="108" t="s">
        <v>327</v>
      </c>
      <c r="M6" s="109">
        <f>I6-K6</f>
        <v>27200</v>
      </c>
      <c r="N6" s="4">
        <f>IF(ISERROR(K6/I6),"",K6/I6)</f>
        <v>0.51601423487544484</v>
      </c>
      <c r="O6" s="105">
        <f>I6/E6</f>
        <v>1652.9411764705883</v>
      </c>
      <c r="P6" s="105">
        <f>K6/E6</f>
        <v>852.94117647058829</v>
      </c>
      <c r="Q6" s="75">
        <v>3</v>
      </c>
      <c r="R6" s="75">
        <v>2</v>
      </c>
      <c r="S6" s="75" t="s">
        <v>324</v>
      </c>
      <c r="T6" s="5" t="s">
        <v>245</v>
      </c>
      <c r="U6" s="9"/>
      <c r="W6" s="104">
        <f>D6</f>
        <v>111.6</v>
      </c>
      <c r="X6" s="106">
        <f>E6</f>
        <v>34</v>
      </c>
      <c r="Y6" s="102">
        <f>H6</f>
        <v>272</v>
      </c>
      <c r="Z6" s="109">
        <f>I6</f>
        <v>56200</v>
      </c>
      <c r="AA6" s="109">
        <f>K6</f>
        <v>29000</v>
      </c>
      <c r="AB6" s="109">
        <f>M6</f>
        <v>27200</v>
      </c>
      <c r="AC6" s="4">
        <f>N6</f>
        <v>0.51601423487544484</v>
      </c>
      <c r="AD6" s="105">
        <f>O6</f>
        <v>1652.9411764705883</v>
      </c>
      <c r="AE6" s="75" t="str">
        <f>S6</f>
        <v>계</v>
      </c>
      <c r="AF6" s="75" t="str">
        <f>Q6&amp;"/"&amp;R6</f>
        <v>3/2</v>
      </c>
      <c r="AH6" s="20" t="str">
        <f t="shared" si="1"/>
        <v>더샵원주센트럴파크1단지</v>
      </c>
      <c r="AI6" s="106">
        <f t="shared" si="0"/>
        <v>34</v>
      </c>
      <c r="AJ6" s="75" t="str">
        <f>IF(AI6="","",$AJ$2)</f>
        <v>A-</v>
      </c>
      <c r="AK6" s="75" t="s">
        <v>13</v>
      </c>
      <c r="AL6" s="75" t="s">
        <v>325</v>
      </c>
      <c r="AM6" s="75" t="s">
        <v>326</v>
      </c>
      <c r="AN6" s="75" t="str">
        <f>IF(AI6="","",$AN$2)</f>
        <v>C</v>
      </c>
      <c r="AO6" s="75" t="str">
        <f>IF(N6="","",IF(N6&gt;=$AO$1/100,"O","X"))</f>
        <v>X</v>
      </c>
      <c r="AP6" s="75" t="str">
        <f>IF(I6="","",IF(I6&lt;=$AP$1,"O","X"))</f>
        <v>X</v>
      </c>
      <c r="AQ6" s="75" t="str">
        <f>IF(O6="","",IF(O6&lt;=$AQ$1,"O","X"))</f>
        <v>X</v>
      </c>
      <c r="AR6" s="75" t="str">
        <f>IF(M6="","",IF(M6&lt;=$AR$1,"O","X"))</f>
        <v>X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X</v>
      </c>
    </row>
    <row r="7" spans="1:48" x14ac:dyDescent="0.3">
      <c r="A7" s="9"/>
      <c r="B7" s="75"/>
      <c r="C7" s="6"/>
      <c r="D7" s="9"/>
      <c r="E7" s="14"/>
      <c r="F7" s="104"/>
      <c r="G7" s="9"/>
      <c r="H7" s="9"/>
      <c r="I7" s="9"/>
      <c r="J7" s="9"/>
      <c r="K7" s="9"/>
      <c r="L7" s="9"/>
      <c r="M7" s="9"/>
      <c r="N7" s="9"/>
      <c r="O7" s="105"/>
      <c r="P7" s="105"/>
      <c r="Q7" s="106"/>
      <c r="R7" s="106"/>
      <c r="S7" s="9"/>
      <c r="T7" s="48"/>
      <c r="U7" s="9"/>
      <c r="W7" s="70" t="str">
        <f>$A$4&amp;" "&amp;A8&amp;"("&amp;B8&amp;","&amp;C8&amp;"^)"</f>
        <v>무실동 무실우미린('14.09.,653^)</v>
      </c>
      <c r="X7" s="71"/>
      <c r="Y7" s="71"/>
      <c r="Z7" s="71"/>
      <c r="AA7" s="71"/>
      <c r="AB7" s="71"/>
      <c r="AC7" s="71"/>
      <c r="AD7" s="71"/>
      <c r="AE7" s="71"/>
      <c r="AF7" s="72"/>
      <c r="AH7" s="20" t="str">
        <f t="shared" si="1"/>
        <v/>
      </c>
      <c r="AI7" s="103" t="str">
        <f t="shared" si="0"/>
        <v/>
      </c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</row>
    <row r="8" spans="1:48" x14ac:dyDescent="0.3">
      <c r="A8" s="9" t="s">
        <v>249</v>
      </c>
      <c r="B8" s="10" t="s">
        <v>357</v>
      </c>
      <c r="C8" s="107">
        <v>653</v>
      </c>
      <c r="D8" s="104">
        <v>111.5</v>
      </c>
      <c r="E8" s="106">
        <v>34</v>
      </c>
      <c r="F8" s="104">
        <v>85</v>
      </c>
      <c r="G8" s="17">
        <v>26</v>
      </c>
      <c r="H8" s="107">
        <v>245</v>
      </c>
      <c r="I8" s="108">
        <v>49000</v>
      </c>
      <c r="J8" s="108" t="s">
        <v>351</v>
      </c>
      <c r="K8" s="108"/>
      <c r="L8" s="108"/>
      <c r="M8" s="109">
        <f>I8-K8</f>
        <v>49000</v>
      </c>
      <c r="N8" s="4">
        <f>IF(ISERROR(K8/I8),"",K8/I8)</f>
        <v>0</v>
      </c>
      <c r="O8" s="105">
        <f>I8/E8</f>
        <v>1441.1764705882354</v>
      </c>
      <c r="P8" s="105">
        <f>K8/E8</f>
        <v>0</v>
      </c>
      <c r="Q8" s="75">
        <v>3</v>
      </c>
      <c r="R8" s="75">
        <v>1</v>
      </c>
      <c r="S8" s="75" t="s">
        <v>355</v>
      </c>
      <c r="T8" s="5">
        <v>94</v>
      </c>
      <c r="U8" s="9"/>
      <c r="W8" s="104">
        <f>D8</f>
        <v>111.5</v>
      </c>
      <c r="X8" s="106">
        <f>E8</f>
        <v>34</v>
      </c>
      <c r="Y8" s="102">
        <f>H8</f>
        <v>245</v>
      </c>
      <c r="Z8" s="109">
        <f>I8</f>
        <v>49000</v>
      </c>
      <c r="AA8" s="109">
        <f>K8</f>
        <v>0</v>
      </c>
      <c r="AB8" s="109">
        <f>M8</f>
        <v>49000</v>
      </c>
      <c r="AC8" s="4">
        <f>N8</f>
        <v>0</v>
      </c>
      <c r="AD8" s="105">
        <f>O8</f>
        <v>1441.1764705882354</v>
      </c>
      <c r="AE8" s="75" t="str">
        <f>S8</f>
        <v>복</v>
      </c>
      <c r="AF8" s="75" t="str">
        <f>Q8&amp;"/"&amp;R8</f>
        <v>3/1</v>
      </c>
      <c r="AH8" s="20" t="str">
        <f t="shared" si="1"/>
        <v>무실우미린</v>
      </c>
      <c r="AI8" s="106">
        <f t="shared" si="0"/>
        <v>34</v>
      </c>
      <c r="AJ8" s="75" t="str">
        <f>IF(AI8="","",$AJ$2)</f>
        <v>A-</v>
      </c>
      <c r="AK8" s="75" t="s">
        <v>13</v>
      </c>
      <c r="AL8" s="75" t="s">
        <v>325</v>
      </c>
      <c r="AM8" s="75" t="s">
        <v>326</v>
      </c>
      <c r="AN8" s="75" t="str">
        <f>IF(AI8="","",$AN$2)</f>
        <v>C</v>
      </c>
      <c r="AO8" s="75" t="str">
        <f>IF(N8="","",IF(N8&gt;=$AO$1/100,"O","X"))</f>
        <v>X</v>
      </c>
      <c r="AP8" s="75" t="str">
        <f>IF(I8="","",IF(I8&lt;=$AP$1,"O","X"))</f>
        <v>X</v>
      </c>
      <c r="AQ8" s="75" t="str">
        <f>IF(O8="","",IF(O8&lt;=$AQ$1,"O","X"))</f>
        <v>O</v>
      </c>
      <c r="AR8" s="75" t="str">
        <f>IF(M8="","",IF(M8&lt;=$AR$1,"O","X"))</f>
        <v>X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>X</v>
      </c>
    </row>
    <row r="9" spans="1:48" x14ac:dyDescent="0.3">
      <c r="A9" s="9"/>
      <c r="B9" s="75"/>
      <c r="C9" s="6"/>
      <c r="D9" s="9"/>
      <c r="E9" s="14"/>
      <c r="F9" s="104"/>
      <c r="G9" s="9"/>
      <c r="H9" s="9"/>
      <c r="I9" s="9"/>
      <c r="J9" s="9"/>
      <c r="K9" s="9"/>
      <c r="L9" s="9"/>
      <c r="M9" s="9"/>
      <c r="N9" s="9"/>
      <c r="O9" s="105"/>
      <c r="P9" s="105"/>
      <c r="Q9" s="106"/>
      <c r="R9" s="106"/>
      <c r="S9" s="9"/>
      <c r="T9" s="48"/>
      <c r="U9" s="9"/>
      <c r="W9" s="70" t="str">
        <f>$A$4&amp;" "&amp;A10&amp;"("&amp;B10&amp;","&amp;C10&amp;"^)"</f>
        <v>무실동 원주무실세영리첼1차('14.06.,482^)</v>
      </c>
      <c r="X9" s="71"/>
      <c r="Y9" s="71"/>
      <c r="Z9" s="71"/>
      <c r="AA9" s="71"/>
      <c r="AB9" s="71"/>
      <c r="AC9" s="71"/>
      <c r="AD9" s="71"/>
      <c r="AE9" s="71"/>
      <c r="AF9" s="72"/>
      <c r="AH9" s="20" t="str">
        <f t="shared" si="1"/>
        <v/>
      </c>
      <c r="AI9" s="103" t="str">
        <f t="shared" si="0"/>
        <v/>
      </c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</row>
    <row r="10" spans="1:48" x14ac:dyDescent="0.3">
      <c r="A10" s="9" t="s">
        <v>253</v>
      </c>
      <c r="B10" s="10" t="s">
        <v>373</v>
      </c>
      <c r="C10" s="107">
        <v>482</v>
      </c>
      <c r="D10" s="104">
        <v>108.4</v>
      </c>
      <c r="E10" s="106">
        <v>33</v>
      </c>
      <c r="F10" s="104">
        <v>84.9</v>
      </c>
      <c r="G10" s="17">
        <v>26</v>
      </c>
      <c r="H10" s="107">
        <v>72</v>
      </c>
      <c r="I10" s="108">
        <v>48000</v>
      </c>
      <c r="J10" s="108" t="s">
        <v>101</v>
      </c>
      <c r="K10" s="108"/>
      <c r="L10" s="108"/>
      <c r="M10" s="109">
        <f>I10-K10</f>
        <v>48000</v>
      </c>
      <c r="N10" s="4">
        <f>IF(ISERROR(K10/I10),"",K10/I10)</f>
        <v>0</v>
      </c>
      <c r="O10" s="105">
        <f>I10/E10</f>
        <v>1454.5454545454545</v>
      </c>
      <c r="P10" s="105">
        <f>K10/E10</f>
        <v>0</v>
      </c>
      <c r="Q10" s="75">
        <v>4</v>
      </c>
      <c r="R10" s="75">
        <v>2</v>
      </c>
      <c r="S10" s="75" t="s">
        <v>324</v>
      </c>
      <c r="T10" s="5" t="s">
        <v>255</v>
      </c>
      <c r="U10" s="9"/>
      <c r="W10" s="104">
        <f>D10</f>
        <v>108.4</v>
      </c>
      <c r="X10" s="106">
        <f>E10</f>
        <v>33</v>
      </c>
      <c r="Y10" s="102">
        <f>H10</f>
        <v>72</v>
      </c>
      <c r="Z10" s="109">
        <f>I10</f>
        <v>48000</v>
      </c>
      <c r="AA10" s="109">
        <f>K10</f>
        <v>0</v>
      </c>
      <c r="AB10" s="109">
        <f>M10</f>
        <v>48000</v>
      </c>
      <c r="AC10" s="4">
        <f>N10</f>
        <v>0</v>
      </c>
      <c r="AD10" s="105">
        <f>O10</f>
        <v>1454.5454545454545</v>
      </c>
      <c r="AE10" s="75" t="str">
        <f>S10</f>
        <v>계</v>
      </c>
      <c r="AF10" s="75" t="str">
        <f>Q10&amp;"/"&amp;R10</f>
        <v>4/2</v>
      </c>
      <c r="AH10" s="20" t="str">
        <f t="shared" si="1"/>
        <v>원주무실세영리첼1차</v>
      </c>
      <c r="AI10" s="106">
        <f t="shared" si="0"/>
        <v>33</v>
      </c>
      <c r="AJ10" s="75" t="str">
        <f>IF(AI10="","",$AJ$2)</f>
        <v>A-</v>
      </c>
      <c r="AK10" s="75" t="s">
        <v>13</v>
      </c>
      <c r="AL10" s="75" t="s">
        <v>325</v>
      </c>
      <c r="AM10" s="75" t="s">
        <v>326</v>
      </c>
      <c r="AN10" s="75" t="str">
        <f>IF(AI10="","",$AN$2)</f>
        <v>C</v>
      </c>
      <c r="AO10" s="75" t="str">
        <f>IF(N10="","",IF(N10&gt;=$AO$1/100,"O","X"))</f>
        <v>X</v>
      </c>
      <c r="AP10" s="75" t="str">
        <f>IF(I10="","",IF(I10&lt;=$AP$1,"O","X"))</f>
        <v>X</v>
      </c>
      <c r="AQ10" s="75" t="str">
        <f>IF(O10="","",IF(O10&lt;=$AQ$1,"O","X"))</f>
        <v>O</v>
      </c>
      <c r="AR10" s="75" t="str">
        <f>IF(M10="","",IF(M10&lt;=$AR$1,"O","X"))</f>
        <v>X</v>
      </c>
      <c r="AS10" s="75" t="s">
        <v>2</v>
      </c>
      <c r="AT10" s="75" t="str">
        <f>IF(OR(F10="",AI10=""),"",IF(AND((F10&lt;=85),(AI10&gt;=15)),"O","X"))</f>
        <v>O</v>
      </c>
      <c r="AU10" s="75" t="str">
        <f>IF(C10="","",IF(C10&gt;=$AU$1,"O","X"))</f>
        <v>O</v>
      </c>
      <c r="AV10" s="75" t="str">
        <f>IF(AO10="","",IF(AND(AO10="O",AP10="O",AR10="O",AT10="O",AU10="O"),"후보","X"))</f>
        <v>X</v>
      </c>
    </row>
    <row r="11" spans="1:48" x14ac:dyDescent="0.3">
      <c r="A11" s="9"/>
      <c r="B11" s="75"/>
      <c r="C11" s="6"/>
      <c r="D11" s="9"/>
      <c r="E11" s="14"/>
      <c r="F11" s="104"/>
      <c r="G11" s="9"/>
      <c r="H11" s="9"/>
      <c r="I11" s="9"/>
      <c r="J11" s="9"/>
      <c r="K11" s="9"/>
      <c r="L11" s="9"/>
      <c r="M11" s="9"/>
      <c r="N11" s="9"/>
      <c r="O11" s="105"/>
      <c r="P11" s="105"/>
      <c r="Q11" s="106"/>
      <c r="R11" s="106"/>
      <c r="S11" s="9"/>
      <c r="T11" s="48"/>
      <c r="U11" s="9"/>
      <c r="W11" s="70" t="str">
        <f>$A$4&amp;" "&amp;A12&amp;"("&amp;B12&amp;","&amp;C12&amp;"^)"</f>
        <v>무실동 원주무실세영리첼2차('15.04.,526^)</v>
      </c>
      <c r="X11" s="71"/>
      <c r="Y11" s="71"/>
      <c r="Z11" s="71"/>
      <c r="AA11" s="71"/>
      <c r="AB11" s="71"/>
      <c r="AC11" s="71"/>
      <c r="AD11" s="71"/>
      <c r="AE11" s="71"/>
      <c r="AF11" s="72"/>
      <c r="AH11" s="20" t="str">
        <f t="shared" si="1"/>
        <v/>
      </c>
      <c r="AI11" s="103" t="str">
        <f t="shared" si="0"/>
        <v/>
      </c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</row>
    <row r="12" spans="1:48" x14ac:dyDescent="0.3">
      <c r="A12" s="9" t="s">
        <v>256</v>
      </c>
      <c r="B12" s="10" t="s">
        <v>374</v>
      </c>
      <c r="C12" s="107">
        <v>526</v>
      </c>
      <c r="D12" s="104">
        <v>110.4</v>
      </c>
      <c r="E12" s="106">
        <v>33</v>
      </c>
      <c r="F12" s="104">
        <v>85</v>
      </c>
      <c r="G12" s="17">
        <v>26</v>
      </c>
      <c r="H12" s="107">
        <v>129</v>
      </c>
      <c r="I12" s="108"/>
      <c r="J12" s="108"/>
      <c r="K12" s="108">
        <v>35000</v>
      </c>
      <c r="L12" s="108" t="s">
        <v>94</v>
      </c>
      <c r="M12" s="109">
        <f>I12-K12</f>
        <v>-35000</v>
      </c>
      <c r="N12" s="4" t="str">
        <f>IF(ISERROR(K12/I12),"",K12/I12)</f>
        <v/>
      </c>
      <c r="O12" s="105">
        <f>I12/E12</f>
        <v>0</v>
      </c>
      <c r="P12" s="105">
        <f>K12/E12</f>
        <v>1060.6060606060605</v>
      </c>
      <c r="Q12" s="75">
        <v>3</v>
      </c>
      <c r="R12" s="75">
        <v>2</v>
      </c>
      <c r="S12" s="75" t="s">
        <v>324</v>
      </c>
      <c r="T12" s="5">
        <v>116</v>
      </c>
      <c r="U12" s="9"/>
      <c r="W12" s="104">
        <f>D12</f>
        <v>110.4</v>
      </c>
      <c r="X12" s="106">
        <f>E12</f>
        <v>33</v>
      </c>
      <c r="Y12" s="102">
        <f>H12</f>
        <v>129</v>
      </c>
      <c r="Z12" s="109">
        <f>I12</f>
        <v>0</v>
      </c>
      <c r="AA12" s="109">
        <f>K12</f>
        <v>35000</v>
      </c>
      <c r="AB12" s="109">
        <f>M12</f>
        <v>-35000</v>
      </c>
      <c r="AC12" s="4" t="str">
        <f>N12</f>
        <v/>
      </c>
      <c r="AD12" s="105">
        <f>O12</f>
        <v>0</v>
      </c>
      <c r="AE12" s="75" t="str">
        <f>S12</f>
        <v>계</v>
      </c>
      <c r="AF12" s="75" t="str">
        <f>Q12&amp;"/"&amp;R12</f>
        <v>3/2</v>
      </c>
      <c r="AH12" s="20" t="str">
        <f t="shared" si="1"/>
        <v>원주무실세영리첼2차</v>
      </c>
      <c r="AI12" s="106">
        <f t="shared" si="0"/>
        <v>33</v>
      </c>
      <c r="AJ12" s="75" t="str">
        <f>IF(AI12="","",$AJ$2)</f>
        <v>A-</v>
      </c>
      <c r="AK12" s="75" t="s">
        <v>13</v>
      </c>
      <c r="AL12" s="75" t="s">
        <v>325</v>
      </c>
      <c r="AM12" s="75" t="s">
        <v>326</v>
      </c>
      <c r="AN12" s="75" t="str">
        <f>IF(AI12="","",$AN$2)</f>
        <v>C</v>
      </c>
      <c r="AO12" s="75" t="str">
        <f>IF(N12="","",IF(N12&gt;=$AO$1/100,"O","X"))</f>
        <v/>
      </c>
      <c r="AP12" s="75" t="str">
        <f>IF(I12="","",IF(I12&lt;=$AP$1,"O","X"))</f>
        <v/>
      </c>
      <c r="AQ12" s="75" t="str">
        <f>IF(O12="","",IF(O12&lt;=$AQ$1,"O","X"))</f>
        <v>O</v>
      </c>
      <c r="AR12" s="75" t="str">
        <f>IF(M12="","",IF(M12&lt;=$AR$1,"O","X"))</f>
        <v>O</v>
      </c>
      <c r="AS12" s="75" t="s">
        <v>2</v>
      </c>
      <c r="AT12" s="75" t="str">
        <f>IF(OR(F12="",AI12=""),"",IF(AND((F12&lt;=85),(AI12&gt;=15)),"O","X"))</f>
        <v>O</v>
      </c>
      <c r="AU12" s="75" t="str">
        <f>IF(C12="","",IF(C12&gt;=$AU$1,"O","X"))</f>
        <v>O</v>
      </c>
      <c r="AV12" s="75" t="str">
        <f>IF(AO12="","",IF(AND(AO12="O",AP12="O",AR12="O",AT12="O",AU12="O"),"후보","X"))</f>
        <v/>
      </c>
    </row>
    <row r="13" spans="1:48" x14ac:dyDescent="0.3">
      <c r="A13" s="9"/>
      <c r="B13" s="75"/>
      <c r="C13" s="6"/>
      <c r="D13" s="9"/>
      <c r="E13" s="14"/>
      <c r="F13" s="104"/>
      <c r="G13" s="9"/>
      <c r="H13" s="9"/>
      <c r="I13" s="9"/>
      <c r="J13" s="9"/>
      <c r="K13" s="9"/>
      <c r="L13" s="9"/>
      <c r="M13" s="9"/>
      <c r="N13" s="9"/>
      <c r="O13" s="105"/>
      <c r="P13" s="105"/>
      <c r="Q13" s="106"/>
      <c r="R13" s="106"/>
      <c r="S13" s="9"/>
      <c r="T13" s="48"/>
      <c r="U13" s="9"/>
      <c r="W13" s="70" t="str">
        <f>$A$4&amp;" "&amp;A14&amp;"("&amp;B14&amp;","&amp;C14&amp;"^)"</f>
        <v>무실동 무실우미린('14.09.,653^)</v>
      </c>
      <c r="X13" s="71"/>
      <c r="Y13" s="71"/>
      <c r="Z13" s="71"/>
      <c r="AA13" s="71"/>
      <c r="AB13" s="71"/>
      <c r="AC13" s="71"/>
      <c r="AD13" s="71"/>
      <c r="AE13" s="71"/>
      <c r="AF13" s="72"/>
      <c r="AH13" s="20" t="str">
        <f t="shared" si="1"/>
        <v/>
      </c>
      <c r="AI13" s="103" t="str">
        <f t="shared" si="0"/>
        <v/>
      </c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</row>
    <row r="14" spans="1:48" x14ac:dyDescent="0.3">
      <c r="A14" s="9" t="s">
        <v>249</v>
      </c>
      <c r="B14" s="10" t="s">
        <v>357</v>
      </c>
      <c r="C14" s="107">
        <v>653</v>
      </c>
      <c r="D14" s="104">
        <v>98.2</v>
      </c>
      <c r="E14" s="106">
        <v>30</v>
      </c>
      <c r="F14" s="104">
        <v>75.3</v>
      </c>
      <c r="G14" s="17">
        <v>23</v>
      </c>
      <c r="H14" s="107">
        <v>221</v>
      </c>
      <c r="I14" s="108">
        <v>42000</v>
      </c>
      <c r="J14" s="108" t="s">
        <v>335</v>
      </c>
      <c r="K14" s="108">
        <v>29000</v>
      </c>
      <c r="L14" s="108" t="s">
        <v>351</v>
      </c>
      <c r="M14" s="109">
        <f>I14-K14</f>
        <v>13000</v>
      </c>
      <c r="N14" s="4">
        <f>IF(ISERROR(K14/I14),"",K14/I14)</f>
        <v>0.69047619047619047</v>
      </c>
      <c r="O14" s="105">
        <f>I14/E14</f>
        <v>1400</v>
      </c>
      <c r="P14" s="105">
        <f>K14/E14</f>
        <v>966.66666666666663</v>
      </c>
      <c r="Q14" s="75">
        <v>2</v>
      </c>
      <c r="R14" s="75">
        <v>1</v>
      </c>
      <c r="S14" s="75" t="s">
        <v>355</v>
      </c>
      <c r="T14" s="5" t="s">
        <v>261</v>
      </c>
      <c r="U14" s="9"/>
      <c r="W14" s="104">
        <f>D14</f>
        <v>98.2</v>
      </c>
      <c r="X14" s="106">
        <f>E14</f>
        <v>30</v>
      </c>
      <c r="Y14" s="102">
        <f>H14</f>
        <v>221</v>
      </c>
      <c r="Z14" s="109">
        <f>I14</f>
        <v>42000</v>
      </c>
      <c r="AA14" s="109">
        <f>K14</f>
        <v>29000</v>
      </c>
      <c r="AB14" s="109">
        <f>M14</f>
        <v>13000</v>
      </c>
      <c r="AC14" s="4">
        <f>N14</f>
        <v>0.69047619047619047</v>
      </c>
      <c r="AD14" s="105">
        <f>O14</f>
        <v>1400</v>
      </c>
      <c r="AE14" s="75" t="str">
        <f>S14</f>
        <v>복</v>
      </c>
      <c r="AF14" s="75" t="str">
        <f>Q14&amp;"/"&amp;R14</f>
        <v>2/1</v>
      </c>
      <c r="AH14" s="20" t="str">
        <f t="shared" si="1"/>
        <v>무실우미린</v>
      </c>
      <c r="AI14" s="106">
        <f t="shared" si="0"/>
        <v>30</v>
      </c>
      <c r="AJ14" s="75" t="str">
        <f>IF(AI14="","",$AJ$2)</f>
        <v>A-</v>
      </c>
      <c r="AK14" s="75" t="s">
        <v>13</v>
      </c>
      <c r="AL14" s="75" t="s">
        <v>325</v>
      </c>
      <c r="AM14" s="75" t="s">
        <v>326</v>
      </c>
      <c r="AN14" s="75" t="str">
        <f>IF(AI14="","",$AN$2)</f>
        <v>C</v>
      </c>
      <c r="AO14" s="75" t="str">
        <f>IF(N14="","",IF(N14&gt;=$AO$1/100,"O","X"))</f>
        <v>X</v>
      </c>
      <c r="AP14" s="75" t="str">
        <f>IF(I14="","",IF(I14&lt;=$AP$1,"O","X"))</f>
        <v>O</v>
      </c>
      <c r="AQ14" s="75" t="str">
        <f>IF(O14="","",IF(O14&lt;=$AQ$1,"O","X"))</f>
        <v>O</v>
      </c>
      <c r="AR14" s="75" t="str">
        <f>IF(M14="","",IF(M14&lt;=$AR$1,"O","X"))</f>
        <v>X</v>
      </c>
      <c r="AS14" s="75" t="s">
        <v>2</v>
      </c>
      <c r="AT14" s="75" t="str">
        <f>IF(OR(F14="",AI14=""),"",IF(AND((F14&lt;=85),(AI14&gt;=15)),"O","X"))</f>
        <v>O</v>
      </c>
      <c r="AU14" s="75" t="str">
        <f>IF(C14="","",IF(C14&gt;=$AU$1,"O","X"))</f>
        <v>O</v>
      </c>
      <c r="AV14" s="75" t="str">
        <f>IF(AO14="","",IF(AND(AO14="O",AP14="O",AR14="O",AT14="O",AU14="O"),"후보","X"))</f>
        <v>X</v>
      </c>
    </row>
    <row r="15" spans="1:48" x14ac:dyDescent="0.3">
      <c r="A15" s="9"/>
      <c r="B15" s="75"/>
      <c r="C15" s="6"/>
      <c r="D15" s="9"/>
      <c r="E15" s="14"/>
      <c r="F15" s="104"/>
      <c r="G15" s="9"/>
      <c r="H15" s="9"/>
      <c r="I15" s="9"/>
      <c r="J15" s="9"/>
      <c r="K15" s="9"/>
      <c r="L15" s="9"/>
      <c r="M15" s="9"/>
      <c r="N15" s="9"/>
      <c r="O15" s="105"/>
      <c r="P15" s="105"/>
      <c r="Q15" s="106"/>
      <c r="R15" s="106"/>
      <c r="S15" s="9"/>
      <c r="T15" s="48"/>
      <c r="U15" s="9"/>
      <c r="W15" s="70" t="str">
        <f>$A$4&amp;" "&amp;A16&amp;"("&amp;B16&amp;","&amp;C16&amp;"^)"</f>
        <v>무실동 더샵원주센트럴파크1단지('21.11.,936^)</v>
      </c>
      <c r="X15" s="71"/>
      <c r="Y15" s="71"/>
      <c r="Z15" s="71"/>
      <c r="AA15" s="71"/>
      <c r="AB15" s="71"/>
      <c r="AC15" s="71"/>
      <c r="AD15" s="71"/>
      <c r="AE15" s="71"/>
      <c r="AF15" s="72"/>
      <c r="AH15" s="20" t="str">
        <f t="shared" si="1"/>
        <v/>
      </c>
      <c r="AI15" s="103" t="str">
        <f t="shared" si="0"/>
        <v/>
      </c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</row>
    <row r="16" spans="1:48" x14ac:dyDescent="0.3">
      <c r="A16" s="9" t="s">
        <v>243</v>
      </c>
      <c r="B16" s="10" t="s">
        <v>371</v>
      </c>
      <c r="C16" s="107">
        <v>936</v>
      </c>
      <c r="D16" s="104">
        <v>80</v>
      </c>
      <c r="E16" s="106">
        <v>24</v>
      </c>
      <c r="F16" s="104">
        <v>60</v>
      </c>
      <c r="G16" s="17">
        <v>18</v>
      </c>
      <c r="H16" s="107">
        <v>312</v>
      </c>
      <c r="I16" s="108"/>
      <c r="J16" s="108"/>
      <c r="K16" s="108"/>
      <c r="L16" s="108"/>
      <c r="M16" s="109">
        <f>I16-K16</f>
        <v>0</v>
      </c>
      <c r="N16" s="4" t="str">
        <f>IF(ISERROR(K16/I16),"",K16/I16)</f>
        <v/>
      </c>
      <c r="O16" s="105">
        <f>I16/E16</f>
        <v>0</v>
      </c>
      <c r="P16" s="105">
        <f>K16/E16</f>
        <v>0</v>
      </c>
      <c r="Q16" s="75">
        <v>3</v>
      </c>
      <c r="R16" s="75">
        <v>2</v>
      </c>
      <c r="S16" s="75" t="s">
        <v>324</v>
      </c>
      <c r="T16" s="5" t="s">
        <v>262</v>
      </c>
      <c r="U16" s="9"/>
      <c r="W16" s="104">
        <f>D16</f>
        <v>80</v>
      </c>
      <c r="X16" s="106">
        <f>E16</f>
        <v>24</v>
      </c>
      <c r="Y16" s="102">
        <f>H16</f>
        <v>312</v>
      </c>
      <c r="Z16" s="109">
        <f>I16</f>
        <v>0</v>
      </c>
      <c r="AA16" s="109">
        <f>K16</f>
        <v>0</v>
      </c>
      <c r="AB16" s="109">
        <f>M16</f>
        <v>0</v>
      </c>
      <c r="AC16" s="4" t="str">
        <f>N16</f>
        <v/>
      </c>
      <c r="AD16" s="105">
        <f>O16</f>
        <v>0</v>
      </c>
      <c r="AE16" s="75" t="str">
        <f>S16</f>
        <v>계</v>
      </c>
      <c r="AF16" s="75" t="str">
        <f>Q16&amp;"/"&amp;R16</f>
        <v>3/2</v>
      </c>
      <c r="AH16" s="20" t="str">
        <f t="shared" si="1"/>
        <v>더샵원주센트럴파크1단지</v>
      </c>
      <c r="AI16" s="106">
        <f t="shared" si="0"/>
        <v>24</v>
      </c>
      <c r="AJ16" s="75" t="str">
        <f>IF(AI16="","",$AJ$2)</f>
        <v>A-</v>
      </c>
      <c r="AK16" s="75" t="s">
        <v>13</v>
      </c>
      <c r="AL16" s="75" t="s">
        <v>325</v>
      </c>
      <c r="AM16" s="75" t="s">
        <v>326</v>
      </c>
      <c r="AN16" s="75" t="str">
        <f>IF(AI16="","",$AN$2)</f>
        <v>C</v>
      </c>
      <c r="AO16" s="75" t="str">
        <f>IF(N16="","",IF(N16&gt;=$AO$1/100,"O","X"))</f>
        <v/>
      </c>
      <c r="AP16" s="75" t="str">
        <f>IF(I16="","",IF(I16&lt;=$AP$1,"O","X"))</f>
        <v/>
      </c>
      <c r="AQ16" s="75" t="str">
        <f>IF(O16="","",IF(O16&lt;=$AQ$1,"O","X"))</f>
        <v>O</v>
      </c>
      <c r="AR16" s="75" t="str">
        <f>IF(M16="","",IF(M16&lt;=$AR$1,"O","X"))</f>
        <v>O</v>
      </c>
      <c r="AS16" s="75" t="s">
        <v>2</v>
      </c>
      <c r="AT16" s="75" t="str">
        <f>IF(OR(F16="",AI16=""),"",IF(AND((F16&lt;=85),(AI16&gt;=15)),"O","X"))</f>
        <v>O</v>
      </c>
      <c r="AU16" s="75" t="str">
        <f>IF(C16="","",IF(C16&gt;=$AU$1,"O","X"))</f>
        <v>O</v>
      </c>
      <c r="AV16" s="75" t="str">
        <f>IF(AO16="","",IF(AND(AO16="O",AP16="O",AR16="O",AT16="O",AU16="O"),"후보","X"))</f>
        <v/>
      </c>
    </row>
    <row r="17" spans="1:48" x14ac:dyDescent="0.3">
      <c r="A17" s="9"/>
      <c r="B17" s="75"/>
      <c r="C17" s="6"/>
      <c r="D17" s="9"/>
      <c r="E17" s="14"/>
      <c r="F17" s="104"/>
      <c r="G17" s="9"/>
      <c r="H17" s="9"/>
      <c r="I17" s="9"/>
      <c r="J17" s="9"/>
      <c r="K17" s="9"/>
      <c r="L17" s="9"/>
      <c r="M17" s="9"/>
      <c r="N17" s="9"/>
      <c r="O17" s="105"/>
      <c r="P17" s="105"/>
      <c r="Q17" s="106"/>
      <c r="R17" s="106"/>
      <c r="S17" s="9"/>
      <c r="T17" s="48"/>
      <c r="U17" s="9"/>
      <c r="W17" s="70" t="str">
        <f>$A$4&amp;" "&amp;A18&amp;"("&amp;B18&amp;","&amp;C18&amp;"^)"</f>
        <v>무실동 사랑으로부영('12.07.,639^)</v>
      </c>
      <c r="X17" s="71"/>
      <c r="Y17" s="71"/>
      <c r="Z17" s="71"/>
      <c r="AA17" s="71"/>
      <c r="AB17" s="71"/>
      <c r="AC17" s="71"/>
      <c r="AD17" s="71"/>
      <c r="AE17" s="71"/>
      <c r="AF17" s="72"/>
      <c r="AH17" s="20" t="str">
        <f t="shared" si="1"/>
        <v/>
      </c>
      <c r="AI17" s="103" t="str">
        <f t="shared" si="0"/>
        <v/>
      </c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</row>
    <row r="18" spans="1:48" x14ac:dyDescent="0.3">
      <c r="A18" s="9" t="s">
        <v>263</v>
      </c>
      <c r="B18" s="10" t="s">
        <v>375</v>
      </c>
      <c r="C18" s="107">
        <v>639</v>
      </c>
      <c r="D18" s="104">
        <v>88.6</v>
      </c>
      <c r="E18" s="106">
        <v>27</v>
      </c>
      <c r="F18" s="104">
        <v>59.9</v>
      </c>
      <c r="G18" s="17">
        <v>18</v>
      </c>
      <c r="H18" s="107">
        <v>337</v>
      </c>
      <c r="I18" s="108">
        <v>32000</v>
      </c>
      <c r="J18" s="108" t="s">
        <v>101</v>
      </c>
      <c r="K18" s="108">
        <v>25000</v>
      </c>
      <c r="L18" s="108" t="s">
        <v>101</v>
      </c>
      <c r="M18" s="109">
        <f>I18-K18</f>
        <v>7000</v>
      </c>
      <c r="N18" s="4">
        <f>IF(ISERROR(K18/I18),"",K18/I18)</f>
        <v>0.78125</v>
      </c>
      <c r="O18" s="105">
        <f>I18/E18</f>
        <v>1185.1851851851852</v>
      </c>
      <c r="P18" s="105">
        <f>K18/E18</f>
        <v>925.92592592592598</v>
      </c>
      <c r="Q18" s="75">
        <v>3</v>
      </c>
      <c r="R18" s="75">
        <v>2</v>
      </c>
      <c r="S18" s="75" t="s">
        <v>324</v>
      </c>
      <c r="T18" s="5" t="s">
        <v>265</v>
      </c>
      <c r="U18" s="9"/>
      <c r="W18" s="104">
        <f>D18</f>
        <v>88.6</v>
      </c>
      <c r="X18" s="106">
        <f>E18</f>
        <v>27</v>
      </c>
      <c r="Y18" s="102">
        <f>H18</f>
        <v>337</v>
      </c>
      <c r="Z18" s="109">
        <f>I18</f>
        <v>32000</v>
      </c>
      <c r="AA18" s="109">
        <f>K18</f>
        <v>25000</v>
      </c>
      <c r="AB18" s="109">
        <f>M18</f>
        <v>7000</v>
      </c>
      <c r="AC18" s="4">
        <f>N18</f>
        <v>0.78125</v>
      </c>
      <c r="AD18" s="105">
        <f>O18</f>
        <v>1185.1851851851852</v>
      </c>
      <c r="AE18" s="75" t="str">
        <f>S18</f>
        <v>계</v>
      </c>
      <c r="AF18" s="75" t="str">
        <f>Q18&amp;"/"&amp;R18</f>
        <v>3/2</v>
      </c>
      <c r="AH18" s="20" t="str">
        <f t="shared" si="1"/>
        <v>사랑으로부영</v>
      </c>
      <c r="AI18" s="106">
        <f t="shared" si="0"/>
        <v>27</v>
      </c>
      <c r="AJ18" s="75" t="str">
        <f>IF(AI18="","",$AJ$2)</f>
        <v>A-</v>
      </c>
      <c r="AK18" s="75" t="s">
        <v>13</v>
      </c>
      <c r="AL18" s="75" t="s">
        <v>325</v>
      </c>
      <c r="AM18" s="75" t="s">
        <v>326</v>
      </c>
      <c r="AN18" s="75" t="str">
        <f>IF(AI18="","",$AN$2)</f>
        <v>C</v>
      </c>
      <c r="AO18" s="75" t="str">
        <f>IF(N18="","",IF(N18&gt;=$AO$1/100,"O","X"))</f>
        <v>X</v>
      </c>
      <c r="AP18" s="75" t="str">
        <f>IF(I18="","",IF(I18&lt;=$AP$1,"O","X"))</f>
        <v>O</v>
      </c>
      <c r="AQ18" s="75" t="str">
        <f>IF(O18="","",IF(O18&lt;=$AQ$1,"O","X"))</f>
        <v>O</v>
      </c>
      <c r="AR18" s="75" t="str">
        <f>IF(M18="","",IF(M18&lt;=$AR$1,"O","X"))</f>
        <v>X</v>
      </c>
      <c r="AS18" s="75" t="s">
        <v>2</v>
      </c>
      <c r="AT18" s="75" t="str">
        <f>IF(OR(F18="",AI18=""),"",IF(AND((F18&lt;=85),(AI18&gt;=15)),"O","X"))</f>
        <v>O</v>
      </c>
      <c r="AU18" s="75" t="str">
        <f>IF(C18="","",IF(C18&gt;=$AU$1,"O","X"))</f>
        <v>O</v>
      </c>
      <c r="AV18" s="75" t="str">
        <f>IF(AO18="","",IF(AND(AO18="O",AP18="O",AR18="O",AT18="O",AU18="O"),"후보","X"))</f>
        <v>X</v>
      </c>
    </row>
  </sheetData>
  <mergeCells count="1">
    <mergeCell ref="AJ1:AN1"/>
  </mergeCells>
  <phoneticPr fontId="2" type="noConversion"/>
  <conditionalFormatting sqref="AV4:AV6">
    <cfRule type="expression" dxfId="455" priority="164">
      <formula>AV4="X"</formula>
    </cfRule>
    <cfRule type="expression" dxfId="454" priority="165">
      <formula>AV4="후보"</formula>
    </cfRule>
  </conditionalFormatting>
  <conditionalFormatting sqref="AC1:AC2 AC4:AC6 N4:N5">
    <cfRule type="cellIs" dxfId="453" priority="161" operator="greaterThan">
      <formula>0.9</formula>
    </cfRule>
    <cfRule type="cellIs" dxfId="452" priority="162" operator="greaterThan">
      <formula>0.85</formula>
    </cfRule>
  </conditionalFormatting>
  <conditionalFormatting sqref="N1:N2">
    <cfRule type="cellIs" dxfId="451" priority="159" operator="greaterThan">
      <formula>0.9</formula>
    </cfRule>
    <cfRule type="cellIs" dxfId="450" priority="160" operator="greaterThan">
      <formula>0.85</formula>
    </cfRule>
  </conditionalFormatting>
  <conditionalFormatting sqref="N6">
    <cfRule type="cellIs" dxfId="449" priority="157" operator="greaterThan">
      <formula>0.9</formula>
    </cfRule>
    <cfRule type="cellIs" dxfId="448" priority="158" operator="greaterThan">
      <formula>0.85</formula>
    </cfRule>
  </conditionalFormatting>
  <conditionalFormatting sqref="E6">
    <cfRule type="expression" dxfId="447" priority="153">
      <formula>AND(IF(OR($Q6=1,$Q6=2),1,0),IF($X6&lt;=20,1,0))</formula>
    </cfRule>
    <cfRule type="expression" dxfId="446" priority="154">
      <formula>AND(IF($Q6=2,1,0),IF($X6&lt;30,1,0))</formula>
    </cfRule>
    <cfRule type="expression" dxfId="445" priority="155">
      <formula>AND(IF($Q6=3,1,0),IF($X6&lt;30,1,0))</formula>
    </cfRule>
    <cfRule type="expression" dxfId="444" priority="156">
      <formula>AND(IF($Q6=3,1,IF($Q6=4,1,0)),IF($F6&lt;=85,1,0))</formula>
    </cfRule>
  </conditionalFormatting>
  <conditionalFormatting sqref="X6">
    <cfRule type="expression" dxfId="443" priority="149">
      <formula>AND(IF(OR($Q6=1,$Q6=2),1,0),IF($X6&lt;=20,1,0))</formula>
    </cfRule>
    <cfRule type="expression" dxfId="442" priority="150">
      <formula>AND(IF($Q6=2,1,0),IF($X6&lt;30,1,0))</formula>
    </cfRule>
    <cfRule type="expression" dxfId="441" priority="151">
      <formula>AND(IF($Q6=3,1,0),IF($X6&lt;30,1,0))</formula>
    </cfRule>
    <cfRule type="expression" dxfId="440" priority="152">
      <formula>AND(IF($Q6=3,1,IF($Q6=4,1,0)),IF($F6&lt;=85,1,0))</formula>
    </cfRule>
  </conditionalFormatting>
  <conditionalFormatting sqref="AI6">
    <cfRule type="expression" dxfId="439" priority="145">
      <formula>AND(IF(OR($Q6=1,$Q6=2),1,0),IF($X6&lt;=20,1,0))</formula>
    </cfRule>
    <cfRule type="expression" dxfId="438" priority="146">
      <formula>AND(IF($Q6=2,1,0),IF($X6&lt;30,1,0))</formula>
    </cfRule>
    <cfRule type="expression" dxfId="437" priority="147">
      <formula>AND(IF($Q6=3,1,0),IF($X6&lt;30,1,0))</formula>
    </cfRule>
    <cfRule type="expression" dxfId="436" priority="148">
      <formula>AND(IF($Q6=3,1,IF($Q6=4,1,0)),IF($F6&lt;=85,1,0))</formula>
    </cfRule>
  </conditionalFormatting>
  <conditionalFormatting sqref="AV7">
    <cfRule type="expression" dxfId="435" priority="143">
      <formula>AV7="X"</formula>
    </cfRule>
    <cfRule type="expression" dxfId="434" priority="144">
      <formula>AV7="후보"</formula>
    </cfRule>
  </conditionalFormatting>
  <conditionalFormatting sqref="AC7 N7">
    <cfRule type="cellIs" dxfId="433" priority="140" operator="greaterThan">
      <formula>0.9</formula>
    </cfRule>
    <cfRule type="cellIs" dxfId="432" priority="141" operator="greaterThan">
      <formula>0.85</formula>
    </cfRule>
  </conditionalFormatting>
  <conditionalFormatting sqref="AV8">
    <cfRule type="expression" dxfId="431" priority="138">
      <formula>AV8="X"</formula>
    </cfRule>
    <cfRule type="expression" dxfId="430" priority="139">
      <formula>AV8="후보"</formula>
    </cfRule>
  </conditionalFormatting>
  <conditionalFormatting sqref="AC8">
    <cfRule type="cellIs" dxfId="429" priority="135" operator="greaterThan">
      <formula>0.9</formula>
    </cfRule>
    <cfRule type="cellIs" dxfId="428" priority="136" operator="greaterThan">
      <formula>0.85</formula>
    </cfRule>
  </conditionalFormatting>
  <conditionalFormatting sqref="N8">
    <cfRule type="cellIs" dxfId="427" priority="133" operator="greaterThan">
      <formula>0.9</formula>
    </cfRule>
    <cfRule type="cellIs" dxfId="426" priority="134" operator="greaterThan">
      <formula>0.85</formula>
    </cfRule>
  </conditionalFormatting>
  <conditionalFormatting sqref="E8">
    <cfRule type="expression" dxfId="425" priority="129">
      <formula>AND(IF(OR($Q8=1,$Q8=2),1,0),IF($X8&lt;=20,1,0))</formula>
    </cfRule>
    <cfRule type="expression" dxfId="424" priority="130">
      <formula>AND(IF($Q8=2,1,0),IF($X8&lt;30,1,0))</formula>
    </cfRule>
    <cfRule type="expression" dxfId="423" priority="131">
      <formula>AND(IF($Q8=3,1,0),IF($X8&lt;30,1,0))</formula>
    </cfRule>
    <cfRule type="expression" dxfId="422" priority="132">
      <formula>AND(IF($Q8=3,1,IF($Q8=4,1,0)),IF($F8&lt;=85,1,0))</formula>
    </cfRule>
  </conditionalFormatting>
  <conditionalFormatting sqref="X8">
    <cfRule type="expression" dxfId="421" priority="125">
      <formula>AND(IF(OR($Q8=1,$Q8=2),1,0),IF($X8&lt;=20,1,0))</formula>
    </cfRule>
    <cfRule type="expression" dxfId="420" priority="126">
      <formula>AND(IF($Q8=2,1,0),IF($X8&lt;30,1,0))</formula>
    </cfRule>
    <cfRule type="expression" dxfId="419" priority="127">
      <formula>AND(IF($Q8=3,1,0),IF($X8&lt;30,1,0))</formula>
    </cfRule>
    <cfRule type="expression" dxfId="418" priority="128">
      <formula>AND(IF($Q8=3,1,IF($Q8=4,1,0)),IF($F8&lt;=85,1,0))</formula>
    </cfRule>
  </conditionalFormatting>
  <conditionalFormatting sqref="AI8">
    <cfRule type="expression" dxfId="417" priority="121">
      <formula>AND(IF(OR($Q8=1,$Q8=2),1,0),IF($X8&lt;=20,1,0))</formula>
    </cfRule>
    <cfRule type="expression" dxfId="416" priority="122">
      <formula>AND(IF($Q8=2,1,0),IF($X8&lt;30,1,0))</formula>
    </cfRule>
    <cfRule type="expression" dxfId="415" priority="123">
      <formula>AND(IF($Q8=3,1,0),IF($X8&lt;30,1,0))</formula>
    </cfRule>
    <cfRule type="expression" dxfId="414" priority="124">
      <formula>AND(IF($Q8=3,1,IF($Q8=4,1,0)),IF($F8&lt;=85,1,0))</formula>
    </cfRule>
  </conditionalFormatting>
  <conditionalFormatting sqref="AV9">
    <cfRule type="expression" dxfId="413" priority="119">
      <formula>AV9="X"</formula>
    </cfRule>
    <cfRule type="expression" dxfId="412" priority="120">
      <formula>AV9="후보"</formula>
    </cfRule>
  </conditionalFormatting>
  <conditionalFormatting sqref="AC9 N9">
    <cfRule type="cellIs" dxfId="411" priority="116" operator="greaterThan">
      <formula>0.9</formula>
    </cfRule>
    <cfRule type="cellIs" dxfId="410" priority="117" operator="greaterThan">
      <formula>0.85</formula>
    </cfRule>
  </conditionalFormatting>
  <conditionalFormatting sqref="AV10">
    <cfRule type="expression" dxfId="409" priority="114">
      <formula>AV10="X"</formula>
    </cfRule>
    <cfRule type="expression" dxfId="408" priority="115">
      <formula>AV10="후보"</formula>
    </cfRule>
  </conditionalFormatting>
  <conditionalFormatting sqref="AC10">
    <cfRule type="cellIs" dxfId="407" priority="111" operator="greaterThan">
      <formula>0.9</formula>
    </cfRule>
    <cfRule type="cellIs" dxfId="406" priority="112" operator="greaterThan">
      <formula>0.85</formula>
    </cfRule>
  </conditionalFormatting>
  <conditionalFormatting sqref="N10">
    <cfRule type="cellIs" dxfId="405" priority="109" operator="greaterThan">
      <formula>0.9</formula>
    </cfRule>
    <cfRule type="cellIs" dxfId="404" priority="110" operator="greaterThan">
      <formula>0.85</formula>
    </cfRule>
  </conditionalFormatting>
  <conditionalFormatting sqref="E10">
    <cfRule type="expression" dxfId="403" priority="105">
      <formula>AND(IF(OR($Q10=1,$Q10=2),1,0),IF($X10&lt;=20,1,0))</formula>
    </cfRule>
    <cfRule type="expression" dxfId="402" priority="106">
      <formula>AND(IF($Q10=2,1,0),IF($X10&lt;30,1,0))</formula>
    </cfRule>
    <cfRule type="expression" dxfId="401" priority="107">
      <formula>AND(IF($Q10=3,1,0),IF($X10&lt;30,1,0))</formula>
    </cfRule>
    <cfRule type="expression" dxfId="400" priority="108">
      <formula>AND(IF($Q10=3,1,IF($Q10=4,1,0)),IF($F10&lt;=85,1,0))</formula>
    </cfRule>
  </conditionalFormatting>
  <conditionalFormatting sqref="X10">
    <cfRule type="expression" dxfId="399" priority="101">
      <formula>AND(IF(OR($Q10=1,$Q10=2),1,0),IF($X10&lt;=20,1,0))</formula>
    </cfRule>
    <cfRule type="expression" dxfId="398" priority="102">
      <formula>AND(IF($Q10=2,1,0),IF($X10&lt;30,1,0))</formula>
    </cfRule>
    <cfRule type="expression" dxfId="397" priority="103">
      <formula>AND(IF($Q10=3,1,0),IF($X10&lt;30,1,0))</formula>
    </cfRule>
    <cfRule type="expression" dxfId="396" priority="104">
      <formula>AND(IF($Q10=3,1,IF($Q10=4,1,0)),IF($F10&lt;=85,1,0))</formula>
    </cfRule>
  </conditionalFormatting>
  <conditionalFormatting sqref="AI10">
    <cfRule type="expression" dxfId="395" priority="97">
      <formula>AND(IF(OR($Q10=1,$Q10=2),1,0),IF($X10&lt;=20,1,0))</formula>
    </cfRule>
    <cfRule type="expression" dxfId="394" priority="98">
      <formula>AND(IF($Q10=2,1,0),IF($X10&lt;30,1,0))</formula>
    </cfRule>
    <cfRule type="expression" dxfId="393" priority="99">
      <formula>AND(IF($Q10=3,1,0),IF($X10&lt;30,1,0))</formula>
    </cfRule>
    <cfRule type="expression" dxfId="392" priority="100">
      <formula>AND(IF($Q10=3,1,IF($Q10=4,1,0)),IF($F10&lt;=85,1,0))</formula>
    </cfRule>
  </conditionalFormatting>
  <conditionalFormatting sqref="AV11">
    <cfRule type="expression" dxfId="391" priority="95">
      <formula>AV11="X"</formula>
    </cfRule>
    <cfRule type="expression" dxfId="390" priority="96">
      <formula>AV11="후보"</formula>
    </cfRule>
  </conditionalFormatting>
  <conditionalFormatting sqref="AC11 N11">
    <cfRule type="cellIs" dxfId="389" priority="92" operator="greaterThan">
      <formula>0.9</formula>
    </cfRule>
    <cfRule type="cellIs" dxfId="388" priority="93" operator="greaterThan">
      <formula>0.85</formula>
    </cfRule>
  </conditionalFormatting>
  <conditionalFormatting sqref="AV12">
    <cfRule type="expression" dxfId="387" priority="90">
      <formula>AV12="X"</formula>
    </cfRule>
    <cfRule type="expression" dxfId="386" priority="91">
      <formula>AV12="후보"</formula>
    </cfRule>
  </conditionalFormatting>
  <conditionalFormatting sqref="AC12">
    <cfRule type="cellIs" dxfId="385" priority="87" operator="greaterThan">
      <formula>0.9</formula>
    </cfRule>
    <cfRule type="cellIs" dxfId="384" priority="88" operator="greaterThan">
      <formula>0.85</formula>
    </cfRule>
  </conditionalFormatting>
  <conditionalFormatting sqref="N12">
    <cfRule type="cellIs" dxfId="383" priority="85" operator="greaterThan">
      <formula>0.9</formula>
    </cfRule>
    <cfRule type="cellIs" dxfId="382" priority="86" operator="greaterThan">
      <formula>0.85</formula>
    </cfRule>
  </conditionalFormatting>
  <conditionalFormatting sqref="E12">
    <cfRule type="expression" dxfId="381" priority="81">
      <formula>AND(IF(OR($Q12=1,$Q12=2),1,0),IF($X12&lt;=20,1,0))</formula>
    </cfRule>
    <cfRule type="expression" dxfId="380" priority="82">
      <formula>AND(IF($Q12=2,1,0),IF($X12&lt;30,1,0))</formula>
    </cfRule>
    <cfRule type="expression" dxfId="379" priority="83">
      <formula>AND(IF($Q12=3,1,0),IF($X12&lt;30,1,0))</formula>
    </cfRule>
    <cfRule type="expression" dxfId="378" priority="84">
      <formula>AND(IF($Q12=3,1,IF($Q12=4,1,0)),IF($F12&lt;=85,1,0))</formula>
    </cfRule>
  </conditionalFormatting>
  <conditionalFormatting sqref="X12">
    <cfRule type="expression" dxfId="377" priority="77">
      <formula>AND(IF(OR($Q12=1,$Q12=2),1,0),IF($X12&lt;=20,1,0))</formula>
    </cfRule>
    <cfRule type="expression" dxfId="376" priority="78">
      <formula>AND(IF($Q12=2,1,0),IF($X12&lt;30,1,0))</formula>
    </cfRule>
    <cfRule type="expression" dxfId="375" priority="79">
      <formula>AND(IF($Q12=3,1,0),IF($X12&lt;30,1,0))</formula>
    </cfRule>
    <cfRule type="expression" dxfId="374" priority="80">
      <formula>AND(IF($Q12=3,1,IF($Q12=4,1,0)),IF($F12&lt;=85,1,0))</formula>
    </cfRule>
  </conditionalFormatting>
  <conditionalFormatting sqref="AI12">
    <cfRule type="expression" dxfId="373" priority="73">
      <formula>AND(IF(OR($Q12=1,$Q12=2),1,0),IF($X12&lt;=20,1,0))</formula>
    </cfRule>
    <cfRule type="expression" dxfId="372" priority="74">
      <formula>AND(IF($Q12=2,1,0),IF($X12&lt;30,1,0))</formula>
    </cfRule>
    <cfRule type="expression" dxfId="371" priority="75">
      <formula>AND(IF($Q12=3,1,0),IF($X12&lt;30,1,0))</formula>
    </cfRule>
    <cfRule type="expression" dxfId="370" priority="76">
      <formula>AND(IF($Q12=3,1,IF($Q12=4,1,0)),IF($F12&lt;=85,1,0))</formula>
    </cfRule>
  </conditionalFormatting>
  <conditionalFormatting sqref="AV13">
    <cfRule type="expression" dxfId="369" priority="71">
      <formula>AV13="X"</formula>
    </cfRule>
    <cfRule type="expression" dxfId="368" priority="72">
      <formula>AV13="후보"</formula>
    </cfRule>
  </conditionalFormatting>
  <conditionalFormatting sqref="AC13 N13">
    <cfRule type="cellIs" dxfId="367" priority="68" operator="greaterThan">
      <formula>0.9</formula>
    </cfRule>
    <cfRule type="cellIs" dxfId="366" priority="69" operator="greaterThan">
      <formula>0.85</formula>
    </cfRule>
  </conditionalFormatting>
  <conditionalFormatting sqref="AV14">
    <cfRule type="expression" dxfId="365" priority="66">
      <formula>AV14="X"</formula>
    </cfRule>
    <cfRule type="expression" dxfId="364" priority="67">
      <formula>AV14="후보"</formula>
    </cfRule>
  </conditionalFormatting>
  <conditionalFormatting sqref="AC14">
    <cfRule type="cellIs" dxfId="363" priority="63" operator="greaterThan">
      <formula>0.9</formula>
    </cfRule>
    <cfRule type="cellIs" dxfId="362" priority="64" operator="greaterThan">
      <formula>0.85</formula>
    </cfRule>
  </conditionalFormatting>
  <conditionalFormatting sqref="N14">
    <cfRule type="cellIs" dxfId="361" priority="61" operator="greaterThan">
      <formula>0.9</formula>
    </cfRule>
    <cfRule type="cellIs" dxfId="360" priority="62" operator="greaterThan">
      <formula>0.85</formula>
    </cfRule>
  </conditionalFormatting>
  <conditionalFormatting sqref="E14">
    <cfRule type="expression" dxfId="359" priority="57">
      <formula>AND(IF(OR($Q14=1,$Q14=2),1,0),IF($X14&lt;=20,1,0))</formula>
    </cfRule>
    <cfRule type="expression" dxfId="358" priority="58">
      <formula>AND(IF($Q14=2,1,0),IF($X14&lt;30,1,0))</formula>
    </cfRule>
    <cfRule type="expression" dxfId="357" priority="59">
      <formula>AND(IF($Q14=3,1,0),IF($X14&lt;30,1,0))</formula>
    </cfRule>
    <cfRule type="expression" dxfId="356" priority="60">
      <formula>AND(IF($Q14=3,1,IF($Q14=4,1,0)),IF($F14&lt;=85,1,0))</formula>
    </cfRule>
  </conditionalFormatting>
  <conditionalFormatting sqref="X14">
    <cfRule type="expression" dxfId="355" priority="53">
      <formula>AND(IF(OR($Q14=1,$Q14=2),1,0),IF($X14&lt;=20,1,0))</formula>
    </cfRule>
    <cfRule type="expression" dxfId="354" priority="54">
      <formula>AND(IF($Q14=2,1,0),IF($X14&lt;30,1,0))</formula>
    </cfRule>
    <cfRule type="expression" dxfId="353" priority="55">
      <formula>AND(IF($Q14=3,1,0),IF($X14&lt;30,1,0))</formula>
    </cfRule>
    <cfRule type="expression" dxfId="352" priority="56">
      <formula>AND(IF($Q14=3,1,IF($Q14=4,1,0)),IF($F14&lt;=85,1,0))</formula>
    </cfRule>
  </conditionalFormatting>
  <conditionalFormatting sqref="AI14">
    <cfRule type="expression" dxfId="351" priority="49">
      <formula>AND(IF(OR($Q14=1,$Q14=2),1,0),IF($X14&lt;=20,1,0))</formula>
    </cfRule>
    <cfRule type="expression" dxfId="350" priority="50">
      <formula>AND(IF($Q14=2,1,0),IF($X14&lt;30,1,0))</formula>
    </cfRule>
    <cfRule type="expression" dxfId="349" priority="51">
      <formula>AND(IF($Q14=3,1,0),IF($X14&lt;30,1,0))</formula>
    </cfRule>
    <cfRule type="expression" dxfId="348" priority="52">
      <formula>AND(IF($Q14=3,1,IF($Q14=4,1,0)),IF($F14&lt;=85,1,0))</formula>
    </cfRule>
  </conditionalFormatting>
  <conditionalFormatting sqref="AV15">
    <cfRule type="expression" dxfId="347" priority="47">
      <formula>AV15="X"</formula>
    </cfRule>
    <cfRule type="expression" dxfId="346" priority="48">
      <formula>AV15="후보"</formula>
    </cfRule>
  </conditionalFormatting>
  <conditionalFormatting sqref="AC15 N15">
    <cfRule type="cellIs" dxfId="345" priority="44" operator="greaterThan">
      <formula>0.9</formula>
    </cfRule>
    <cfRule type="cellIs" dxfId="344" priority="45" operator="greaterThan">
      <formula>0.85</formula>
    </cfRule>
  </conditionalFormatting>
  <conditionalFormatting sqref="AV16">
    <cfRule type="expression" dxfId="343" priority="42">
      <formula>AV16="X"</formula>
    </cfRule>
    <cfRule type="expression" dxfId="342" priority="43">
      <formula>AV16="후보"</formula>
    </cfRule>
  </conditionalFormatting>
  <conditionalFormatting sqref="AC16">
    <cfRule type="cellIs" dxfId="341" priority="39" operator="greaterThan">
      <formula>0.9</formula>
    </cfRule>
    <cfRule type="cellIs" dxfId="340" priority="40" operator="greaterThan">
      <formula>0.85</formula>
    </cfRule>
  </conditionalFormatting>
  <conditionalFormatting sqref="N16">
    <cfRule type="cellIs" dxfId="339" priority="37" operator="greaterThan">
      <formula>0.9</formula>
    </cfRule>
    <cfRule type="cellIs" dxfId="338" priority="38" operator="greaterThan">
      <formula>0.85</formula>
    </cfRule>
  </conditionalFormatting>
  <conditionalFormatting sqref="E16">
    <cfRule type="expression" dxfId="337" priority="33">
      <formula>AND(IF(OR($Q16=1,$Q16=2),1,0),IF($X16&lt;=20,1,0))</formula>
    </cfRule>
    <cfRule type="expression" dxfId="336" priority="34">
      <formula>AND(IF($Q16=2,1,0),IF($X16&lt;30,1,0))</formula>
    </cfRule>
    <cfRule type="expression" dxfId="335" priority="35">
      <formula>AND(IF($Q16=3,1,0),IF($X16&lt;30,1,0))</formula>
    </cfRule>
    <cfRule type="expression" dxfId="334" priority="36">
      <formula>AND(IF($Q16=3,1,IF($Q16=4,1,0)),IF($F16&lt;=85,1,0))</formula>
    </cfRule>
  </conditionalFormatting>
  <conditionalFormatting sqref="X16">
    <cfRule type="expression" dxfId="333" priority="29">
      <formula>AND(IF(OR($Q16=1,$Q16=2),1,0),IF($X16&lt;=20,1,0))</formula>
    </cfRule>
    <cfRule type="expression" dxfId="332" priority="30">
      <formula>AND(IF($Q16=2,1,0),IF($X16&lt;30,1,0))</formula>
    </cfRule>
    <cfRule type="expression" dxfId="331" priority="31">
      <formula>AND(IF($Q16=3,1,0),IF($X16&lt;30,1,0))</formula>
    </cfRule>
    <cfRule type="expression" dxfId="330" priority="32">
      <formula>AND(IF($Q16=3,1,IF($Q16=4,1,0)),IF($F16&lt;=85,1,0))</formula>
    </cfRule>
  </conditionalFormatting>
  <conditionalFormatting sqref="AI16">
    <cfRule type="expression" dxfId="329" priority="25">
      <formula>AND(IF(OR($Q16=1,$Q16=2),1,0),IF($X16&lt;=20,1,0))</formula>
    </cfRule>
    <cfRule type="expression" dxfId="328" priority="26">
      <formula>AND(IF($Q16=2,1,0),IF($X16&lt;30,1,0))</formula>
    </cfRule>
    <cfRule type="expression" dxfId="327" priority="27">
      <formula>AND(IF($Q16=3,1,0),IF($X16&lt;30,1,0))</formula>
    </cfRule>
    <cfRule type="expression" dxfId="326" priority="28">
      <formula>AND(IF($Q16=3,1,IF($Q16=4,1,0)),IF($F16&lt;=85,1,0))</formula>
    </cfRule>
  </conditionalFormatting>
  <conditionalFormatting sqref="AV17">
    <cfRule type="expression" dxfId="325" priority="23">
      <formula>AV17="X"</formula>
    </cfRule>
    <cfRule type="expression" dxfId="324" priority="24">
      <formula>AV17="후보"</formula>
    </cfRule>
  </conditionalFormatting>
  <conditionalFormatting sqref="AC17 N17">
    <cfRule type="cellIs" dxfId="323" priority="20" operator="greaterThan">
      <formula>0.9</formula>
    </cfRule>
    <cfRule type="cellIs" dxfId="322" priority="21" operator="greaterThan">
      <formula>0.85</formula>
    </cfRule>
  </conditionalFormatting>
  <conditionalFormatting sqref="AV18">
    <cfRule type="expression" dxfId="321" priority="18">
      <formula>AV18="X"</formula>
    </cfRule>
    <cfRule type="expression" dxfId="320" priority="19">
      <formula>AV18="후보"</formula>
    </cfRule>
  </conditionalFormatting>
  <conditionalFormatting sqref="AC18">
    <cfRule type="cellIs" dxfId="319" priority="15" operator="greaterThan">
      <formula>0.9</formula>
    </cfRule>
    <cfRule type="cellIs" dxfId="318" priority="16" operator="greaterThan">
      <formula>0.85</formula>
    </cfRule>
  </conditionalFormatting>
  <conditionalFormatting sqref="N18">
    <cfRule type="cellIs" dxfId="317" priority="13" operator="greaterThan">
      <formula>0.9</formula>
    </cfRule>
    <cfRule type="cellIs" dxfId="316" priority="14" operator="greaterThan">
      <formula>0.85</formula>
    </cfRule>
  </conditionalFormatting>
  <conditionalFormatting sqref="E18">
    <cfRule type="expression" dxfId="315" priority="9">
      <formula>AND(IF(OR($Q18=1,$Q18=2),1,0),IF($X18&lt;=20,1,0))</formula>
    </cfRule>
    <cfRule type="expression" dxfId="314" priority="10">
      <formula>AND(IF($Q18=2,1,0),IF($X18&lt;30,1,0))</formula>
    </cfRule>
    <cfRule type="expression" dxfId="313" priority="11">
      <formula>AND(IF($Q18=3,1,0),IF($X18&lt;30,1,0))</formula>
    </cfRule>
    <cfRule type="expression" dxfId="312" priority="12">
      <formula>AND(IF($Q18=3,1,IF($Q18=4,1,0)),IF($F18&lt;=85,1,0))</formula>
    </cfRule>
  </conditionalFormatting>
  <conditionalFormatting sqref="X18">
    <cfRule type="expression" dxfId="311" priority="5">
      <formula>AND(IF(OR($Q18=1,$Q18=2),1,0),IF($X18&lt;=20,1,0))</formula>
    </cfRule>
    <cfRule type="expression" dxfId="310" priority="6">
      <formula>AND(IF($Q18=2,1,0),IF($X18&lt;30,1,0))</formula>
    </cfRule>
    <cfRule type="expression" dxfId="309" priority="7">
      <formula>AND(IF($Q18=3,1,0),IF($X18&lt;30,1,0))</formula>
    </cfRule>
    <cfRule type="expression" dxfId="308" priority="8">
      <formula>AND(IF($Q18=3,1,IF($Q18=4,1,0)),IF($F18&lt;=85,1,0))</formula>
    </cfRule>
  </conditionalFormatting>
  <conditionalFormatting sqref="AI18">
    <cfRule type="expression" dxfId="307" priority="1">
      <formula>AND(IF(OR($Q18=1,$Q18=2),1,0),IF($X18&lt;=20,1,0))</formula>
    </cfRule>
    <cfRule type="expression" dxfId="306" priority="2">
      <formula>AND(IF($Q18=2,1,0),IF($X18&lt;30,1,0))</formula>
    </cfRule>
    <cfRule type="expression" dxfId="305" priority="3">
      <formula>AND(IF($Q18=3,1,0),IF($X18&lt;30,1,0))</formula>
    </cfRule>
    <cfRule type="expression" dxfId="304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319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명륜동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320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320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376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>IF(E4="","",E4)</f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명륜동 원주더샵센트럴파크2단지('22.01.,838^)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>IF(A5="","",A5)</f>
        <v/>
      </c>
      <c r="AI5" s="103" t="str">
        <f>IF(E5="","",E5)</f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270</v>
      </c>
      <c r="B6" s="10" t="s">
        <v>377</v>
      </c>
      <c r="C6" s="107">
        <v>838</v>
      </c>
      <c r="D6" s="104">
        <v>109</v>
      </c>
      <c r="E6" s="106">
        <v>33</v>
      </c>
      <c r="F6" s="104">
        <v>85</v>
      </c>
      <c r="G6" s="17">
        <v>26</v>
      </c>
      <c r="H6" s="107">
        <v>483</v>
      </c>
      <c r="I6" s="108">
        <v>49600</v>
      </c>
      <c r="J6" s="108" t="s">
        <v>361</v>
      </c>
      <c r="K6" s="108">
        <v>26000</v>
      </c>
      <c r="L6" s="108" t="s">
        <v>344</v>
      </c>
      <c r="M6" s="109">
        <f>I6-K6</f>
        <v>23600</v>
      </c>
      <c r="N6" s="4">
        <f>IF(ISERROR(K6/I6),"",K6/I6)</f>
        <v>0.52419354838709675</v>
      </c>
      <c r="O6" s="105">
        <f>I6/E6</f>
        <v>1503.030303030303</v>
      </c>
      <c r="P6" s="105">
        <f>K6/E6</f>
        <v>787.87878787878788</v>
      </c>
      <c r="Q6" s="75">
        <v>2</v>
      </c>
      <c r="R6" s="75">
        <v>1</v>
      </c>
      <c r="S6" s="75" t="s">
        <v>355</v>
      </c>
      <c r="T6" s="5">
        <v>51</v>
      </c>
      <c r="U6" s="9"/>
      <c r="W6" s="104">
        <f>D6</f>
        <v>109</v>
      </c>
      <c r="X6" s="106">
        <f>E6</f>
        <v>33</v>
      </c>
      <c r="Y6" s="102">
        <f>H6</f>
        <v>483</v>
      </c>
      <c r="Z6" s="109">
        <f>I6</f>
        <v>49600</v>
      </c>
      <c r="AA6" s="109">
        <f>K6</f>
        <v>26000</v>
      </c>
      <c r="AB6" s="109">
        <f>M6</f>
        <v>23600</v>
      </c>
      <c r="AC6" s="4">
        <f>N6</f>
        <v>0.52419354838709675</v>
      </c>
      <c r="AD6" s="105">
        <f>O6</f>
        <v>1503.030303030303</v>
      </c>
      <c r="AE6" s="75" t="str">
        <f>S6</f>
        <v>복</v>
      </c>
      <c r="AF6" s="75" t="str">
        <f>Q6&amp;"/"&amp;R6</f>
        <v>2/1</v>
      </c>
      <c r="AH6" s="20" t="str">
        <f>IF(A6="","",A6)</f>
        <v>원주더샵센트럴파크2단지</v>
      </c>
      <c r="AI6" s="106">
        <f>IF(E6="","",E6)</f>
        <v>33</v>
      </c>
      <c r="AJ6" s="75" t="str">
        <f>IF(AI6="","",$AJ$2)</f>
        <v>A-</v>
      </c>
      <c r="AK6" s="75" t="s">
        <v>13</v>
      </c>
      <c r="AL6" s="75" t="s">
        <v>325</v>
      </c>
      <c r="AM6" s="75" t="s">
        <v>326</v>
      </c>
      <c r="AN6" s="75" t="str">
        <f>IF(AI6="","",$AN$2)</f>
        <v>C</v>
      </c>
      <c r="AO6" s="75" t="str">
        <f>IF(N6="","",IF(N6&gt;=$AO$1/100,"O","X"))</f>
        <v>X</v>
      </c>
      <c r="AP6" s="75" t="str">
        <f>IF(I6="","",IF(I6&lt;=$AP$1,"O","X"))</f>
        <v>X</v>
      </c>
      <c r="AQ6" s="75" t="str">
        <f>IF(O6="","",IF(O6&lt;=$AQ$1,"O","X"))</f>
        <v>X</v>
      </c>
      <c r="AR6" s="75" t="str">
        <f>IF(M6="","",IF(M6&lt;=$AR$1,"O","X"))</f>
        <v>X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X</v>
      </c>
    </row>
  </sheetData>
  <mergeCells count="1">
    <mergeCell ref="AJ1:AN1"/>
  </mergeCells>
  <phoneticPr fontId="2" type="noConversion"/>
  <conditionalFormatting sqref="AV4:AV6">
    <cfRule type="expression" dxfId="303" priority="20">
      <formula>AV4="X"</formula>
    </cfRule>
    <cfRule type="expression" dxfId="302" priority="21">
      <formula>AV4="후보"</formula>
    </cfRule>
  </conditionalFormatting>
  <conditionalFormatting sqref="AC1:AC2 AC4:AC6 N4:N5">
    <cfRule type="cellIs" dxfId="301" priority="17" operator="greaterThan">
      <formula>0.9</formula>
    </cfRule>
    <cfRule type="cellIs" dxfId="300" priority="18" operator="greaterThan">
      <formula>0.85</formula>
    </cfRule>
  </conditionalFormatting>
  <conditionalFormatting sqref="N1:N2">
    <cfRule type="cellIs" dxfId="299" priority="15" operator="greaterThan">
      <formula>0.9</formula>
    </cfRule>
    <cfRule type="cellIs" dxfId="298" priority="16" operator="greaterThan">
      <formula>0.85</formula>
    </cfRule>
  </conditionalFormatting>
  <conditionalFormatting sqref="N6">
    <cfRule type="cellIs" dxfId="297" priority="13" operator="greaterThan">
      <formula>0.9</formula>
    </cfRule>
    <cfRule type="cellIs" dxfId="296" priority="14" operator="greaterThan">
      <formula>0.85</formula>
    </cfRule>
  </conditionalFormatting>
  <conditionalFormatting sqref="E6">
    <cfRule type="expression" dxfId="295" priority="9">
      <formula>AND(IF(OR($Q6=1,$Q6=2),1,0),IF($X6&lt;=20,1,0))</formula>
    </cfRule>
    <cfRule type="expression" dxfId="294" priority="10">
      <formula>AND(IF($Q6=2,1,0),IF($X6&lt;30,1,0))</formula>
    </cfRule>
    <cfRule type="expression" dxfId="293" priority="11">
      <formula>AND(IF($Q6=3,1,0),IF($X6&lt;30,1,0))</formula>
    </cfRule>
    <cfRule type="expression" dxfId="292" priority="12">
      <formula>AND(IF($Q6=3,1,IF($Q6=4,1,0)),IF($F6&lt;=85,1,0))</formula>
    </cfRule>
  </conditionalFormatting>
  <conditionalFormatting sqref="X6">
    <cfRule type="expression" dxfId="291" priority="5">
      <formula>AND(IF(OR($Q6=1,$Q6=2),1,0),IF($X6&lt;=20,1,0))</formula>
    </cfRule>
    <cfRule type="expression" dxfId="290" priority="6">
      <formula>AND(IF($Q6=2,1,0),IF($X6&lt;30,1,0))</formula>
    </cfRule>
    <cfRule type="expression" dxfId="289" priority="7">
      <formula>AND(IF($Q6=3,1,0),IF($X6&lt;30,1,0))</formula>
    </cfRule>
    <cfRule type="expression" dxfId="288" priority="8">
      <formula>AND(IF($Q6=3,1,IF($Q6=4,1,0)),IF($F6&lt;=85,1,0))</formula>
    </cfRule>
  </conditionalFormatting>
  <conditionalFormatting sqref="AI6">
    <cfRule type="expression" dxfId="287" priority="1">
      <formula>AND(IF(OR($Q6=1,$Q6=2),1,0),IF($X6&lt;=20,1,0))</formula>
    </cfRule>
    <cfRule type="expression" dxfId="286" priority="2">
      <formula>AND(IF($Q6=2,1,0),IF($X6&lt;30,1,0))</formula>
    </cfRule>
    <cfRule type="expression" dxfId="285" priority="3">
      <formula>AND(IF($Q6=3,1,0),IF($X6&lt;30,1,0))</formula>
    </cfRule>
    <cfRule type="expression" dxfId="28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319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단구동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320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320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196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단구동 원주단구내안애카운티에듀파크2단지('20.06.,348^)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0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ht="24" x14ac:dyDescent="0.3">
      <c r="A6" s="9" t="s">
        <v>276</v>
      </c>
      <c r="B6" s="10" t="s">
        <v>338</v>
      </c>
      <c r="C6" s="107">
        <v>348</v>
      </c>
      <c r="D6" s="104">
        <v>108.3</v>
      </c>
      <c r="E6" s="106">
        <v>33</v>
      </c>
      <c r="F6" s="104">
        <v>84.9</v>
      </c>
      <c r="G6" s="17">
        <v>26</v>
      </c>
      <c r="H6" s="107">
        <v>203</v>
      </c>
      <c r="I6" s="108">
        <v>39000</v>
      </c>
      <c r="J6" s="108" t="s">
        <v>349</v>
      </c>
      <c r="K6" s="108">
        <v>30000</v>
      </c>
      <c r="L6" s="108" t="s">
        <v>349</v>
      </c>
      <c r="M6" s="109">
        <f>I6-K6</f>
        <v>9000</v>
      </c>
      <c r="N6" s="4">
        <f>IF(ISERROR(K6/I6),"",K6/I6)</f>
        <v>0.76923076923076927</v>
      </c>
      <c r="O6" s="105">
        <f>I6/E6</f>
        <v>1181.8181818181818</v>
      </c>
      <c r="P6" s="105">
        <f>K6/E6</f>
        <v>909.09090909090912</v>
      </c>
      <c r="Q6" s="75">
        <v>3</v>
      </c>
      <c r="R6" s="75">
        <v>1</v>
      </c>
      <c r="S6" s="75" t="s">
        <v>324</v>
      </c>
      <c r="T6" s="5">
        <v>61</v>
      </c>
      <c r="U6" s="9"/>
      <c r="W6" s="104">
        <f>D6</f>
        <v>108.3</v>
      </c>
      <c r="X6" s="106">
        <f>E6</f>
        <v>33</v>
      </c>
      <c r="Y6" s="102">
        <f>H6</f>
        <v>203</v>
      </c>
      <c r="Z6" s="109">
        <f>I6</f>
        <v>39000</v>
      </c>
      <c r="AA6" s="109">
        <f>K6</f>
        <v>30000</v>
      </c>
      <c r="AB6" s="109">
        <f>M6</f>
        <v>9000</v>
      </c>
      <c r="AC6" s="4">
        <f>N6</f>
        <v>0.76923076923076927</v>
      </c>
      <c r="AD6" s="105">
        <f>O6</f>
        <v>1181.8181818181818</v>
      </c>
      <c r="AE6" s="75" t="str">
        <f>S6</f>
        <v>계</v>
      </c>
      <c r="AF6" s="75" t="str">
        <f>Q6&amp;"/"&amp;R6</f>
        <v>3/1</v>
      </c>
      <c r="AH6" s="20" t="str">
        <f t="shared" si="1"/>
        <v>원주단구내안애카운티에듀파크2단지</v>
      </c>
      <c r="AI6" s="106">
        <f t="shared" si="0"/>
        <v>33</v>
      </c>
      <c r="AJ6" s="75" t="str">
        <f>IF(AI6="","",$AJ$2)</f>
        <v>A-</v>
      </c>
      <c r="AK6" s="75" t="s">
        <v>13</v>
      </c>
      <c r="AL6" s="75" t="s">
        <v>325</v>
      </c>
      <c r="AM6" s="75" t="s">
        <v>326</v>
      </c>
      <c r="AN6" s="75" t="str">
        <f>IF(AI6="","",$AN$2)</f>
        <v>C</v>
      </c>
      <c r="AO6" s="75" t="str">
        <f>IF(N6="","",IF(N6&gt;=$AO$1/100,"O","X"))</f>
        <v>X</v>
      </c>
      <c r="AP6" s="75" t="str">
        <f>IF(I6="","",IF(I6&lt;=$AP$1,"O","X"))</f>
        <v>O</v>
      </c>
      <c r="AQ6" s="75" t="str">
        <f>IF(O6="","",IF(O6&lt;=$AQ$1,"O","X"))</f>
        <v>O</v>
      </c>
      <c r="AR6" s="75" t="str">
        <f>IF(M6="","",IF(M6&lt;=$AR$1,"O","X"))</f>
        <v>X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X</v>
      </c>
    </row>
    <row r="7" spans="1:48" x14ac:dyDescent="0.3">
      <c r="A7" s="9"/>
      <c r="B7" s="75"/>
      <c r="C7" s="6"/>
      <c r="D7" s="9"/>
      <c r="E7" s="14"/>
      <c r="F7" s="104"/>
      <c r="G7" s="9"/>
      <c r="H7" s="9"/>
      <c r="I7" s="9"/>
      <c r="J7" s="9"/>
      <c r="K7" s="9"/>
      <c r="L7" s="9"/>
      <c r="M7" s="9"/>
      <c r="N7" s="9"/>
      <c r="O7" s="105"/>
      <c r="P7" s="105"/>
      <c r="Q7" s="106"/>
      <c r="R7" s="106"/>
      <c r="S7" s="9"/>
      <c r="T7" s="48"/>
      <c r="U7" s="9"/>
      <c r="W7" s="70" t="str">
        <f>$A$4&amp;" "&amp;A8&amp;"("&amp;B8&amp;","&amp;C8&amp;"^)"</f>
        <v>단구동 원주단구내안애카운티에듀파크1단지('20.06.,571^)</v>
      </c>
      <c r="X7" s="71"/>
      <c r="Y7" s="71"/>
      <c r="Z7" s="71"/>
      <c r="AA7" s="71"/>
      <c r="AB7" s="71"/>
      <c r="AC7" s="71"/>
      <c r="AD7" s="71"/>
      <c r="AE7" s="71"/>
      <c r="AF7" s="72"/>
      <c r="AH7" s="20" t="str">
        <f t="shared" si="1"/>
        <v/>
      </c>
      <c r="AI7" s="103" t="str">
        <f t="shared" si="0"/>
        <v/>
      </c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</row>
    <row r="8" spans="1:48" ht="24" x14ac:dyDescent="0.3">
      <c r="A8" s="9" t="s">
        <v>280</v>
      </c>
      <c r="B8" s="10" t="s">
        <v>338</v>
      </c>
      <c r="C8" s="107">
        <v>571</v>
      </c>
      <c r="D8" s="104">
        <v>107.3</v>
      </c>
      <c r="E8" s="106">
        <v>32</v>
      </c>
      <c r="F8" s="104">
        <v>84.9</v>
      </c>
      <c r="G8" s="17">
        <v>26</v>
      </c>
      <c r="H8" s="107">
        <v>421</v>
      </c>
      <c r="I8" s="108">
        <v>35000</v>
      </c>
      <c r="J8" s="108" t="s">
        <v>336</v>
      </c>
      <c r="K8" s="108">
        <v>28000</v>
      </c>
      <c r="L8" s="108" t="s">
        <v>323</v>
      </c>
      <c r="M8" s="109">
        <f>I8-K8</f>
        <v>7000</v>
      </c>
      <c r="N8" s="4">
        <f>IF(ISERROR(K8/I8),"",K8/I8)</f>
        <v>0.8</v>
      </c>
      <c r="O8" s="105">
        <f>I8/E8</f>
        <v>1093.75</v>
      </c>
      <c r="P8" s="105">
        <f>K8/E8</f>
        <v>875</v>
      </c>
      <c r="Q8" s="75">
        <v>3</v>
      </c>
      <c r="R8" s="75">
        <v>2</v>
      </c>
      <c r="S8" s="75" t="s">
        <v>324</v>
      </c>
      <c r="T8" s="5">
        <v>158</v>
      </c>
      <c r="U8" s="9"/>
      <c r="W8" s="104">
        <f>D8</f>
        <v>107.3</v>
      </c>
      <c r="X8" s="106">
        <f>E8</f>
        <v>32</v>
      </c>
      <c r="Y8" s="102">
        <f>H8</f>
        <v>421</v>
      </c>
      <c r="Z8" s="109">
        <f>I8</f>
        <v>35000</v>
      </c>
      <c r="AA8" s="109">
        <f>K8</f>
        <v>28000</v>
      </c>
      <c r="AB8" s="109">
        <f>M8</f>
        <v>7000</v>
      </c>
      <c r="AC8" s="4">
        <f>N8</f>
        <v>0.8</v>
      </c>
      <c r="AD8" s="105">
        <f>O8</f>
        <v>1093.75</v>
      </c>
      <c r="AE8" s="75" t="str">
        <f>S8</f>
        <v>계</v>
      </c>
      <c r="AF8" s="75" t="str">
        <f>Q8&amp;"/"&amp;R8</f>
        <v>3/2</v>
      </c>
      <c r="AH8" s="20" t="str">
        <f t="shared" si="1"/>
        <v>원주단구내안애카운티에듀파크1단지</v>
      </c>
      <c r="AI8" s="106">
        <f t="shared" si="0"/>
        <v>32</v>
      </c>
      <c r="AJ8" s="75" t="str">
        <f>IF(AI8="","",$AJ$2)</f>
        <v>A-</v>
      </c>
      <c r="AK8" s="75" t="s">
        <v>13</v>
      </c>
      <c r="AL8" s="75" t="s">
        <v>325</v>
      </c>
      <c r="AM8" s="75" t="s">
        <v>326</v>
      </c>
      <c r="AN8" s="75" t="str">
        <f>IF(AI8="","",$AN$2)</f>
        <v>C</v>
      </c>
      <c r="AO8" s="75" t="str">
        <f>IF(N8="","",IF(N8&gt;=$AO$1/100,"O","X"))</f>
        <v>O</v>
      </c>
      <c r="AP8" s="75" t="str">
        <f>IF(I8="","",IF(I8&lt;=$AP$1,"O","X"))</f>
        <v>O</v>
      </c>
      <c r="AQ8" s="75" t="str">
        <f>IF(O8="","",IF(O8&lt;=$AQ$1,"O","X"))</f>
        <v>O</v>
      </c>
      <c r="AR8" s="75" t="str">
        <f>IF(M8="","",IF(M8&lt;=$AR$1,"O","X"))</f>
        <v>X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>X</v>
      </c>
    </row>
    <row r="9" spans="1:48" x14ac:dyDescent="0.3">
      <c r="A9" s="9"/>
      <c r="B9" s="75"/>
      <c r="C9" s="6"/>
      <c r="D9" s="9"/>
      <c r="E9" s="14"/>
      <c r="F9" s="104"/>
      <c r="G9" s="9"/>
      <c r="H9" s="9"/>
      <c r="I9" s="9"/>
      <c r="J9" s="9"/>
      <c r="K9" s="9"/>
      <c r="L9" s="9"/>
      <c r="M9" s="9"/>
      <c r="N9" s="9"/>
      <c r="O9" s="105"/>
      <c r="P9" s="105"/>
      <c r="Q9" s="106"/>
      <c r="R9" s="106"/>
      <c r="S9" s="9"/>
      <c r="T9" s="48"/>
      <c r="U9" s="9"/>
      <c r="W9" s="70" t="str">
        <f>$A$4&amp;" "&amp;A10&amp;"("&amp;B10&amp;","&amp;C10&amp;"^)"</f>
        <v>단구동 단구한신더휴('17.11.,724^)</v>
      </c>
      <c r="X9" s="71"/>
      <c r="Y9" s="71"/>
      <c r="Z9" s="71"/>
      <c r="AA9" s="71"/>
      <c r="AB9" s="71"/>
      <c r="AC9" s="71"/>
      <c r="AD9" s="71"/>
      <c r="AE9" s="71"/>
      <c r="AF9" s="72"/>
      <c r="AH9" s="20" t="str">
        <f t="shared" si="1"/>
        <v/>
      </c>
      <c r="AI9" s="103" t="str">
        <f t="shared" si="0"/>
        <v/>
      </c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</row>
    <row r="10" spans="1:48" x14ac:dyDescent="0.3">
      <c r="A10" s="9" t="s">
        <v>284</v>
      </c>
      <c r="B10" s="10" t="s">
        <v>378</v>
      </c>
      <c r="C10" s="107">
        <v>724</v>
      </c>
      <c r="D10" s="104">
        <v>114.2</v>
      </c>
      <c r="E10" s="106">
        <v>35</v>
      </c>
      <c r="F10" s="104">
        <v>84.9</v>
      </c>
      <c r="G10" s="17">
        <v>26</v>
      </c>
      <c r="H10" s="107">
        <v>217</v>
      </c>
      <c r="I10" s="108">
        <v>36000</v>
      </c>
      <c r="J10" s="108" t="s">
        <v>349</v>
      </c>
      <c r="K10" s="108"/>
      <c r="L10" s="108"/>
      <c r="M10" s="109">
        <f>I10-K10</f>
        <v>36000</v>
      </c>
      <c r="N10" s="4">
        <f>IF(ISERROR(K10/I10),"",K10/I10)</f>
        <v>0</v>
      </c>
      <c r="O10" s="105">
        <f>I10/E10</f>
        <v>1028.5714285714287</v>
      </c>
      <c r="P10" s="105">
        <f>K10/E10</f>
        <v>0</v>
      </c>
      <c r="Q10" s="75">
        <v>3</v>
      </c>
      <c r="R10" s="75">
        <v>2</v>
      </c>
      <c r="S10" s="75" t="s">
        <v>324</v>
      </c>
      <c r="T10" s="5" t="s">
        <v>286</v>
      </c>
      <c r="U10" s="9"/>
      <c r="W10" s="104">
        <f>D10</f>
        <v>114.2</v>
      </c>
      <c r="X10" s="106">
        <f>E10</f>
        <v>35</v>
      </c>
      <c r="Y10" s="102">
        <f>H10</f>
        <v>217</v>
      </c>
      <c r="Z10" s="109">
        <f>I10</f>
        <v>36000</v>
      </c>
      <c r="AA10" s="109">
        <f>K10</f>
        <v>0</v>
      </c>
      <c r="AB10" s="109">
        <f>M10</f>
        <v>36000</v>
      </c>
      <c r="AC10" s="4">
        <f>N10</f>
        <v>0</v>
      </c>
      <c r="AD10" s="105">
        <f>O10</f>
        <v>1028.5714285714287</v>
      </c>
      <c r="AE10" s="75" t="str">
        <f>S10</f>
        <v>계</v>
      </c>
      <c r="AF10" s="75" t="str">
        <f>Q10&amp;"/"&amp;R10</f>
        <v>3/2</v>
      </c>
      <c r="AH10" s="20" t="str">
        <f t="shared" si="1"/>
        <v>단구한신더휴</v>
      </c>
      <c r="AI10" s="106">
        <f t="shared" si="0"/>
        <v>35</v>
      </c>
      <c r="AJ10" s="75" t="str">
        <f>IF(AI10="","",$AJ$2)</f>
        <v>A-</v>
      </c>
      <c r="AK10" s="75" t="s">
        <v>13</v>
      </c>
      <c r="AL10" s="75" t="s">
        <v>325</v>
      </c>
      <c r="AM10" s="75" t="s">
        <v>326</v>
      </c>
      <c r="AN10" s="75" t="str">
        <f>IF(AI10="","",$AN$2)</f>
        <v>C</v>
      </c>
      <c r="AO10" s="75" t="str">
        <f>IF(N10="","",IF(N10&gt;=$AO$1/100,"O","X"))</f>
        <v>X</v>
      </c>
      <c r="AP10" s="75" t="str">
        <f>IF(I10="","",IF(I10&lt;=$AP$1,"O","X"))</f>
        <v>O</v>
      </c>
      <c r="AQ10" s="75" t="str">
        <f>IF(O10="","",IF(O10&lt;=$AQ$1,"O","X"))</f>
        <v>O</v>
      </c>
      <c r="AR10" s="75" t="str">
        <f>IF(M10="","",IF(M10&lt;=$AR$1,"O","X"))</f>
        <v>X</v>
      </c>
      <c r="AS10" s="75" t="s">
        <v>2</v>
      </c>
      <c r="AT10" s="75" t="str">
        <f>IF(OR(F10="",AI10=""),"",IF(AND((F10&lt;=85),(AI10&gt;=15)),"O","X"))</f>
        <v>O</v>
      </c>
      <c r="AU10" s="75" t="str">
        <f>IF(C10="","",IF(C10&gt;=$AU$1,"O","X"))</f>
        <v>O</v>
      </c>
      <c r="AV10" s="75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283" priority="68">
      <formula>AV4="X"</formula>
    </cfRule>
    <cfRule type="expression" dxfId="282" priority="69">
      <formula>AV4="후보"</formula>
    </cfRule>
  </conditionalFormatting>
  <conditionalFormatting sqref="AC1:AC2 AC4:AC6 N4:N5">
    <cfRule type="cellIs" dxfId="281" priority="65" operator="greaterThan">
      <formula>0.9</formula>
    </cfRule>
    <cfRule type="cellIs" dxfId="280" priority="66" operator="greaterThan">
      <formula>0.85</formula>
    </cfRule>
  </conditionalFormatting>
  <conditionalFormatting sqref="N1:N2">
    <cfRule type="cellIs" dxfId="279" priority="63" operator="greaterThan">
      <formula>0.9</formula>
    </cfRule>
    <cfRule type="cellIs" dxfId="278" priority="64" operator="greaterThan">
      <formula>0.85</formula>
    </cfRule>
  </conditionalFormatting>
  <conditionalFormatting sqref="N6">
    <cfRule type="cellIs" dxfId="277" priority="61" operator="greaterThan">
      <formula>0.9</formula>
    </cfRule>
    <cfRule type="cellIs" dxfId="276" priority="62" operator="greaterThan">
      <formula>0.85</formula>
    </cfRule>
  </conditionalFormatting>
  <conditionalFormatting sqref="E6">
    <cfRule type="expression" dxfId="275" priority="57">
      <formula>AND(IF(OR($Q6=1,$Q6=2),1,0),IF($X6&lt;=20,1,0))</formula>
    </cfRule>
    <cfRule type="expression" dxfId="274" priority="58">
      <formula>AND(IF($Q6=2,1,0),IF($X6&lt;30,1,0))</formula>
    </cfRule>
    <cfRule type="expression" dxfId="273" priority="59">
      <formula>AND(IF($Q6=3,1,0),IF($X6&lt;30,1,0))</formula>
    </cfRule>
    <cfRule type="expression" dxfId="272" priority="60">
      <formula>AND(IF($Q6=3,1,IF($Q6=4,1,0)),IF($F6&lt;=85,1,0))</formula>
    </cfRule>
  </conditionalFormatting>
  <conditionalFormatting sqref="X6">
    <cfRule type="expression" dxfId="271" priority="53">
      <formula>AND(IF(OR($Q6=1,$Q6=2),1,0),IF($X6&lt;=20,1,0))</formula>
    </cfRule>
    <cfRule type="expression" dxfId="270" priority="54">
      <formula>AND(IF($Q6=2,1,0),IF($X6&lt;30,1,0))</formula>
    </cfRule>
    <cfRule type="expression" dxfId="269" priority="55">
      <formula>AND(IF($Q6=3,1,0),IF($X6&lt;30,1,0))</formula>
    </cfRule>
    <cfRule type="expression" dxfId="268" priority="56">
      <formula>AND(IF($Q6=3,1,IF($Q6=4,1,0)),IF($F6&lt;=85,1,0))</formula>
    </cfRule>
  </conditionalFormatting>
  <conditionalFormatting sqref="AI6">
    <cfRule type="expression" dxfId="267" priority="49">
      <formula>AND(IF(OR($Q6=1,$Q6=2),1,0),IF($X6&lt;=20,1,0))</formula>
    </cfRule>
    <cfRule type="expression" dxfId="266" priority="50">
      <formula>AND(IF($Q6=2,1,0),IF($X6&lt;30,1,0))</formula>
    </cfRule>
    <cfRule type="expression" dxfId="265" priority="51">
      <formula>AND(IF($Q6=3,1,0),IF($X6&lt;30,1,0))</formula>
    </cfRule>
    <cfRule type="expression" dxfId="264" priority="52">
      <formula>AND(IF($Q6=3,1,IF($Q6=4,1,0)),IF($F6&lt;=85,1,0))</formula>
    </cfRule>
  </conditionalFormatting>
  <conditionalFormatting sqref="AV7">
    <cfRule type="expression" dxfId="263" priority="47">
      <formula>AV7="X"</formula>
    </cfRule>
    <cfRule type="expression" dxfId="262" priority="48">
      <formula>AV7="후보"</formula>
    </cfRule>
  </conditionalFormatting>
  <conditionalFormatting sqref="AC7 N7">
    <cfRule type="cellIs" dxfId="261" priority="44" operator="greaterThan">
      <formula>0.9</formula>
    </cfRule>
    <cfRule type="cellIs" dxfId="260" priority="45" operator="greaterThan">
      <formula>0.85</formula>
    </cfRule>
  </conditionalFormatting>
  <conditionalFormatting sqref="AV8">
    <cfRule type="expression" dxfId="259" priority="42">
      <formula>AV8="X"</formula>
    </cfRule>
    <cfRule type="expression" dxfId="258" priority="43">
      <formula>AV8="후보"</formula>
    </cfRule>
  </conditionalFormatting>
  <conditionalFormatting sqref="AC8">
    <cfRule type="cellIs" dxfId="257" priority="39" operator="greaterThan">
      <formula>0.9</formula>
    </cfRule>
    <cfRule type="cellIs" dxfId="256" priority="40" operator="greaterThan">
      <formula>0.85</formula>
    </cfRule>
  </conditionalFormatting>
  <conditionalFormatting sqref="N8">
    <cfRule type="cellIs" dxfId="255" priority="37" operator="greaterThan">
      <formula>0.9</formula>
    </cfRule>
    <cfRule type="cellIs" dxfId="254" priority="38" operator="greaterThan">
      <formula>0.85</formula>
    </cfRule>
  </conditionalFormatting>
  <conditionalFormatting sqref="E8">
    <cfRule type="expression" dxfId="253" priority="33">
      <formula>AND(IF(OR($Q8=1,$Q8=2),1,0),IF($X8&lt;=20,1,0))</formula>
    </cfRule>
    <cfRule type="expression" dxfId="252" priority="34">
      <formula>AND(IF($Q8=2,1,0),IF($X8&lt;30,1,0))</formula>
    </cfRule>
    <cfRule type="expression" dxfId="251" priority="35">
      <formula>AND(IF($Q8=3,1,0),IF($X8&lt;30,1,0))</formula>
    </cfRule>
    <cfRule type="expression" dxfId="250" priority="36">
      <formula>AND(IF($Q8=3,1,IF($Q8=4,1,0)),IF($F8&lt;=85,1,0))</formula>
    </cfRule>
  </conditionalFormatting>
  <conditionalFormatting sqref="X8">
    <cfRule type="expression" dxfId="249" priority="29">
      <formula>AND(IF(OR($Q8=1,$Q8=2),1,0),IF($X8&lt;=20,1,0))</formula>
    </cfRule>
    <cfRule type="expression" dxfId="248" priority="30">
      <formula>AND(IF($Q8=2,1,0),IF($X8&lt;30,1,0))</formula>
    </cfRule>
    <cfRule type="expression" dxfId="247" priority="31">
      <formula>AND(IF($Q8=3,1,0),IF($X8&lt;30,1,0))</formula>
    </cfRule>
    <cfRule type="expression" dxfId="246" priority="32">
      <formula>AND(IF($Q8=3,1,IF($Q8=4,1,0)),IF($F8&lt;=85,1,0))</formula>
    </cfRule>
  </conditionalFormatting>
  <conditionalFormatting sqref="AI8">
    <cfRule type="expression" dxfId="245" priority="25">
      <formula>AND(IF(OR($Q8=1,$Q8=2),1,0),IF($X8&lt;=20,1,0))</formula>
    </cfRule>
    <cfRule type="expression" dxfId="244" priority="26">
      <formula>AND(IF($Q8=2,1,0),IF($X8&lt;30,1,0))</formula>
    </cfRule>
    <cfRule type="expression" dxfId="243" priority="27">
      <formula>AND(IF($Q8=3,1,0),IF($X8&lt;30,1,0))</formula>
    </cfRule>
    <cfRule type="expression" dxfId="242" priority="28">
      <formula>AND(IF($Q8=3,1,IF($Q8=4,1,0)),IF($F8&lt;=85,1,0))</formula>
    </cfRule>
  </conditionalFormatting>
  <conditionalFormatting sqref="AV9">
    <cfRule type="expression" dxfId="241" priority="23">
      <formula>AV9="X"</formula>
    </cfRule>
    <cfRule type="expression" dxfId="240" priority="24">
      <formula>AV9="후보"</formula>
    </cfRule>
  </conditionalFormatting>
  <conditionalFormatting sqref="AC9 N9">
    <cfRule type="cellIs" dxfId="239" priority="20" operator="greaterThan">
      <formula>0.9</formula>
    </cfRule>
    <cfRule type="cellIs" dxfId="238" priority="21" operator="greaterThan">
      <formula>0.85</formula>
    </cfRule>
  </conditionalFormatting>
  <conditionalFormatting sqref="AV10">
    <cfRule type="expression" dxfId="237" priority="18">
      <formula>AV10="X"</formula>
    </cfRule>
    <cfRule type="expression" dxfId="236" priority="19">
      <formula>AV10="후보"</formula>
    </cfRule>
  </conditionalFormatting>
  <conditionalFormatting sqref="AC10">
    <cfRule type="cellIs" dxfId="235" priority="15" operator="greaterThan">
      <formula>0.9</formula>
    </cfRule>
    <cfRule type="cellIs" dxfId="234" priority="16" operator="greaterThan">
      <formula>0.85</formula>
    </cfRule>
  </conditionalFormatting>
  <conditionalFormatting sqref="N10">
    <cfRule type="cellIs" dxfId="233" priority="13" operator="greaterThan">
      <formula>0.9</formula>
    </cfRule>
    <cfRule type="cellIs" dxfId="232" priority="14" operator="greaterThan">
      <formula>0.85</formula>
    </cfRule>
  </conditionalFormatting>
  <conditionalFormatting sqref="E10">
    <cfRule type="expression" dxfId="231" priority="9">
      <formula>AND(IF(OR($Q10=1,$Q10=2),1,0),IF($X10&lt;=20,1,0))</formula>
    </cfRule>
    <cfRule type="expression" dxfId="230" priority="10">
      <formula>AND(IF($Q10=2,1,0),IF($X10&lt;30,1,0))</formula>
    </cfRule>
    <cfRule type="expression" dxfId="229" priority="11">
      <formula>AND(IF($Q10=3,1,0),IF($X10&lt;30,1,0))</formula>
    </cfRule>
    <cfRule type="expression" dxfId="228" priority="12">
      <formula>AND(IF($Q10=3,1,IF($Q10=4,1,0)),IF($F10&lt;=85,1,0))</formula>
    </cfRule>
  </conditionalFormatting>
  <conditionalFormatting sqref="X10">
    <cfRule type="expression" dxfId="227" priority="5">
      <formula>AND(IF(OR($Q10=1,$Q10=2),1,0),IF($X10&lt;=20,1,0))</formula>
    </cfRule>
    <cfRule type="expression" dxfId="226" priority="6">
      <formula>AND(IF($Q10=2,1,0),IF($X10&lt;30,1,0))</formula>
    </cfRule>
    <cfRule type="expression" dxfId="225" priority="7">
      <formula>AND(IF($Q10=3,1,0),IF($X10&lt;30,1,0))</formula>
    </cfRule>
    <cfRule type="expression" dxfId="224" priority="8">
      <formula>AND(IF($Q10=3,1,IF($Q10=4,1,0)),IF($F10&lt;=85,1,0))</formula>
    </cfRule>
  </conditionalFormatting>
  <conditionalFormatting sqref="AI10">
    <cfRule type="expression" dxfId="223" priority="1">
      <formula>AND(IF(OR($Q10=1,$Q10=2),1,0),IF($X10&lt;=20,1,0))</formula>
    </cfRule>
    <cfRule type="expression" dxfId="222" priority="2">
      <formula>AND(IF($Q10=2,1,0),IF($X10&lt;30,1,0))</formula>
    </cfRule>
    <cfRule type="expression" dxfId="221" priority="3">
      <formula>AND(IF($Q10=3,1,0),IF($X10&lt;30,1,0))</formula>
    </cfRule>
    <cfRule type="expression" dxfId="220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319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단계동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320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320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88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단계동 원주봉화산벨라시티3차('20.11.,499^)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22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291</v>
      </c>
      <c r="B6" s="10" t="s">
        <v>379</v>
      </c>
      <c r="C6" s="107">
        <v>499</v>
      </c>
      <c r="D6" s="104">
        <v>115.4</v>
      </c>
      <c r="E6" s="106">
        <v>35</v>
      </c>
      <c r="F6" s="104">
        <v>85</v>
      </c>
      <c r="G6" s="17">
        <v>26</v>
      </c>
      <c r="H6" s="107">
        <v>121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4</v>
      </c>
      <c r="R6" s="75">
        <v>2</v>
      </c>
      <c r="S6" s="75" t="s">
        <v>324</v>
      </c>
      <c r="T6" s="5" t="s">
        <v>293</v>
      </c>
      <c r="U6" s="9"/>
      <c r="W6" s="104">
        <f>D6</f>
        <v>115.4</v>
      </c>
      <c r="X6" s="106">
        <f>E6</f>
        <v>35</v>
      </c>
      <c r="Y6" s="102">
        <f>H6</f>
        <v>121</v>
      </c>
      <c r="Z6" s="109">
        <f>I6</f>
        <v>0</v>
      </c>
      <c r="AA6" s="109">
        <f>K6</f>
        <v>0</v>
      </c>
      <c r="AB6" s="109">
        <f>M6</f>
        <v>0</v>
      </c>
      <c r="AC6" s="4" t="str">
        <f>N6</f>
        <v/>
      </c>
      <c r="AD6" s="105">
        <f>O6</f>
        <v>0</v>
      </c>
      <c r="AE6" s="75" t="str">
        <f>S6</f>
        <v>계</v>
      </c>
      <c r="AF6" s="75" t="str">
        <f>Q6&amp;"/"&amp;R6</f>
        <v>4/2</v>
      </c>
      <c r="AH6" s="20" t="str">
        <f t="shared" si="1"/>
        <v>원주봉화산벨라시티3차</v>
      </c>
      <c r="AI6" s="106">
        <f t="shared" si="0"/>
        <v>35</v>
      </c>
      <c r="AJ6" s="75" t="str">
        <f>IF(AI6="","",$AJ$2)</f>
        <v>A-</v>
      </c>
      <c r="AK6" s="75" t="s">
        <v>13</v>
      </c>
      <c r="AL6" s="75" t="s">
        <v>325</v>
      </c>
      <c r="AM6" s="75" t="s">
        <v>326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/>
      </c>
    </row>
    <row r="7" spans="1:48" x14ac:dyDescent="0.3">
      <c r="A7" s="9"/>
      <c r="B7" s="75"/>
      <c r="C7" s="6"/>
      <c r="D7" s="9"/>
      <c r="E7" s="14"/>
      <c r="F7" s="104"/>
      <c r="G7" s="9"/>
      <c r="H7" s="9"/>
      <c r="I7" s="9"/>
      <c r="J7" s="9"/>
      <c r="K7" s="9"/>
      <c r="L7" s="9"/>
      <c r="M7" s="9"/>
      <c r="N7" s="9"/>
      <c r="O7" s="105"/>
      <c r="P7" s="105"/>
      <c r="Q7" s="106"/>
      <c r="R7" s="106"/>
      <c r="S7" s="9"/>
      <c r="T7" s="48"/>
      <c r="U7" s="9"/>
      <c r="W7" s="70" t="str">
        <f>$A$4&amp;" "&amp;A8&amp;"("&amp;B8&amp;","&amp;C8&amp;"^)"</f>
        <v>단계동 원주봉화산푸르지오('17.11.,996^)</v>
      </c>
      <c r="X7" s="71"/>
      <c r="Y7" s="71"/>
      <c r="Z7" s="71"/>
      <c r="AA7" s="71"/>
      <c r="AB7" s="71"/>
      <c r="AC7" s="71"/>
      <c r="AD7" s="71"/>
      <c r="AE7" s="71"/>
      <c r="AF7" s="72"/>
      <c r="AH7" s="20" t="str">
        <f t="shared" si="1"/>
        <v/>
      </c>
      <c r="AI7" s="103" t="str">
        <f t="shared" si="0"/>
        <v/>
      </c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</row>
    <row r="8" spans="1:48" x14ac:dyDescent="0.3">
      <c r="A8" s="9" t="s">
        <v>297</v>
      </c>
      <c r="B8" s="10" t="s">
        <v>378</v>
      </c>
      <c r="C8" s="107">
        <v>996</v>
      </c>
      <c r="D8" s="104">
        <v>109.8</v>
      </c>
      <c r="E8" s="106">
        <v>33</v>
      </c>
      <c r="F8" s="104">
        <v>84.9</v>
      </c>
      <c r="G8" s="17">
        <v>26</v>
      </c>
      <c r="H8" s="107">
        <v>169</v>
      </c>
      <c r="I8" s="108">
        <v>42000</v>
      </c>
      <c r="J8" s="108" t="s">
        <v>336</v>
      </c>
      <c r="K8" s="108">
        <v>27000</v>
      </c>
      <c r="L8" s="108" t="s">
        <v>372</v>
      </c>
      <c r="M8" s="109">
        <f>I8-K8</f>
        <v>15000</v>
      </c>
      <c r="N8" s="4">
        <f>IF(ISERROR(K8/I8),"",K8/I8)</f>
        <v>0.6428571428571429</v>
      </c>
      <c r="O8" s="105">
        <f>I8/E8</f>
        <v>1272.7272727272727</v>
      </c>
      <c r="P8" s="105">
        <f>K8/E8</f>
        <v>818.18181818181813</v>
      </c>
      <c r="Q8" s="75">
        <v>3</v>
      </c>
      <c r="R8" s="75">
        <v>1</v>
      </c>
      <c r="S8" s="75" t="s">
        <v>324</v>
      </c>
      <c r="T8" s="5" t="s">
        <v>83</v>
      </c>
      <c r="U8" s="9"/>
      <c r="W8" s="104">
        <f>D8</f>
        <v>109.8</v>
      </c>
      <c r="X8" s="106">
        <f>E8</f>
        <v>33</v>
      </c>
      <c r="Y8" s="102">
        <f>H8</f>
        <v>169</v>
      </c>
      <c r="Z8" s="109">
        <f>I8</f>
        <v>42000</v>
      </c>
      <c r="AA8" s="109">
        <f>K8</f>
        <v>27000</v>
      </c>
      <c r="AB8" s="109">
        <f>M8</f>
        <v>15000</v>
      </c>
      <c r="AC8" s="4">
        <f>N8</f>
        <v>0.6428571428571429</v>
      </c>
      <c r="AD8" s="105">
        <f>O8</f>
        <v>1272.7272727272727</v>
      </c>
      <c r="AE8" s="75" t="str">
        <f>S8</f>
        <v>계</v>
      </c>
      <c r="AF8" s="75" t="str">
        <f>Q8&amp;"/"&amp;R8</f>
        <v>3/1</v>
      </c>
      <c r="AH8" s="20" t="str">
        <f t="shared" si="1"/>
        <v>원주봉화산푸르지오</v>
      </c>
      <c r="AI8" s="106">
        <f t="shared" si="0"/>
        <v>33</v>
      </c>
      <c r="AJ8" s="75" t="str">
        <f>IF(AI8="","",$AJ$2)</f>
        <v>A-</v>
      </c>
      <c r="AK8" s="75" t="s">
        <v>13</v>
      </c>
      <c r="AL8" s="75" t="s">
        <v>325</v>
      </c>
      <c r="AM8" s="75" t="s">
        <v>326</v>
      </c>
      <c r="AN8" s="75" t="str">
        <f>IF(AI8="","",$AN$2)</f>
        <v>C</v>
      </c>
      <c r="AO8" s="75" t="str">
        <f>IF(N8="","",IF(N8&gt;=$AO$1/100,"O","X"))</f>
        <v>X</v>
      </c>
      <c r="AP8" s="75" t="str">
        <f>IF(I8="","",IF(I8&lt;=$AP$1,"O","X"))</f>
        <v>O</v>
      </c>
      <c r="AQ8" s="75" t="str">
        <f>IF(O8="","",IF(O8&lt;=$AQ$1,"O","X"))</f>
        <v>O</v>
      </c>
      <c r="AR8" s="75" t="str">
        <f>IF(M8="","",IF(M8&lt;=$AR$1,"O","X"))</f>
        <v>X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>X</v>
      </c>
    </row>
    <row r="9" spans="1:48" x14ac:dyDescent="0.3">
      <c r="A9" s="9"/>
      <c r="B9" s="75"/>
      <c r="C9" s="6"/>
      <c r="D9" s="9"/>
      <c r="E9" s="14"/>
      <c r="F9" s="104"/>
      <c r="G9" s="9"/>
      <c r="H9" s="9"/>
      <c r="I9" s="9"/>
      <c r="J9" s="9"/>
      <c r="K9" s="9"/>
      <c r="L9" s="9"/>
      <c r="M9" s="9"/>
      <c r="N9" s="9"/>
      <c r="O9" s="105"/>
      <c r="P9" s="105"/>
      <c r="Q9" s="106"/>
      <c r="R9" s="106"/>
      <c r="S9" s="9"/>
      <c r="T9" s="48"/>
      <c r="U9" s="9"/>
      <c r="W9" s="70" t="str">
        <f>$A$4&amp;" "&amp;A10&amp;"("&amp;B10&amp;","&amp;C10&amp;"^)"</f>
        <v>단계동 원주봉화산벨라시티2차('18.12.,839^)</v>
      </c>
      <c r="X9" s="71"/>
      <c r="Y9" s="71"/>
      <c r="Z9" s="71"/>
      <c r="AA9" s="71"/>
      <c r="AB9" s="71"/>
      <c r="AC9" s="71"/>
      <c r="AD9" s="71"/>
      <c r="AE9" s="71"/>
      <c r="AF9" s="72"/>
      <c r="AH9" s="20" t="str">
        <f t="shared" si="1"/>
        <v/>
      </c>
      <c r="AI9" s="103" t="str">
        <f t="shared" si="0"/>
        <v/>
      </c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</row>
    <row r="10" spans="1:48" x14ac:dyDescent="0.3">
      <c r="A10" s="9" t="s">
        <v>301</v>
      </c>
      <c r="B10" s="10" t="s">
        <v>332</v>
      </c>
      <c r="C10" s="107">
        <v>839</v>
      </c>
      <c r="D10" s="104">
        <v>115.8</v>
      </c>
      <c r="E10" s="106">
        <v>35</v>
      </c>
      <c r="F10" s="104">
        <v>85</v>
      </c>
      <c r="G10" s="17">
        <v>26</v>
      </c>
      <c r="H10" s="107">
        <v>322</v>
      </c>
      <c r="I10" s="108">
        <v>41000</v>
      </c>
      <c r="J10" s="108" t="s">
        <v>331</v>
      </c>
      <c r="K10" s="108">
        <v>30000</v>
      </c>
      <c r="L10" s="108" t="s">
        <v>372</v>
      </c>
      <c r="M10" s="109">
        <f>I10-K10</f>
        <v>11000</v>
      </c>
      <c r="N10" s="4">
        <f>IF(ISERROR(K10/I10),"",K10/I10)</f>
        <v>0.73170731707317072</v>
      </c>
      <c r="O10" s="105">
        <f>I10/E10</f>
        <v>1171.4285714285713</v>
      </c>
      <c r="P10" s="105">
        <f>K10/E10</f>
        <v>857.14285714285711</v>
      </c>
      <c r="Q10" s="75">
        <v>3</v>
      </c>
      <c r="R10" s="75">
        <v>2</v>
      </c>
      <c r="S10" s="75" t="s">
        <v>324</v>
      </c>
      <c r="T10" s="5">
        <v>115</v>
      </c>
      <c r="U10" s="9"/>
      <c r="W10" s="104">
        <f>D10</f>
        <v>115.8</v>
      </c>
      <c r="X10" s="106">
        <f>E10</f>
        <v>35</v>
      </c>
      <c r="Y10" s="102">
        <f>H10</f>
        <v>322</v>
      </c>
      <c r="Z10" s="109">
        <f>I10</f>
        <v>41000</v>
      </c>
      <c r="AA10" s="109">
        <f>K10</f>
        <v>30000</v>
      </c>
      <c r="AB10" s="109">
        <f>M10</f>
        <v>11000</v>
      </c>
      <c r="AC10" s="4">
        <f>N10</f>
        <v>0.73170731707317072</v>
      </c>
      <c r="AD10" s="105">
        <f>O10</f>
        <v>1171.4285714285713</v>
      </c>
      <c r="AE10" s="75" t="str">
        <f>S10</f>
        <v>계</v>
      </c>
      <c r="AF10" s="75" t="str">
        <f>Q10&amp;"/"&amp;R10</f>
        <v>3/2</v>
      </c>
      <c r="AH10" s="20" t="str">
        <f t="shared" si="1"/>
        <v>원주봉화산벨라시티2차</v>
      </c>
      <c r="AI10" s="106">
        <f t="shared" si="0"/>
        <v>35</v>
      </c>
      <c r="AJ10" s="75" t="str">
        <f>IF(AI10="","",$AJ$2)</f>
        <v>A-</v>
      </c>
      <c r="AK10" s="75" t="s">
        <v>13</v>
      </c>
      <c r="AL10" s="75" t="s">
        <v>325</v>
      </c>
      <c r="AM10" s="75" t="s">
        <v>326</v>
      </c>
      <c r="AN10" s="75" t="str">
        <f>IF(AI10="","",$AN$2)</f>
        <v>C</v>
      </c>
      <c r="AO10" s="75" t="str">
        <f>IF(N10="","",IF(N10&gt;=$AO$1/100,"O","X"))</f>
        <v>X</v>
      </c>
      <c r="AP10" s="75" t="str">
        <f>IF(I10="","",IF(I10&lt;=$AP$1,"O","X"))</f>
        <v>O</v>
      </c>
      <c r="AQ10" s="75" t="str">
        <f>IF(O10="","",IF(O10&lt;=$AQ$1,"O","X"))</f>
        <v>O</v>
      </c>
      <c r="AR10" s="75" t="str">
        <f>IF(M10="","",IF(M10&lt;=$AR$1,"O","X"))</f>
        <v>X</v>
      </c>
      <c r="AS10" s="75" t="s">
        <v>2</v>
      </c>
      <c r="AT10" s="75" t="str">
        <f>IF(OR(F10="",AI10=""),"",IF(AND((F10&lt;=85),(AI10&gt;=15)),"O","X"))</f>
        <v>O</v>
      </c>
      <c r="AU10" s="75" t="str">
        <f>IF(C10="","",IF(C10&gt;=$AU$1,"O","X"))</f>
        <v>O</v>
      </c>
      <c r="AV10" s="75" t="str">
        <f>IF(AO10="","",IF(AND(AO10="O",AP10="O",AR10="O",AT10="O",AU10="O"),"후보","X"))</f>
        <v>X</v>
      </c>
    </row>
    <row r="11" spans="1:48" x14ac:dyDescent="0.3">
      <c r="A11" s="9"/>
      <c r="B11" s="75"/>
      <c r="C11" s="6"/>
      <c r="D11" s="9"/>
      <c r="E11" s="14"/>
      <c r="F11" s="104"/>
      <c r="G11" s="9"/>
      <c r="H11" s="9"/>
      <c r="I11" s="9"/>
      <c r="J11" s="9"/>
      <c r="K11" s="9"/>
      <c r="L11" s="9"/>
      <c r="M11" s="9"/>
      <c r="N11" s="9"/>
      <c r="O11" s="105"/>
      <c r="P11" s="105"/>
      <c r="Q11" s="106"/>
      <c r="R11" s="106"/>
      <c r="S11" s="9"/>
      <c r="T11" s="48"/>
      <c r="U11" s="9"/>
      <c r="W11" s="70" t="str">
        <f>$A$4&amp;" "&amp;A12&amp;"("&amp;B12&amp;","&amp;C12&amp;"^)"</f>
        <v>단계동 봉화산벨라시티('16.10.,566^)</v>
      </c>
      <c r="X11" s="71"/>
      <c r="Y11" s="71"/>
      <c r="Z11" s="71"/>
      <c r="AA11" s="71"/>
      <c r="AB11" s="71"/>
      <c r="AC11" s="71"/>
      <c r="AD11" s="71"/>
      <c r="AE11" s="71"/>
      <c r="AF11" s="72"/>
      <c r="AH11" s="20" t="str">
        <f t="shared" si="1"/>
        <v/>
      </c>
      <c r="AI11" s="103" t="str">
        <f t="shared" si="0"/>
        <v/>
      </c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</row>
    <row r="12" spans="1:48" x14ac:dyDescent="0.3">
      <c r="A12" s="9" t="s">
        <v>305</v>
      </c>
      <c r="B12" s="10" t="s">
        <v>359</v>
      </c>
      <c r="C12" s="107">
        <v>566</v>
      </c>
      <c r="D12" s="104">
        <v>110.9</v>
      </c>
      <c r="E12" s="106">
        <v>34</v>
      </c>
      <c r="F12" s="104">
        <v>85</v>
      </c>
      <c r="G12" s="17">
        <v>26</v>
      </c>
      <c r="H12" s="107">
        <v>92</v>
      </c>
      <c r="I12" s="108">
        <v>37000</v>
      </c>
      <c r="J12" s="108" t="s">
        <v>327</v>
      </c>
      <c r="K12" s="108"/>
      <c r="L12" s="108"/>
      <c r="M12" s="109">
        <f>I12-K12</f>
        <v>37000</v>
      </c>
      <c r="N12" s="4">
        <f>IF(ISERROR(K12/I12),"",K12/I12)</f>
        <v>0</v>
      </c>
      <c r="O12" s="105">
        <f>I12/E12</f>
        <v>1088.2352941176471</v>
      </c>
      <c r="P12" s="105">
        <f>K12/E12</f>
        <v>0</v>
      </c>
      <c r="Q12" s="75">
        <v>3</v>
      </c>
      <c r="R12" s="75">
        <v>1</v>
      </c>
      <c r="S12" s="75" t="s">
        <v>324</v>
      </c>
      <c r="T12" s="5">
        <v>77</v>
      </c>
      <c r="U12" s="9"/>
      <c r="W12" s="104">
        <f>D12</f>
        <v>110.9</v>
      </c>
      <c r="X12" s="106">
        <f>E12</f>
        <v>34</v>
      </c>
      <c r="Y12" s="102">
        <f>H12</f>
        <v>92</v>
      </c>
      <c r="Z12" s="109">
        <f>I12</f>
        <v>37000</v>
      </c>
      <c r="AA12" s="109">
        <f>K12</f>
        <v>0</v>
      </c>
      <c r="AB12" s="109">
        <f>M12</f>
        <v>37000</v>
      </c>
      <c r="AC12" s="4">
        <f>N12</f>
        <v>0</v>
      </c>
      <c r="AD12" s="105">
        <f>O12</f>
        <v>1088.2352941176471</v>
      </c>
      <c r="AE12" s="75" t="str">
        <f>S12</f>
        <v>계</v>
      </c>
      <c r="AF12" s="75" t="str">
        <f>Q12&amp;"/"&amp;R12</f>
        <v>3/1</v>
      </c>
      <c r="AH12" s="20" t="str">
        <f t="shared" si="1"/>
        <v>봉화산벨라시티</v>
      </c>
      <c r="AI12" s="106">
        <f t="shared" si="0"/>
        <v>34</v>
      </c>
      <c r="AJ12" s="75" t="str">
        <f>IF(AI12="","",$AJ$2)</f>
        <v>A-</v>
      </c>
      <c r="AK12" s="75" t="s">
        <v>13</v>
      </c>
      <c r="AL12" s="75" t="s">
        <v>325</v>
      </c>
      <c r="AM12" s="75" t="s">
        <v>326</v>
      </c>
      <c r="AN12" s="75" t="str">
        <f>IF(AI12="","",$AN$2)</f>
        <v>C</v>
      </c>
      <c r="AO12" s="75" t="str">
        <f>IF(N12="","",IF(N12&gt;=$AO$1/100,"O","X"))</f>
        <v>X</v>
      </c>
      <c r="AP12" s="75" t="str">
        <f>IF(I12="","",IF(I12&lt;=$AP$1,"O","X"))</f>
        <v>O</v>
      </c>
      <c r="AQ12" s="75" t="str">
        <f>IF(O12="","",IF(O12&lt;=$AQ$1,"O","X"))</f>
        <v>O</v>
      </c>
      <c r="AR12" s="75" t="str">
        <f>IF(M12="","",IF(M12&lt;=$AR$1,"O","X"))</f>
        <v>X</v>
      </c>
      <c r="AS12" s="75" t="s">
        <v>2</v>
      </c>
      <c r="AT12" s="75" t="str">
        <f>IF(OR(F12="",AI12=""),"",IF(AND((F12&lt;=85),(AI12&gt;=15)),"O","X"))</f>
        <v>O</v>
      </c>
      <c r="AU12" s="75" t="str">
        <f>IF(C12="","",IF(C12&gt;=$AU$1,"O","X"))</f>
        <v>O</v>
      </c>
      <c r="AV12" s="75" t="str">
        <f>IF(AO12="","",IF(AND(AO12="O",AP12="O",AR12="O",AT12="O",AU12="O"),"후보","X"))</f>
        <v>X</v>
      </c>
    </row>
    <row r="13" spans="1:48" x14ac:dyDescent="0.3">
      <c r="A13" s="9"/>
      <c r="B13" s="75"/>
      <c r="C13" s="6"/>
      <c r="D13" s="9"/>
      <c r="E13" s="14"/>
      <c r="F13" s="104"/>
      <c r="G13" s="9"/>
      <c r="H13" s="9"/>
      <c r="I13" s="9"/>
      <c r="J13" s="9"/>
      <c r="K13" s="9"/>
      <c r="L13" s="9"/>
      <c r="M13" s="9"/>
      <c r="N13" s="9"/>
      <c r="O13" s="105"/>
      <c r="P13" s="105"/>
      <c r="Q13" s="106"/>
      <c r="R13" s="106"/>
      <c r="S13" s="9"/>
      <c r="T13" s="48"/>
      <c r="U13" s="9"/>
      <c r="W13" s="70" t="str">
        <f>$A$4&amp;" "&amp;A14&amp;"("&amp;B14&amp;","&amp;C14&amp;"^)"</f>
        <v>단계동 원주봉화산푸르지오('17.11.,996^)</v>
      </c>
      <c r="X13" s="71"/>
      <c r="Y13" s="71"/>
      <c r="Z13" s="71"/>
      <c r="AA13" s="71"/>
      <c r="AB13" s="71"/>
      <c r="AC13" s="71"/>
      <c r="AD13" s="71"/>
      <c r="AE13" s="71"/>
      <c r="AF13" s="72"/>
      <c r="AH13" s="20" t="str">
        <f t="shared" si="1"/>
        <v/>
      </c>
      <c r="AI13" s="103" t="str">
        <f t="shared" si="0"/>
        <v/>
      </c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</row>
    <row r="14" spans="1:48" x14ac:dyDescent="0.3">
      <c r="A14" s="9" t="s">
        <v>297</v>
      </c>
      <c r="B14" s="10" t="s">
        <v>378</v>
      </c>
      <c r="C14" s="107">
        <v>996</v>
      </c>
      <c r="D14" s="104">
        <v>98.6</v>
      </c>
      <c r="E14" s="106">
        <v>30</v>
      </c>
      <c r="F14" s="104">
        <v>72.900000000000006</v>
      </c>
      <c r="G14" s="17">
        <v>22</v>
      </c>
      <c r="H14" s="107">
        <v>323</v>
      </c>
      <c r="I14" s="108">
        <v>35000</v>
      </c>
      <c r="J14" s="108" t="s">
        <v>361</v>
      </c>
      <c r="K14" s="108">
        <v>26000</v>
      </c>
      <c r="L14" s="108" t="s">
        <v>361</v>
      </c>
      <c r="M14" s="109">
        <f>I14-K14</f>
        <v>9000</v>
      </c>
      <c r="N14" s="4">
        <f>IF(ISERROR(K14/I14),"",K14/I14)</f>
        <v>0.74285714285714288</v>
      </c>
      <c r="O14" s="105">
        <f>I14/E14</f>
        <v>1166.6666666666667</v>
      </c>
      <c r="P14" s="105">
        <f>K14/E14</f>
        <v>866.66666666666663</v>
      </c>
      <c r="Q14" s="75">
        <v>3</v>
      </c>
      <c r="R14" s="75">
        <v>1</v>
      </c>
      <c r="S14" s="75" t="s">
        <v>324</v>
      </c>
      <c r="T14" s="5" t="s">
        <v>309</v>
      </c>
      <c r="U14" s="9"/>
      <c r="W14" s="104">
        <f>D14</f>
        <v>98.6</v>
      </c>
      <c r="X14" s="106">
        <f>E14</f>
        <v>30</v>
      </c>
      <c r="Y14" s="102">
        <f>H14</f>
        <v>323</v>
      </c>
      <c r="Z14" s="109">
        <f>I14</f>
        <v>35000</v>
      </c>
      <c r="AA14" s="109">
        <f>K14</f>
        <v>26000</v>
      </c>
      <c r="AB14" s="109">
        <f>M14</f>
        <v>9000</v>
      </c>
      <c r="AC14" s="4">
        <f>N14</f>
        <v>0.74285714285714288</v>
      </c>
      <c r="AD14" s="105">
        <f>O14</f>
        <v>1166.6666666666667</v>
      </c>
      <c r="AE14" s="75" t="str">
        <f>S14</f>
        <v>계</v>
      </c>
      <c r="AF14" s="75" t="str">
        <f>Q14&amp;"/"&amp;R14</f>
        <v>3/1</v>
      </c>
      <c r="AH14" s="20" t="str">
        <f t="shared" si="1"/>
        <v>원주봉화산푸르지오</v>
      </c>
      <c r="AI14" s="106">
        <f t="shared" si="0"/>
        <v>30</v>
      </c>
      <c r="AJ14" s="75" t="str">
        <f>IF(AI14="","",$AJ$2)</f>
        <v>A-</v>
      </c>
      <c r="AK14" s="75" t="s">
        <v>13</v>
      </c>
      <c r="AL14" s="75" t="s">
        <v>325</v>
      </c>
      <c r="AM14" s="75" t="s">
        <v>326</v>
      </c>
      <c r="AN14" s="75" t="str">
        <f>IF(AI14="","",$AN$2)</f>
        <v>C</v>
      </c>
      <c r="AO14" s="75" t="str">
        <f>IF(N14="","",IF(N14&gt;=$AO$1/100,"O","X"))</f>
        <v>X</v>
      </c>
      <c r="AP14" s="75" t="str">
        <f>IF(I14="","",IF(I14&lt;=$AP$1,"O","X"))</f>
        <v>O</v>
      </c>
      <c r="AQ14" s="75" t="str">
        <f>IF(O14="","",IF(O14&lt;=$AQ$1,"O","X"))</f>
        <v>O</v>
      </c>
      <c r="AR14" s="75" t="str">
        <f>IF(M14="","",IF(M14&lt;=$AR$1,"O","X"))</f>
        <v>X</v>
      </c>
      <c r="AS14" s="75" t="s">
        <v>2</v>
      </c>
      <c r="AT14" s="75" t="str">
        <f>IF(OR(F14="",AI14=""),"",IF(AND((F14&lt;=85),(AI14&gt;=15)),"O","X"))</f>
        <v>O</v>
      </c>
      <c r="AU14" s="75" t="str">
        <f>IF(C14="","",IF(C14&gt;=$AU$1,"O","X"))</f>
        <v>O</v>
      </c>
      <c r="AV14" s="75" t="str">
        <f>IF(AO14="","",IF(AND(AO14="O",AP14="O",AR14="O",AT14="O",AU14="O"),"후보","X"))</f>
        <v>X</v>
      </c>
    </row>
    <row r="15" spans="1:48" x14ac:dyDescent="0.3">
      <c r="A15" s="9"/>
      <c r="B15" s="75"/>
      <c r="C15" s="6"/>
      <c r="D15" s="9"/>
      <c r="E15" s="14"/>
      <c r="F15" s="104"/>
      <c r="G15" s="9"/>
      <c r="H15" s="9"/>
      <c r="I15" s="9"/>
      <c r="J15" s="9"/>
      <c r="K15" s="9"/>
      <c r="L15" s="9"/>
      <c r="M15" s="9"/>
      <c r="N15" s="9"/>
      <c r="O15" s="105"/>
      <c r="P15" s="105"/>
      <c r="Q15" s="106"/>
      <c r="R15" s="106"/>
      <c r="S15" s="9"/>
      <c r="T15" s="48"/>
      <c r="U15" s="9"/>
      <c r="W15" s="70" t="str">
        <f>$A$4&amp;" "&amp;A16&amp;"("&amp;B16&amp;","&amp;C16&amp;"^)"</f>
        <v>단계동 원주봉화산벨라시티3차('20.11.,499^)</v>
      </c>
      <c r="X15" s="71"/>
      <c r="Y15" s="71"/>
      <c r="Z15" s="71"/>
      <c r="AA15" s="71"/>
      <c r="AB15" s="71"/>
      <c r="AC15" s="71"/>
      <c r="AD15" s="71"/>
      <c r="AE15" s="71"/>
      <c r="AF15" s="72"/>
      <c r="AH15" s="20" t="str">
        <f t="shared" si="1"/>
        <v/>
      </c>
      <c r="AI15" s="103" t="str">
        <f t="shared" si="0"/>
        <v/>
      </c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</row>
    <row r="16" spans="1:48" x14ac:dyDescent="0.3">
      <c r="A16" s="9" t="s">
        <v>291</v>
      </c>
      <c r="B16" s="10" t="s">
        <v>379</v>
      </c>
      <c r="C16" s="107">
        <v>499</v>
      </c>
      <c r="D16" s="104">
        <v>83.1</v>
      </c>
      <c r="E16" s="106">
        <v>25</v>
      </c>
      <c r="F16" s="104">
        <v>59.9</v>
      </c>
      <c r="G16" s="17">
        <v>18</v>
      </c>
      <c r="H16" s="107">
        <v>126</v>
      </c>
      <c r="I16" s="108">
        <v>32000</v>
      </c>
      <c r="J16" s="108" t="s">
        <v>344</v>
      </c>
      <c r="K16" s="108"/>
      <c r="L16" s="108"/>
      <c r="M16" s="109">
        <f>I16-K16</f>
        <v>32000</v>
      </c>
      <c r="N16" s="4">
        <f>IF(ISERROR(K16/I16),"",K16/I16)</f>
        <v>0</v>
      </c>
      <c r="O16" s="105">
        <f>I16/E16</f>
        <v>1280</v>
      </c>
      <c r="P16" s="105">
        <f>K16/E16</f>
        <v>0</v>
      </c>
      <c r="Q16" s="75">
        <v>4</v>
      </c>
      <c r="R16" s="75">
        <v>2</v>
      </c>
      <c r="S16" s="75" t="s">
        <v>324</v>
      </c>
      <c r="T16" s="5" t="s">
        <v>310</v>
      </c>
      <c r="U16" s="9"/>
      <c r="W16" s="104">
        <f>D16</f>
        <v>83.1</v>
      </c>
      <c r="X16" s="106">
        <f>E16</f>
        <v>25</v>
      </c>
      <c r="Y16" s="102">
        <f>H16</f>
        <v>126</v>
      </c>
      <c r="Z16" s="109">
        <f>I16</f>
        <v>32000</v>
      </c>
      <c r="AA16" s="109">
        <f>K16</f>
        <v>0</v>
      </c>
      <c r="AB16" s="109">
        <f>M16</f>
        <v>32000</v>
      </c>
      <c r="AC16" s="4">
        <f>N16</f>
        <v>0</v>
      </c>
      <c r="AD16" s="105">
        <f>O16</f>
        <v>1280</v>
      </c>
      <c r="AE16" s="75" t="str">
        <f>S16</f>
        <v>계</v>
      </c>
      <c r="AF16" s="75" t="str">
        <f>Q16&amp;"/"&amp;R16</f>
        <v>4/2</v>
      </c>
      <c r="AH16" s="20" t="str">
        <f t="shared" si="1"/>
        <v>원주봉화산벨라시티3차</v>
      </c>
      <c r="AI16" s="106">
        <f t="shared" si="0"/>
        <v>25</v>
      </c>
      <c r="AJ16" s="75" t="str">
        <f>IF(AI16="","",$AJ$2)</f>
        <v>A-</v>
      </c>
      <c r="AK16" s="75" t="s">
        <v>13</v>
      </c>
      <c r="AL16" s="75" t="s">
        <v>325</v>
      </c>
      <c r="AM16" s="75" t="s">
        <v>326</v>
      </c>
      <c r="AN16" s="75" t="str">
        <f>IF(AI16="","",$AN$2)</f>
        <v>C</v>
      </c>
      <c r="AO16" s="75" t="str">
        <f>IF(N16="","",IF(N16&gt;=$AO$1/100,"O","X"))</f>
        <v>X</v>
      </c>
      <c r="AP16" s="75" t="str">
        <f>IF(I16="","",IF(I16&lt;=$AP$1,"O","X"))</f>
        <v>O</v>
      </c>
      <c r="AQ16" s="75" t="str">
        <f>IF(O16="","",IF(O16&lt;=$AQ$1,"O","X"))</f>
        <v>O</v>
      </c>
      <c r="AR16" s="75" t="str">
        <f>IF(M16="","",IF(M16&lt;=$AR$1,"O","X"))</f>
        <v>X</v>
      </c>
      <c r="AS16" s="75" t="s">
        <v>2</v>
      </c>
      <c r="AT16" s="75" t="str">
        <f>IF(OR(F16="",AI16=""),"",IF(AND((F16&lt;=85),(AI16&gt;=15)),"O","X"))</f>
        <v>O</v>
      </c>
      <c r="AU16" s="75" t="str">
        <f>IF(C16="","",IF(C16&gt;=$AU$1,"O","X"))</f>
        <v>O</v>
      </c>
      <c r="AV16" s="75" t="str">
        <f>IF(AO16="","",IF(AND(AO16="O",AP16="O",AR16="O",AT16="O",AU16="O"),"후보","X"))</f>
        <v>X</v>
      </c>
    </row>
    <row r="17" spans="1:48" x14ac:dyDescent="0.3">
      <c r="A17" s="9"/>
      <c r="B17" s="75"/>
      <c r="C17" s="6"/>
      <c r="D17" s="9"/>
      <c r="E17" s="14"/>
      <c r="F17" s="104"/>
      <c r="G17" s="9"/>
      <c r="H17" s="9"/>
      <c r="I17" s="9"/>
      <c r="J17" s="9"/>
      <c r="K17" s="9"/>
      <c r="L17" s="9"/>
      <c r="M17" s="9"/>
      <c r="N17" s="9"/>
      <c r="O17" s="105"/>
      <c r="P17" s="105"/>
      <c r="Q17" s="106"/>
      <c r="R17" s="106"/>
      <c r="S17" s="9"/>
      <c r="T17" s="48"/>
      <c r="U17" s="9"/>
      <c r="W17" s="70" t="str">
        <f>$A$4&amp;" "&amp;A18&amp;"("&amp;B18&amp;","&amp;C18&amp;"^)"</f>
        <v>단계동 원주봉화산벨라시티2차('18.12.,839^)</v>
      </c>
      <c r="X17" s="71"/>
      <c r="Y17" s="71"/>
      <c r="Z17" s="71"/>
      <c r="AA17" s="71"/>
      <c r="AB17" s="71"/>
      <c r="AC17" s="71"/>
      <c r="AD17" s="71"/>
      <c r="AE17" s="71"/>
      <c r="AF17" s="72"/>
      <c r="AH17" s="20" t="str">
        <f t="shared" si="1"/>
        <v/>
      </c>
      <c r="AI17" s="103" t="str">
        <f t="shared" si="0"/>
        <v/>
      </c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</row>
    <row r="18" spans="1:48" x14ac:dyDescent="0.3">
      <c r="A18" s="9" t="s">
        <v>301</v>
      </c>
      <c r="B18" s="10" t="s">
        <v>332</v>
      </c>
      <c r="C18" s="107">
        <v>839</v>
      </c>
      <c r="D18" s="104">
        <v>83.8</v>
      </c>
      <c r="E18" s="106">
        <v>25</v>
      </c>
      <c r="F18" s="104">
        <v>60</v>
      </c>
      <c r="G18" s="17">
        <v>18</v>
      </c>
      <c r="H18" s="107">
        <v>74</v>
      </c>
      <c r="I18" s="108">
        <v>32000</v>
      </c>
      <c r="J18" s="108" t="s">
        <v>101</v>
      </c>
      <c r="K18" s="108"/>
      <c r="L18" s="108"/>
      <c r="M18" s="109">
        <f>I18-K18</f>
        <v>32000</v>
      </c>
      <c r="N18" s="4">
        <f>IF(ISERROR(K18/I18),"",K18/I18)</f>
        <v>0</v>
      </c>
      <c r="O18" s="105">
        <f>I18/E18</f>
        <v>1280</v>
      </c>
      <c r="P18" s="105">
        <f>K18/E18</f>
        <v>0</v>
      </c>
      <c r="Q18" s="75">
        <v>3</v>
      </c>
      <c r="R18" s="75">
        <v>1</v>
      </c>
      <c r="S18" s="75" t="s">
        <v>324</v>
      </c>
      <c r="T18" s="5">
        <v>78</v>
      </c>
      <c r="U18" s="9"/>
      <c r="W18" s="104">
        <f>D18</f>
        <v>83.8</v>
      </c>
      <c r="X18" s="106">
        <f>E18</f>
        <v>25</v>
      </c>
      <c r="Y18" s="102">
        <f>H18</f>
        <v>74</v>
      </c>
      <c r="Z18" s="109">
        <f>I18</f>
        <v>32000</v>
      </c>
      <c r="AA18" s="109">
        <f>K18</f>
        <v>0</v>
      </c>
      <c r="AB18" s="109">
        <f>M18</f>
        <v>32000</v>
      </c>
      <c r="AC18" s="4">
        <f>N18</f>
        <v>0</v>
      </c>
      <c r="AD18" s="105">
        <f>O18</f>
        <v>1280</v>
      </c>
      <c r="AE18" s="75" t="str">
        <f>S18</f>
        <v>계</v>
      </c>
      <c r="AF18" s="75" t="str">
        <f>Q18&amp;"/"&amp;R18</f>
        <v>3/1</v>
      </c>
      <c r="AH18" s="20" t="str">
        <f t="shared" si="1"/>
        <v>원주봉화산벨라시티2차</v>
      </c>
      <c r="AI18" s="106">
        <f t="shared" si="0"/>
        <v>25</v>
      </c>
      <c r="AJ18" s="75" t="str">
        <f>IF(AI18="","",$AJ$2)</f>
        <v>A-</v>
      </c>
      <c r="AK18" s="75" t="s">
        <v>13</v>
      </c>
      <c r="AL18" s="75" t="s">
        <v>325</v>
      </c>
      <c r="AM18" s="75" t="s">
        <v>326</v>
      </c>
      <c r="AN18" s="75" t="str">
        <f>IF(AI18="","",$AN$2)</f>
        <v>C</v>
      </c>
      <c r="AO18" s="75" t="str">
        <f>IF(N18="","",IF(N18&gt;=$AO$1/100,"O","X"))</f>
        <v>X</v>
      </c>
      <c r="AP18" s="75" t="str">
        <f>IF(I18="","",IF(I18&lt;=$AP$1,"O","X"))</f>
        <v>O</v>
      </c>
      <c r="AQ18" s="75" t="str">
        <f>IF(O18="","",IF(O18&lt;=$AQ$1,"O","X"))</f>
        <v>O</v>
      </c>
      <c r="AR18" s="75" t="str">
        <f>IF(M18="","",IF(M18&lt;=$AR$1,"O","X"))</f>
        <v>X</v>
      </c>
      <c r="AS18" s="75" t="s">
        <v>2</v>
      </c>
      <c r="AT18" s="75" t="str">
        <f>IF(OR(F18="",AI18=""),"",IF(AND((F18&lt;=85),(AI18&gt;=15)),"O","X"))</f>
        <v>O</v>
      </c>
      <c r="AU18" s="75" t="str">
        <f>IF(C18="","",IF(C18&gt;=$AU$1,"O","X"))</f>
        <v>O</v>
      </c>
      <c r="AV18" s="75" t="str">
        <f>IF(AO18="","",IF(AND(AO18="O",AP18="O",AR18="O",AT18="O",AU18="O"),"후보","X"))</f>
        <v>X</v>
      </c>
    </row>
    <row r="19" spans="1:48" x14ac:dyDescent="0.3">
      <c r="A19" s="9"/>
      <c r="B19" s="75"/>
      <c r="C19" s="6"/>
      <c r="D19" s="9"/>
      <c r="E19" s="14"/>
      <c r="F19" s="104"/>
      <c r="G19" s="9"/>
      <c r="H19" s="9"/>
      <c r="I19" s="9"/>
      <c r="J19" s="9"/>
      <c r="K19" s="9"/>
      <c r="L19" s="9"/>
      <c r="M19" s="9"/>
      <c r="N19" s="9"/>
      <c r="O19" s="105"/>
      <c r="P19" s="105"/>
      <c r="Q19" s="106"/>
      <c r="R19" s="106"/>
      <c r="S19" s="9"/>
      <c r="T19" s="48"/>
      <c r="U19" s="9"/>
      <c r="W19" s="70" t="str">
        <f>$A$4&amp;" "&amp;A20&amp;"("&amp;B20&amp;","&amp;C20&amp;"^)"</f>
        <v>단계동 원주봉화산푸르지오('17.11.,996^)</v>
      </c>
      <c r="X19" s="71"/>
      <c r="Y19" s="71"/>
      <c r="Z19" s="71"/>
      <c r="AA19" s="71"/>
      <c r="AB19" s="71"/>
      <c r="AC19" s="71"/>
      <c r="AD19" s="71"/>
      <c r="AE19" s="71"/>
      <c r="AF19" s="72"/>
      <c r="AH19" s="20" t="str">
        <f t="shared" si="1"/>
        <v/>
      </c>
      <c r="AI19" s="103" t="str">
        <f t="shared" si="0"/>
        <v/>
      </c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</row>
    <row r="20" spans="1:48" x14ac:dyDescent="0.3">
      <c r="A20" s="9" t="s">
        <v>297</v>
      </c>
      <c r="B20" s="10" t="s">
        <v>378</v>
      </c>
      <c r="C20" s="107">
        <v>996</v>
      </c>
      <c r="D20" s="104">
        <v>85</v>
      </c>
      <c r="E20" s="106">
        <v>26</v>
      </c>
      <c r="F20" s="104">
        <v>60.8</v>
      </c>
      <c r="G20" s="17">
        <v>18</v>
      </c>
      <c r="H20" s="107">
        <v>337</v>
      </c>
      <c r="I20" s="108">
        <v>29000</v>
      </c>
      <c r="J20" s="108" t="s">
        <v>323</v>
      </c>
      <c r="K20" s="108">
        <v>24000</v>
      </c>
      <c r="L20" s="108" t="s">
        <v>101</v>
      </c>
      <c r="M20" s="109">
        <f>I20-K20</f>
        <v>5000</v>
      </c>
      <c r="N20" s="4">
        <f>IF(ISERROR(K20/I20),"",K20/I20)</f>
        <v>0.82758620689655171</v>
      </c>
      <c r="O20" s="105">
        <f>I20/E20</f>
        <v>1115.3846153846155</v>
      </c>
      <c r="P20" s="105">
        <f>K20/E20</f>
        <v>923.07692307692309</v>
      </c>
      <c r="Q20" s="75">
        <v>2</v>
      </c>
      <c r="R20" s="75">
        <v>1</v>
      </c>
      <c r="S20" s="75" t="s">
        <v>324</v>
      </c>
      <c r="T20" s="5" t="s">
        <v>314</v>
      </c>
      <c r="U20" s="9"/>
      <c r="W20" s="104">
        <f>D20</f>
        <v>85</v>
      </c>
      <c r="X20" s="106">
        <f>E20</f>
        <v>26</v>
      </c>
      <c r="Y20" s="102">
        <f>H20</f>
        <v>337</v>
      </c>
      <c r="Z20" s="109">
        <f>I20</f>
        <v>29000</v>
      </c>
      <c r="AA20" s="109">
        <f>K20</f>
        <v>24000</v>
      </c>
      <c r="AB20" s="109">
        <f>M20</f>
        <v>5000</v>
      </c>
      <c r="AC20" s="4">
        <f>N20</f>
        <v>0.82758620689655171</v>
      </c>
      <c r="AD20" s="105">
        <f>O20</f>
        <v>1115.3846153846155</v>
      </c>
      <c r="AE20" s="75" t="str">
        <f>S20</f>
        <v>계</v>
      </c>
      <c r="AF20" s="75" t="str">
        <f>Q20&amp;"/"&amp;R20</f>
        <v>2/1</v>
      </c>
      <c r="AH20" s="20" t="str">
        <f t="shared" si="1"/>
        <v>원주봉화산푸르지오</v>
      </c>
      <c r="AI20" s="106">
        <f t="shared" si="0"/>
        <v>26</v>
      </c>
      <c r="AJ20" s="75" t="str">
        <f>IF(AI20="","",$AJ$2)</f>
        <v>A-</v>
      </c>
      <c r="AK20" s="75" t="s">
        <v>13</v>
      </c>
      <c r="AL20" s="75" t="s">
        <v>325</v>
      </c>
      <c r="AM20" s="75" t="s">
        <v>326</v>
      </c>
      <c r="AN20" s="75" t="str">
        <f>IF(AI20="","",$AN$2)</f>
        <v>C</v>
      </c>
      <c r="AO20" s="75" t="str">
        <f>IF(N20="","",IF(N20&gt;=$AO$1/100,"O","X"))</f>
        <v>O</v>
      </c>
      <c r="AP20" s="75" t="str">
        <f>IF(I20="","",IF(I20&lt;=$AP$1,"O","X"))</f>
        <v>O</v>
      </c>
      <c r="AQ20" s="75" t="str">
        <f>IF(O20="","",IF(O20&lt;=$AQ$1,"O","X"))</f>
        <v>O</v>
      </c>
      <c r="AR20" s="75" t="str">
        <f>IF(M20="","",IF(M20&lt;=$AR$1,"O","X"))</f>
        <v>O</v>
      </c>
      <c r="AS20" s="75" t="s">
        <v>2</v>
      </c>
      <c r="AT20" s="75" t="str">
        <f>IF(OR(F20="",AI20=""),"",IF(AND((F20&lt;=85),(AI20&gt;=15)),"O","X"))</f>
        <v>O</v>
      </c>
      <c r="AU20" s="75" t="str">
        <f>IF(C20="","",IF(C20&gt;=$AU$1,"O","X"))</f>
        <v>O</v>
      </c>
      <c r="AV20" s="75" t="str">
        <f>IF(AO20="","",IF(AND(AO20="O",AP20="O",AR20="O",AT20="O",AU20="O"),"후보","X"))</f>
        <v>후보</v>
      </c>
    </row>
    <row r="21" spans="1:48" x14ac:dyDescent="0.3">
      <c r="A21" s="9"/>
      <c r="B21" s="75"/>
      <c r="C21" s="6"/>
      <c r="D21" s="9"/>
      <c r="E21" s="14"/>
      <c r="F21" s="104"/>
      <c r="G21" s="9"/>
      <c r="H21" s="9"/>
      <c r="I21" s="9"/>
      <c r="J21" s="9"/>
      <c r="K21" s="9"/>
      <c r="L21" s="9"/>
      <c r="M21" s="9"/>
      <c r="N21" s="9"/>
      <c r="O21" s="105"/>
      <c r="P21" s="105"/>
      <c r="Q21" s="106"/>
      <c r="R21" s="106"/>
      <c r="S21" s="9"/>
      <c r="T21" s="48"/>
      <c r="U21" s="9"/>
      <c r="W21" s="70" t="str">
        <f>$A$4&amp;" "&amp;A22&amp;"("&amp;B22&amp;","&amp;C22&amp;"^)"</f>
        <v>단계동 봉화산벨라시티('16.10.,566^)</v>
      </c>
      <c r="X21" s="71"/>
      <c r="Y21" s="71"/>
      <c r="Z21" s="71"/>
      <c r="AA21" s="71"/>
      <c r="AB21" s="71"/>
      <c r="AC21" s="71"/>
      <c r="AD21" s="71"/>
      <c r="AE21" s="71"/>
      <c r="AF21" s="72"/>
      <c r="AH21" s="20" t="str">
        <f t="shared" si="1"/>
        <v/>
      </c>
      <c r="AI21" s="103" t="str">
        <f t="shared" si="0"/>
        <v/>
      </c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</row>
    <row r="22" spans="1:48" x14ac:dyDescent="0.3">
      <c r="A22" s="9" t="s">
        <v>305</v>
      </c>
      <c r="B22" s="10" t="s">
        <v>359</v>
      </c>
      <c r="C22" s="107">
        <v>566</v>
      </c>
      <c r="D22" s="104">
        <v>87.9</v>
      </c>
      <c r="E22" s="106">
        <v>27</v>
      </c>
      <c r="F22" s="104">
        <v>59.9</v>
      </c>
      <c r="G22" s="17">
        <v>18</v>
      </c>
      <c r="H22" s="107">
        <v>164</v>
      </c>
      <c r="I22" s="108">
        <v>28000</v>
      </c>
      <c r="J22" s="108" t="s">
        <v>101</v>
      </c>
      <c r="K22" s="108"/>
      <c r="L22" s="108"/>
      <c r="M22" s="109">
        <f>I22-K22</f>
        <v>28000</v>
      </c>
      <c r="N22" s="4">
        <f>IF(ISERROR(K22/I22),"",K22/I22)</f>
        <v>0</v>
      </c>
      <c r="O22" s="105">
        <f>I22/E22</f>
        <v>1037.037037037037</v>
      </c>
      <c r="P22" s="105">
        <f>K22/E22</f>
        <v>0</v>
      </c>
      <c r="Q22" s="75">
        <v>3</v>
      </c>
      <c r="R22" s="75">
        <v>2</v>
      </c>
      <c r="S22" s="75" t="s">
        <v>355</v>
      </c>
      <c r="T22" s="5" t="s">
        <v>315</v>
      </c>
      <c r="U22" s="9"/>
      <c r="W22" s="104">
        <f>D22</f>
        <v>87.9</v>
      </c>
      <c r="X22" s="106">
        <f>E22</f>
        <v>27</v>
      </c>
      <c r="Y22" s="102">
        <f>H22</f>
        <v>164</v>
      </c>
      <c r="Z22" s="109">
        <f>I22</f>
        <v>28000</v>
      </c>
      <c r="AA22" s="109">
        <f>K22</f>
        <v>0</v>
      </c>
      <c r="AB22" s="109">
        <f>M22</f>
        <v>28000</v>
      </c>
      <c r="AC22" s="4">
        <f>N22</f>
        <v>0</v>
      </c>
      <c r="AD22" s="105">
        <f>O22</f>
        <v>1037.037037037037</v>
      </c>
      <c r="AE22" s="75" t="str">
        <f>S22</f>
        <v>복</v>
      </c>
      <c r="AF22" s="75" t="str">
        <f>Q22&amp;"/"&amp;R22</f>
        <v>3/2</v>
      </c>
      <c r="AH22" s="20" t="str">
        <f t="shared" si="1"/>
        <v>봉화산벨라시티</v>
      </c>
      <c r="AI22" s="106">
        <f t="shared" si="0"/>
        <v>27</v>
      </c>
      <c r="AJ22" s="75" t="str">
        <f>IF(AI22="","",$AJ$2)</f>
        <v>A-</v>
      </c>
      <c r="AK22" s="75" t="s">
        <v>13</v>
      </c>
      <c r="AL22" s="75" t="s">
        <v>325</v>
      </c>
      <c r="AM22" s="75" t="s">
        <v>326</v>
      </c>
      <c r="AN22" s="75" t="str">
        <f>IF(AI22="","",$AN$2)</f>
        <v>C</v>
      </c>
      <c r="AO22" s="75" t="str">
        <f>IF(N22="","",IF(N22&gt;=$AO$1/100,"O","X"))</f>
        <v>X</v>
      </c>
      <c r="AP22" s="75" t="str">
        <f>IF(I22="","",IF(I22&lt;=$AP$1,"O","X"))</f>
        <v>O</v>
      </c>
      <c r="AQ22" s="75" t="str">
        <f>IF(O22="","",IF(O22&lt;=$AQ$1,"O","X"))</f>
        <v>O</v>
      </c>
      <c r="AR22" s="75" t="str">
        <f>IF(M22="","",IF(M22&lt;=$AR$1,"O","X"))</f>
        <v>X</v>
      </c>
      <c r="AS22" s="75" t="s">
        <v>2</v>
      </c>
      <c r="AT22" s="75" t="str">
        <f>IF(OR(F22="",AI22=""),"",IF(AND((F22&lt;=85),(AI22&gt;=15)),"O","X"))</f>
        <v>O</v>
      </c>
      <c r="AU22" s="75" t="str">
        <f>IF(C22="","",IF(C22&gt;=$AU$1,"O","X"))</f>
        <v>O</v>
      </c>
      <c r="AV22" s="75" t="str">
        <f>IF(AO22="","",IF(AND(AO22="O",AP22="O",AR22="O",AT22="O",AU22="O"),"후보","X"))</f>
        <v>X</v>
      </c>
    </row>
  </sheetData>
  <mergeCells count="1">
    <mergeCell ref="AJ1:AN1"/>
  </mergeCells>
  <phoneticPr fontId="2" type="noConversion"/>
  <conditionalFormatting sqref="AV4:AV6">
    <cfRule type="expression" dxfId="219" priority="212">
      <formula>AV4="X"</formula>
    </cfRule>
    <cfRule type="expression" dxfId="218" priority="213">
      <formula>AV4="후보"</formula>
    </cfRule>
  </conditionalFormatting>
  <conditionalFormatting sqref="AC1:AC2 AC4:AC6 N4:N5">
    <cfRule type="cellIs" dxfId="217" priority="209" operator="greaterThan">
      <formula>0.9</formula>
    </cfRule>
    <cfRule type="cellIs" dxfId="216" priority="210" operator="greaterThan">
      <formula>0.85</formula>
    </cfRule>
  </conditionalFormatting>
  <conditionalFormatting sqref="N1:N2">
    <cfRule type="cellIs" dxfId="215" priority="207" operator="greaterThan">
      <formula>0.9</formula>
    </cfRule>
    <cfRule type="cellIs" dxfId="214" priority="208" operator="greaterThan">
      <formula>0.85</formula>
    </cfRule>
  </conditionalFormatting>
  <conditionalFormatting sqref="N6">
    <cfRule type="cellIs" dxfId="213" priority="205" operator="greaterThan">
      <formula>0.9</formula>
    </cfRule>
    <cfRule type="cellIs" dxfId="212" priority="206" operator="greaterThan">
      <formula>0.85</formula>
    </cfRule>
  </conditionalFormatting>
  <conditionalFormatting sqref="E6">
    <cfRule type="expression" dxfId="211" priority="201">
      <formula>AND(IF(OR($Q6=1,$Q6=2),1,0),IF($X6&lt;=20,1,0))</formula>
    </cfRule>
    <cfRule type="expression" dxfId="210" priority="202">
      <formula>AND(IF($Q6=2,1,0),IF($X6&lt;30,1,0))</formula>
    </cfRule>
    <cfRule type="expression" dxfId="209" priority="203">
      <formula>AND(IF($Q6=3,1,0),IF($X6&lt;30,1,0))</formula>
    </cfRule>
    <cfRule type="expression" dxfId="208" priority="204">
      <formula>AND(IF($Q6=3,1,IF($Q6=4,1,0)),IF($F6&lt;=85,1,0))</formula>
    </cfRule>
  </conditionalFormatting>
  <conditionalFormatting sqref="X6">
    <cfRule type="expression" dxfId="207" priority="197">
      <formula>AND(IF(OR($Q6=1,$Q6=2),1,0),IF($X6&lt;=20,1,0))</formula>
    </cfRule>
    <cfRule type="expression" dxfId="206" priority="198">
      <formula>AND(IF($Q6=2,1,0),IF($X6&lt;30,1,0))</formula>
    </cfRule>
    <cfRule type="expression" dxfId="205" priority="199">
      <formula>AND(IF($Q6=3,1,0),IF($X6&lt;30,1,0))</formula>
    </cfRule>
    <cfRule type="expression" dxfId="204" priority="200">
      <formula>AND(IF($Q6=3,1,IF($Q6=4,1,0)),IF($F6&lt;=85,1,0))</formula>
    </cfRule>
  </conditionalFormatting>
  <conditionalFormatting sqref="AI6">
    <cfRule type="expression" dxfId="203" priority="193">
      <formula>AND(IF(OR($Q6=1,$Q6=2),1,0),IF($X6&lt;=20,1,0))</formula>
    </cfRule>
    <cfRule type="expression" dxfId="202" priority="194">
      <formula>AND(IF($Q6=2,1,0),IF($X6&lt;30,1,0))</formula>
    </cfRule>
    <cfRule type="expression" dxfId="201" priority="195">
      <formula>AND(IF($Q6=3,1,0),IF($X6&lt;30,1,0))</formula>
    </cfRule>
    <cfRule type="expression" dxfId="200" priority="196">
      <formula>AND(IF($Q6=3,1,IF($Q6=4,1,0)),IF($F6&lt;=85,1,0))</formula>
    </cfRule>
  </conditionalFormatting>
  <conditionalFormatting sqref="AV7">
    <cfRule type="expression" dxfId="199" priority="191">
      <formula>AV7="X"</formula>
    </cfRule>
    <cfRule type="expression" dxfId="198" priority="192">
      <formula>AV7="후보"</formula>
    </cfRule>
  </conditionalFormatting>
  <conditionalFormatting sqref="AC7 N7">
    <cfRule type="cellIs" dxfId="197" priority="188" operator="greaterThan">
      <formula>0.9</formula>
    </cfRule>
    <cfRule type="cellIs" dxfId="196" priority="189" operator="greaterThan">
      <formula>0.85</formula>
    </cfRule>
  </conditionalFormatting>
  <conditionalFormatting sqref="AV8">
    <cfRule type="expression" dxfId="195" priority="186">
      <formula>AV8="X"</formula>
    </cfRule>
    <cfRule type="expression" dxfId="194" priority="187">
      <formula>AV8="후보"</formula>
    </cfRule>
  </conditionalFormatting>
  <conditionalFormatting sqref="AC8">
    <cfRule type="cellIs" dxfId="193" priority="183" operator="greaterThan">
      <formula>0.9</formula>
    </cfRule>
    <cfRule type="cellIs" dxfId="192" priority="184" operator="greaterThan">
      <formula>0.85</formula>
    </cfRule>
  </conditionalFormatting>
  <conditionalFormatting sqref="N8">
    <cfRule type="cellIs" dxfId="191" priority="181" operator="greaterThan">
      <formula>0.9</formula>
    </cfRule>
    <cfRule type="cellIs" dxfId="190" priority="182" operator="greaterThan">
      <formula>0.85</formula>
    </cfRule>
  </conditionalFormatting>
  <conditionalFormatting sqref="E8">
    <cfRule type="expression" dxfId="189" priority="177">
      <formula>AND(IF(OR($Q8=1,$Q8=2),1,0),IF($X8&lt;=20,1,0))</formula>
    </cfRule>
    <cfRule type="expression" dxfId="188" priority="178">
      <formula>AND(IF($Q8=2,1,0),IF($X8&lt;30,1,0))</formula>
    </cfRule>
    <cfRule type="expression" dxfId="187" priority="179">
      <formula>AND(IF($Q8=3,1,0),IF($X8&lt;30,1,0))</formula>
    </cfRule>
    <cfRule type="expression" dxfId="186" priority="180">
      <formula>AND(IF($Q8=3,1,IF($Q8=4,1,0)),IF($F8&lt;=85,1,0))</formula>
    </cfRule>
  </conditionalFormatting>
  <conditionalFormatting sqref="X8">
    <cfRule type="expression" dxfId="185" priority="173">
      <formula>AND(IF(OR($Q8=1,$Q8=2),1,0),IF($X8&lt;=20,1,0))</formula>
    </cfRule>
    <cfRule type="expression" dxfId="184" priority="174">
      <formula>AND(IF($Q8=2,1,0),IF($X8&lt;30,1,0))</formula>
    </cfRule>
    <cfRule type="expression" dxfId="183" priority="175">
      <formula>AND(IF($Q8=3,1,0),IF($X8&lt;30,1,0))</formula>
    </cfRule>
    <cfRule type="expression" dxfId="182" priority="176">
      <formula>AND(IF($Q8=3,1,IF($Q8=4,1,0)),IF($F8&lt;=85,1,0))</formula>
    </cfRule>
  </conditionalFormatting>
  <conditionalFormatting sqref="AI8">
    <cfRule type="expression" dxfId="181" priority="169">
      <formula>AND(IF(OR($Q8=1,$Q8=2),1,0),IF($X8&lt;=20,1,0))</formula>
    </cfRule>
    <cfRule type="expression" dxfId="180" priority="170">
      <formula>AND(IF($Q8=2,1,0),IF($X8&lt;30,1,0))</formula>
    </cfRule>
    <cfRule type="expression" dxfId="179" priority="171">
      <formula>AND(IF($Q8=3,1,0),IF($X8&lt;30,1,0))</formula>
    </cfRule>
    <cfRule type="expression" dxfId="178" priority="172">
      <formula>AND(IF($Q8=3,1,IF($Q8=4,1,0)),IF($F8&lt;=85,1,0))</formula>
    </cfRule>
  </conditionalFormatting>
  <conditionalFormatting sqref="AV9">
    <cfRule type="expression" dxfId="177" priority="167">
      <formula>AV9="X"</formula>
    </cfRule>
    <cfRule type="expression" dxfId="176" priority="168">
      <formula>AV9="후보"</formula>
    </cfRule>
  </conditionalFormatting>
  <conditionalFormatting sqref="AC9 N9">
    <cfRule type="cellIs" dxfId="175" priority="164" operator="greaterThan">
      <formula>0.9</formula>
    </cfRule>
    <cfRule type="cellIs" dxfId="174" priority="165" operator="greaterThan">
      <formula>0.85</formula>
    </cfRule>
  </conditionalFormatting>
  <conditionalFormatting sqref="AV10">
    <cfRule type="expression" dxfId="173" priority="162">
      <formula>AV10="X"</formula>
    </cfRule>
    <cfRule type="expression" dxfId="172" priority="163">
      <formula>AV10="후보"</formula>
    </cfRule>
  </conditionalFormatting>
  <conditionalFormatting sqref="AC10">
    <cfRule type="cellIs" dxfId="171" priority="159" operator="greaterThan">
      <formula>0.9</formula>
    </cfRule>
    <cfRule type="cellIs" dxfId="170" priority="160" operator="greaterThan">
      <formula>0.85</formula>
    </cfRule>
  </conditionalFormatting>
  <conditionalFormatting sqref="N10">
    <cfRule type="cellIs" dxfId="169" priority="157" operator="greaterThan">
      <formula>0.9</formula>
    </cfRule>
    <cfRule type="cellIs" dxfId="168" priority="158" operator="greaterThan">
      <formula>0.85</formula>
    </cfRule>
  </conditionalFormatting>
  <conditionalFormatting sqref="E10">
    <cfRule type="expression" dxfId="167" priority="153">
      <formula>AND(IF(OR($Q10=1,$Q10=2),1,0),IF($X10&lt;=20,1,0))</formula>
    </cfRule>
    <cfRule type="expression" dxfId="166" priority="154">
      <formula>AND(IF($Q10=2,1,0),IF($X10&lt;30,1,0))</formula>
    </cfRule>
    <cfRule type="expression" dxfId="165" priority="155">
      <formula>AND(IF($Q10=3,1,0),IF($X10&lt;30,1,0))</formula>
    </cfRule>
    <cfRule type="expression" dxfId="164" priority="156">
      <formula>AND(IF($Q10=3,1,IF($Q10=4,1,0)),IF($F10&lt;=85,1,0))</formula>
    </cfRule>
  </conditionalFormatting>
  <conditionalFormatting sqref="X10">
    <cfRule type="expression" dxfId="163" priority="149">
      <formula>AND(IF(OR($Q10=1,$Q10=2),1,0),IF($X10&lt;=20,1,0))</formula>
    </cfRule>
    <cfRule type="expression" dxfId="162" priority="150">
      <formula>AND(IF($Q10=2,1,0),IF($X10&lt;30,1,0))</formula>
    </cfRule>
    <cfRule type="expression" dxfId="161" priority="151">
      <formula>AND(IF($Q10=3,1,0),IF($X10&lt;30,1,0))</formula>
    </cfRule>
    <cfRule type="expression" dxfId="160" priority="152">
      <formula>AND(IF($Q10=3,1,IF($Q10=4,1,0)),IF($F10&lt;=85,1,0))</formula>
    </cfRule>
  </conditionalFormatting>
  <conditionalFormatting sqref="AI10">
    <cfRule type="expression" dxfId="159" priority="145">
      <formula>AND(IF(OR($Q10=1,$Q10=2),1,0),IF($X10&lt;=20,1,0))</formula>
    </cfRule>
    <cfRule type="expression" dxfId="158" priority="146">
      <formula>AND(IF($Q10=2,1,0),IF($X10&lt;30,1,0))</formula>
    </cfRule>
    <cfRule type="expression" dxfId="157" priority="147">
      <formula>AND(IF($Q10=3,1,0),IF($X10&lt;30,1,0))</formula>
    </cfRule>
    <cfRule type="expression" dxfId="156" priority="148">
      <formula>AND(IF($Q10=3,1,IF($Q10=4,1,0)),IF($F10&lt;=85,1,0))</formula>
    </cfRule>
  </conditionalFormatting>
  <conditionalFormatting sqref="AV11">
    <cfRule type="expression" dxfId="155" priority="143">
      <formula>AV11="X"</formula>
    </cfRule>
    <cfRule type="expression" dxfId="154" priority="144">
      <formula>AV11="후보"</formula>
    </cfRule>
  </conditionalFormatting>
  <conditionalFormatting sqref="AC11 N11">
    <cfRule type="cellIs" dxfId="153" priority="140" operator="greaterThan">
      <formula>0.9</formula>
    </cfRule>
    <cfRule type="cellIs" dxfId="152" priority="141" operator="greaterThan">
      <formula>0.85</formula>
    </cfRule>
  </conditionalFormatting>
  <conditionalFormatting sqref="AV12">
    <cfRule type="expression" dxfId="151" priority="138">
      <formula>AV12="X"</formula>
    </cfRule>
    <cfRule type="expression" dxfId="150" priority="139">
      <formula>AV12="후보"</formula>
    </cfRule>
  </conditionalFormatting>
  <conditionalFormatting sqref="AC12">
    <cfRule type="cellIs" dxfId="149" priority="135" operator="greaterThan">
      <formula>0.9</formula>
    </cfRule>
    <cfRule type="cellIs" dxfId="148" priority="136" operator="greaterThan">
      <formula>0.85</formula>
    </cfRule>
  </conditionalFormatting>
  <conditionalFormatting sqref="N12">
    <cfRule type="cellIs" dxfId="147" priority="133" operator="greaterThan">
      <formula>0.9</formula>
    </cfRule>
    <cfRule type="cellIs" dxfId="146" priority="134" operator="greaterThan">
      <formula>0.85</formula>
    </cfRule>
  </conditionalFormatting>
  <conditionalFormatting sqref="E12">
    <cfRule type="expression" dxfId="145" priority="129">
      <formula>AND(IF(OR($Q12=1,$Q12=2),1,0),IF($X12&lt;=20,1,0))</formula>
    </cfRule>
    <cfRule type="expression" dxfId="144" priority="130">
      <formula>AND(IF($Q12=2,1,0),IF($X12&lt;30,1,0))</formula>
    </cfRule>
    <cfRule type="expression" dxfId="143" priority="131">
      <formula>AND(IF($Q12=3,1,0),IF($X12&lt;30,1,0))</formula>
    </cfRule>
    <cfRule type="expression" dxfId="142" priority="132">
      <formula>AND(IF($Q12=3,1,IF($Q12=4,1,0)),IF($F12&lt;=85,1,0))</formula>
    </cfRule>
  </conditionalFormatting>
  <conditionalFormatting sqref="X12">
    <cfRule type="expression" dxfId="141" priority="125">
      <formula>AND(IF(OR($Q12=1,$Q12=2),1,0),IF($X12&lt;=20,1,0))</formula>
    </cfRule>
    <cfRule type="expression" dxfId="140" priority="126">
      <formula>AND(IF($Q12=2,1,0),IF($X12&lt;30,1,0))</formula>
    </cfRule>
    <cfRule type="expression" dxfId="139" priority="127">
      <formula>AND(IF($Q12=3,1,0),IF($X12&lt;30,1,0))</formula>
    </cfRule>
    <cfRule type="expression" dxfId="138" priority="128">
      <formula>AND(IF($Q12=3,1,IF($Q12=4,1,0)),IF($F12&lt;=85,1,0))</formula>
    </cfRule>
  </conditionalFormatting>
  <conditionalFormatting sqref="AI12">
    <cfRule type="expression" dxfId="137" priority="121">
      <formula>AND(IF(OR($Q12=1,$Q12=2),1,0),IF($X12&lt;=20,1,0))</formula>
    </cfRule>
    <cfRule type="expression" dxfId="136" priority="122">
      <formula>AND(IF($Q12=2,1,0),IF($X12&lt;30,1,0))</formula>
    </cfRule>
    <cfRule type="expression" dxfId="135" priority="123">
      <formula>AND(IF($Q12=3,1,0),IF($X12&lt;30,1,0))</formula>
    </cfRule>
    <cfRule type="expression" dxfId="134" priority="124">
      <formula>AND(IF($Q12=3,1,IF($Q12=4,1,0)),IF($F12&lt;=85,1,0))</formula>
    </cfRule>
  </conditionalFormatting>
  <conditionalFormatting sqref="AV13">
    <cfRule type="expression" dxfId="133" priority="119">
      <formula>AV13="X"</formula>
    </cfRule>
    <cfRule type="expression" dxfId="132" priority="120">
      <formula>AV13="후보"</formula>
    </cfRule>
  </conditionalFormatting>
  <conditionalFormatting sqref="AC13 N13">
    <cfRule type="cellIs" dxfId="131" priority="116" operator="greaterThan">
      <formula>0.9</formula>
    </cfRule>
    <cfRule type="cellIs" dxfId="130" priority="117" operator="greaterThan">
      <formula>0.85</formula>
    </cfRule>
  </conditionalFormatting>
  <conditionalFormatting sqref="AV14">
    <cfRule type="expression" dxfId="129" priority="114">
      <formula>AV14="X"</formula>
    </cfRule>
    <cfRule type="expression" dxfId="128" priority="115">
      <formula>AV14="후보"</formula>
    </cfRule>
  </conditionalFormatting>
  <conditionalFormatting sqref="AC14">
    <cfRule type="cellIs" dxfId="127" priority="111" operator="greaterThan">
      <formula>0.9</formula>
    </cfRule>
    <cfRule type="cellIs" dxfId="126" priority="112" operator="greaterThan">
      <formula>0.85</formula>
    </cfRule>
  </conditionalFormatting>
  <conditionalFormatting sqref="N14">
    <cfRule type="cellIs" dxfId="125" priority="109" operator="greaterThan">
      <formula>0.9</formula>
    </cfRule>
    <cfRule type="cellIs" dxfId="124" priority="110" operator="greaterThan">
      <formula>0.85</formula>
    </cfRule>
  </conditionalFormatting>
  <conditionalFormatting sqref="E14">
    <cfRule type="expression" dxfId="123" priority="105">
      <formula>AND(IF(OR($Q14=1,$Q14=2),1,0),IF($X14&lt;=20,1,0))</formula>
    </cfRule>
    <cfRule type="expression" dxfId="122" priority="106">
      <formula>AND(IF($Q14=2,1,0),IF($X14&lt;30,1,0))</formula>
    </cfRule>
    <cfRule type="expression" dxfId="121" priority="107">
      <formula>AND(IF($Q14=3,1,0),IF($X14&lt;30,1,0))</formula>
    </cfRule>
    <cfRule type="expression" dxfId="120" priority="108">
      <formula>AND(IF($Q14=3,1,IF($Q14=4,1,0)),IF($F14&lt;=85,1,0))</formula>
    </cfRule>
  </conditionalFormatting>
  <conditionalFormatting sqref="X14">
    <cfRule type="expression" dxfId="119" priority="101">
      <formula>AND(IF(OR($Q14=1,$Q14=2),1,0),IF($X14&lt;=20,1,0))</formula>
    </cfRule>
    <cfRule type="expression" dxfId="118" priority="102">
      <formula>AND(IF($Q14=2,1,0),IF($X14&lt;30,1,0))</formula>
    </cfRule>
    <cfRule type="expression" dxfId="117" priority="103">
      <formula>AND(IF($Q14=3,1,0),IF($X14&lt;30,1,0))</formula>
    </cfRule>
    <cfRule type="expression" dxfId="116" priority="104">
      <formula>AND(IF($Q14=3,1,IF($Q14=4,1,0)),IF($F14&lt;=85,1,0))</formula>
    </cfRule>
  </conditionalFormatting>
  <conditionalFormatting sqref="AI14">
    <cfRule type="expression" dxfId="115" priority="97">
      <formula>AND(IF(OR($Q14=1,$Q14=2),1,0),IF($X14&lt;=20,1,0))</formula>
    </cfRule>
    <cfRule type="expression" dxfId="114" priority="98">
      <formula>AND(IF($Q14=2,1,0),IF($X14&lt;30,1,0))</formula>
    </cfRule>
    <cfRule type="expression" dxfId="113" priority="99">
      <formula>AND(IF($Q14=3,1,0),IF($X14&lt;30,1,0))</formula>
    </cfRule>
    <cfRule type="expression" dxfId="112" priority="100">
      <formula>AND(IF($Q14=3,1,IF($Q14=4,1,0)),IF($F14&lt;=85,1,0))</formula>
    </cfRule>
  </conditionalFormatting>
  <conditionalFormatting sqref="AV15">
    <cfRule type="expression" dxfId="111" priority="95">
      <formula>AV15="X"</formula>
    </cfRule>
    <cfRule type="expression" dxfId="110" priority="96">
      <formula>AV15="후보"</formula>
    </cfRule>
  </conditionalFormatting>
  <conditionalFormatting sqref="AC15 N15">
    <cfRule type="cellIs" dxfId="109" priority="92" operator="greaterThan">
      <formula>0.9</formula>
    </cfRule>
    <cfRule type="cellIs" dxfId="108" priority="93" operator="greaterThan">
      <formula>0.85</formula>
    </cfRule>
  </conditionalFormatting>
  <conditionalFormatting sqref="AV16">
    <cfRule type="expression" dxfId="107" priority="90">
      <formula>AV16="X"</formula>
    </cfRule>
    <cfRule type="expression" dxfId="106" priority="91">
      <formula>AV16="후보"</formula>
    </cfRule>
  </conditionalFormatting>
  <conditionalFormatting sqref="AC16">
    <cfRule type="cellIs" dxfId="105" priority="87" operator="greaterThan">
      <formula>0.9</formula>
    </cfRule>
    <cfRule type="cellIs" dxfId="104" priority="88" operator="greaterThan">
      <formula>0.85</formula>
    </cfRule>
  </conditionalFormatting>
  <conditionalFormatting sqref="N16">
    <cfRule type="cellIs" dxfId="103" priority="85" operator="greaterThan">
      <formula>0.9</formula>
    </cfRule>
    <cfRule type="cellIs" dxfId="102" priority="86" operator="greaterThan">
      <formula>0.85</formula>
    </cfRule>
  </conditionalFormatting>
  <conditionalFormatting sqref="E16">
    <cfRule type="expression" dxfId="101" priority="81">
      <formula>AND(IF(OR($Q16=1,$Q16=2),1,0),IF($X16&lt;=20,1,0))</formula>
    </cfRule>
    <cfRule type="expression" dxfId="100" priority="82">
      <formula>AND(IF($Q16=2,1,0),IF($X16&lt;30,1,0))</formula>
    </cfRule>
    <cfRule type="expression" dxfId="99" priority="83">
      <formula>AND(IF($Q16=3,1,0),IF($X16&lt;30,1,0))</formula>
    </cfRule>
    <cfRule type="expression" dxfId="98" priority="84">
      <formula>AND(IF($Q16=3,1,IF($Q16=4,1,0)),IF($F16&lt;=85,1,0))</formula>
    </cfRule>
  </conditionalFormatting>
  <conditionalFormatting sqref="X16">
    <cfRule type="expression" dxfId="97" priority="77">
      <formula>AND(IF(OR($Q16=1,$Q16=2),1,0),IF($X16&lt;=20,1,0))</formula>
    </cfRule>
    <cfRule type="expression" dxfId="96" priority="78">
      <formula>AND(IF($Q16=2,1,0),IF($X16&lt;30,1,0))</formula>
    </cfRule>
    <cfRule type="expression" dxfId="95" priority="79">
      <formula>AND(IF($Q16=3,1,0),IF($X16&lt;30,1,0))</formula>
    </cfRule>
    <cfRule type="expression" dxfId="94" priority="80">
      <formula>AND(IF($Q16=3,1,IF($Q16=4,1,0)),IF($F16&lt;=85,1,0))</formula>
    </cfRule>
  </conditionalFormatting>
  <conditionalFormatting sqref="AI16">
    <cfRule type="expression" dxfId="93" priority="73">
      <formula>AND(IF(OR($Q16=1,$Q16=2),1,0),IF($X16&lt;=20,1,0))</formula>
    </cfRule>
    <cfRule type="expression" dxfId="92" priority="74">
      <formula>AND(IF($Q16=2,1,0),IF($X16&lt;30,1,0))</formula>
    </cfRule>
    <cfRule type="expression" dxfId="91" priority="75">
      <formula>AND(IF($Q16=3,1,0),IF($X16&lt;30,1,0))</formula>
    </cfRule>
    <cfRule type="expression" dxfId="90" priority="76">
      <formula>AND(IF($Q16=3,1,IF($Q16=4,1,0)),IF($F16&lt;=85,1,0))</formula>
    </cfRule>
  </conditionalFormatting>
  <conditionalFormatting sqref="AV17">
    <cfRule type="expression" dxfId="89" priority="71">
      <formula>AV17="X"</formula>
    </cfRule>
    <cfRule type="expression" dxfId="88" priority="72">
      <formula>AV17="후보"</formula>
    </cfRule>
  </conditionalFormatting>
  <conditionalFormatting sqref="AC17 N17">
    <cfRule type="cellIs" dxfId="87" priority="68" operator="greaterThan">
      <formula>0.9</formula>
    </cfRule>
    <cfRule type="cellIs" dxfId="86" priority="69" operator="greaterThan">
      <formula>0.85</formula>
    </cfRule>
  </conditionalFormatting>
  <conditionalFormatting sqref="AV18">
    <cfRule type="expression" dxfId="85" priority="66">
      <formula>AV18="X"</formula>
    </cfRule>
    <cfRule type="expression" dxfId="84" priority="67">
      <formula>AV18="후보"</formula>
    </cfRule>
  </conditionalFormatting>
  <conditionalFormatting sqref="AC18">
    <cfRule type="cellIs" dxfId="83" priority="63" operator="greaterThan">
      <formula>0.9</formula>
    </cfRule>
    <cfRule type="cellIs" dxfId="82" priority="64" operator="greaterThan">
      <formula>0.85</formula>
    </cfRule>
  </conditionalFormatting>
  <conditionalFormatting sqref="N18">
    <cfRule type="cellIs" dxfId="81" priority="61" operator="greaterThan">
      <formula>0.9</formula>
    </cfRule>
    <cfRule type="cellIs" dxfId="80" priority="62" operator="greaterThan">
      <formula>0.85</formula>
    </cfRule>
  </conditionalFormatting>
  <conditionalFormatting sqref="E18">
    <cfRule type="expression" dxfId="79" priority="57">
      <formula>AND(IF(OR($Q18=1,$Q18=2),1,0),IF($X18&lt;=20,1,0))</formula>
    </cfRule>
    <cfRule type="expression" dxfId="78" priority="58">
      <formula>AND(IF($Q18=2,1,0),IF($X18&lt;30,1,0))</formula>
    </cfRule>
    <cfRule type="expression" dxfId="77" priority="59">
      <formula>AND(IF($Q18=3,1,0),IF($X18&lt;30,1,0))</formula>
    </cfRule>
    <cfRule type="expression" dxfId="76" priority="60">
      <formula>AND(IF($Q18=3,1,IF($Q18=4,1,0)),IF($F18&lt;=85,1,0))</formula>
    </cfRule>
  </conditionalFormatting>
  <conditionalFormatting sqref="X18">
    <cfRule type="expression" dxfId="75" priority="53">
      <formula>AND(IF(OR($Q18=1,$Q18=2),1,0),IF($X18&lt;=20,1,0))</formula>
    </cfRule>
    <cfRule type="expression" dxfId="74" priority="54">
      <formula>AND(IF($Q18=2,1,0),IF($X18&lt;30,1,0))</formula>
    </cfRule>
    <cfRule type="expression" dxfId="73" priority="55">
      <formula>AND(IF($Q18=3,1,0),IF($X18&lt;30,1,0))</formula>
    </cfRule>
    <cfRule type="expression" dxfId="72" priority="56">
      <formula>AND(IF($Q18=3,1,IF($Q18=4,1,0)),IF($F18&lt;=85,1,0))</formula>
    </cfRule>
  </conditionalFormatting>
  <conditionalFormatting sqref="AI18">
    <cfRule type="expression" dxfId="71" priority="49">
      <formula>AND(IF(OR($Q18=1,$Q18=2),1,0),IF($X18&lt;=20,1,0))</formula>
    </cfRule>
    <cfRule type="expression" dxfId="70" priority="50">
      <formula>AND(IF($Q18=2,1,0),IF($X18&lt;30,1,0))</formula>
    </cfRule>
    <cfRule type="expression" dxfId="69" priority="51">
      <formula>AND(IF($Q18=3,1,0),IF($X18&lt;30,1,0))</formula>
    </cfRule>
    <cfRule type="expression" dxfId="68" priority="52">
      <formula>AND(IF($Q18=3,1,IF($Q18=4,1,0)),IF($F18&lt;=85,1,0))</formula>
    </cfRule>
  </conditionalFormatting>
  <conditionalFormatting sqref="AV19">
    <cfRule type="expression" dxfId="67" priority="47">
      <formula>AV19="X"</formula>
    </cfRule>
    <cfRule type="expression" dxfId="66" priority="48">
      <formula>AV19="후보"</formula>
    </cfRule>
  </conditionalFormatting>
  <conditionalFormatting sqref="AC19 N19">
    <cfRule type="cellIs" dxfId="65" priority="44" operator="greaterThan">
      <formula>0.9</formula>
    </cfRule>
    <cfRule type="cellIs" dxfId="64" priority="45" operator="greaterThan">
      <formula>0.85</formula>
    </cfRule>
  </conditionalFormatting>
  <conditionalFormatting sqref="AV20">
    <cfRule type="expression" dxfId="63" priority="42">
      <formula>AV20="X"</formula>
    </cfRule>
    <cfRule type="expression" dxfId="62" priority="43">
      <formula>AV20="후보"</formula>
    </cfRule>
  </conditionalFormatting>
  <conditionalFormatting sqref="AC20">
    <cfRule type="cellIs" dxfId="61" priority="39" operator="greaterThan">
      <formula>0.9</formula>
    </cfRule>
    <cfRule type="cellIs" dxfId="60" priority="40" operator="greaterThan">
      <formula>0.85</formula>
    </cfRule>
  </conditionalFormatting>
  <conditionalFormatting sqref="N20">
    <cfRule type="cellIs" dxfId="59" priority="37" operator="greaterThan">
      <formula>0.9</formula>
    </cfRule>
    <cfRule type="cellIs" dxfId="58" priority="38" operator="greaterThan">
      <formula>0.85</formula>
    </cfRule>
  </conditionalFormatting>
  <conditionalFormatting sqref="E20">
    <cfRule type="expression" dxfId="57" priority="33">
      <formula>AND(IF(OR($Q20=1,$Q20=2),1,0),IF($X20&lt;=20,1,0))</formula>
    </cfRule>
    <cfRule type="expression" dxfId="56" priority="34">
      <formula>AND(IF($Q20=2,1,0),IF($X20&lt;30,1,0))</formula>
    </cfRule>
    <cfRule type="expression" dxfId="55" priority="35">
      <formula>AND(IF($Q20=3,1,0),IF($X20&lt;30,1,0))</formula>
    </cfRule>
    <cfRule type="expression" dxfId="54" priority="36">
      <formula>AND(IF($Q20=3,1,IF($Q20=4,1,0)),IF($F20&lt;=85,1,0))</formula>
    </cfRule>
  </conditionalFormatting>
  <conditionalFormatting sqref="X20">
    <cfRule type="expression" dxfId="53" priority="29">
      <formula>AND(IF(OR($Q20=1,$Q20=2),1,0),IF($X20&lt;=20,1,0))</formula>
    </cfRule>
    <cfRule type="expression" dxfId="52" priority="30">
      <formula>AND(IF($Q20=2,1,0),IF($X20&lt;30,1,0))</formula>
    </cfRule>
    <cfRule type="expression" dxfId="51" priority="31">
      <formula>AND(IF($Q20=3,1,0),IF($X20&lt;30,1,0))</formula>
    </cfRule>
    <cfRule type="expression" dxfId="50" priority="32">
      <formula>AND(IF($Q20=3,1,IF($Q20=4,1,0)),IF($F20&lt;=85,1,0))</formula>
    </cfRule>
  </conditionalFormatting>
  <conditionalFormatting sqref="AI20">
    <cfRule type="expression" dxfId="49" priority="25">
      <formula>AND(IF(OR($Q20=1,$Q20=2),1,0),IF($X20&lt;=20,1,0))</formula>
    </cfRule>
    <cfRule type="expression" dxfId="48" priority="26">
      <formula>AND(IF($Q20=2,1,0),IF($X20&lt;30,1,0))</formula>
    </cfRule>
    <cfRule type="expression" dxfId="47" priority="27">
      <formula>AND(IF($Q20=3,1,0),IF($X20&lt;30,1,0))</formula>
    </cfRule>
    <cfRule type="expression" dxfId="46" priority="28">
      <formula>AND(IF($Q20=3,1,IF($Q20=4,1,0)),IF($F20&lt;=85,1,0))</formula>
    </cfRule>
  </conditionalFormatting>
  <conditionalFormatting sqref="AV21">
    <cfRule type="expression" dxfId="45" priority="23">
      <formula>AV21="X"</formula>
    </cfRule>
    <cfRule type="expression" dxfId="44" priority="24">
      <formula>AV21="후보"</formula>
    </cfRule>
  </conditionalFormatting>
  <conditionalFormatting sqref="AC21 N21">
    <cfRule type="cellIs" dxfId="43" priority="20" operator="greaterThan">
      <formula>0.9</formula>
    </cfRule>
    <cfRule type="cellIs" dxfId="42" priority="21" operator="greaterThan">
      <formula>0.85</formula>
    </cfRule>
  </conditionalFormatting>
  <conditionalFormatting sqref="AV22">
    <cfRule type="expression" dxfId="41" priority="18">
      <formula>AV22="X"</formula>
    </cfRule>
    <cfRule type="expression" dxfId="40" priority="19">
      <formula>AV22="후보"</formula>
    </cfRule>
  </conditionalFormatting>
  <conditionalFormatting sqref="AC22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22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22">
    <cfRule type="expression" dxfId="35" priority="9">
      <formula>AND(IF(OR($Q22=1,$Q22=2),1,0),IF($X22&lt;=20,1,0))</formula>
    </cfRule>
    <cfRule type="expression" dxfId="34" priority="10">
      <formula>AND(IF($Q22=2,1,0),IF($X22&lt;30,1,0))</formula>
    </cfRule>
    <cfRule type="expression" dxfId="33" priority="11">
      <formula>AND(IF($Q22=3,1,0),IF($X22&lt;30,1,0))</formula>
    </cfRule>
    <cfRule type="expression" dxfId="32" priority="12">
      <formula>AND(IF($Q22=3,1,IF($Q22=4,1,0)),IF($F22&lt;=85,1,0))</formula>
    </cfRule>
  </conditionalFormatting>
  <conditionalFormatting sqref="X22">
    <cfRule type="expression" dxfId="31" priority="5">
      <formula>AND(IF(OR($Q22=1,$Q22=2),1,0),IF($X22&lt;=20,1,0))</formula>
    </cfRule>
    <cfRule type="expression" dxfId="30" priority="6">
      <formula>AND(IF($Q22=2,1,0),IF($X22&lt;30,1,0))</formula>
    </cfRule>
    <cfRule type="expression" dxfId="29" priority="7">
      <formula>AND(IF($Q22=3,1,0),IF($X22&lt;30,1,0))</formula>
    </cfRule>
    <cfRule type="expression" dxfId="28" priority="8">
      <formula>AND(IF($Q22=3,1,IF($Q22=4,1,0)),IF($F22&lt;=85,1,0))</formula>
    </cfRule>
  </conditionalFormatting>
  <conditionalFormatting sqref="AI22">
    <cfRule type="expression" dxfId="27" priority="1">
      <formula>AND(IF(OR($Q22=1,$Q22=2),1,0),IF($X22&lt;=20,1,0))</formula>
    </cfRule>
    <cfRule type="expression" dxfId="26" priority="2">
      <formula>AND(IF($Q22=2,1,0),IF($X22&lt;30,1,0))</formula>
    </cfRule>
    <cfRule type="expression" dxfId="25" priority="3">
      <formula>AND(IF($Q22=3,1,0),IF($X22&lt;30,1,0))</formula>
    </cfRule>
    <cfRule type="expression" dxfId="24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319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320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320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380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>IF(E4="","",E4)</f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동명 단지명('19.04,905^)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>IF(A5="","",A5)</f>
        <v/>
      </c>
      <c r="AI5" s="103" t="str">
        <f>IF(E5="","",E5)</f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20</v>
      </c>
      <c r="B6" s="10" t="s">
        <v>381</v>
      </c>
      <c r="C6" s="107">
        <v>905</v>
      </c>
      <c r="D6" s="104">
        <v>79.3</v>
      </c>
      <c r="E6" s="106">
        <v>24</v>
      </c>
      <c r="F6" s="104">
        <v>59.8</v>
      </c>
      <c r="G6" s="17">
        <v>18</v>
      </c>
      <c r="H6" s="107">
        <v>240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3</v>
      </c>
      <c r="R6" s="75">
        <v>2</v>
      </c>
      <c r="S6" s="75" t="s">
        <v>324</v>
      </c>
      <c r="T6" s="5">
        <v>79</v>
      </c>
      <c r="U6" s="9"/>
      <c r="W6" s="104">
        <f>D6</f>
        <v>79.3</v>
      </c>
      <c r="X6" s="106">
        <f>E6</f>
        <v>24</v>
      </c>
      <c r="Y6" s="102">
        <f>H6</f>
        <v>240</v>
      </c>
      <c r="Z6" s="109">
        <f>I6</f>
        <v>0</v>
      </c>
      <c r="AA6" s="109">
        <f>K6</f>
        <v>0</v>
      </c>
      <c r="AB6" s="109">
        <f>M6</f>
        <v>0</v>
      </c>
      <c r="AC6" s="4" t="str">
        <f>N6</f>
        <v/>
      </c>
      <c r="AD6" s="105">
        <f>O6</f>
        <v>0</v>
      </c>
      <c r="AE6" s="75" t="str">
        <f>S6</f>
        <v>계</v>
      </c>
      <c r="AF6" s="75" t="str">
        <f>Q6&amp;"/"&amp;R6</f>
        <v>3/2</v>
      </c>
      <c r="AH6" s="20" t="str">
        <f>IF(A6="","",A6)</f>
        <v>단지명</v>
      </c>
      <c r="AI6" s="106">
        <f>IF(E6="","",E6)</f>
        <v>24</v>
      </c>
      <c r="AJ6" s="75" t="str">
        <f>IF(AI6="","",$AJ$2)</f>
        <v>A-</v>
      </c>
      <c r="AK6" s="75" t="s">
        <v>13</v>
      </c>
      <c r="AL6" s="75" t="s">
        <v>325</v>
      </c>
      <c r="AM6" s="75" t="s">
        <v>326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이름이 지정된 범위</vt:lpstr>
      </vt:variant>
      <vt:variant>
        <vt:i4>26</vt:i4>
      </vt:variant>
    </vt:vector>
  </HeadingPairs>
  <TitlesOfParts>
    <vt:vector size="42" baseType="lpstr">
      <vt:lpstr>단지추출</vt:lpstr>
      <vt:lpstr>단지추출_가격표용</vt:lpstr>
      <vt:lpstr>동별가격표</vt:lpstr>
      <vt:lpstr>정보입력(KB)</vt:lpstr>
      <vt:lpstr>정보입력</vt:lpstr>
      <vt:lpstr>판부면</vt:lpstr>
      <vt:lpstr>태장동</vt:lpstr>
      <vt:lpstr>지정면</vt:lpstr>
      <vt:lpstr>우산동</vt:lpstr>
      <vt:lpstr>반곡동</vt:lpstr>
      <vt:lpstr>문막읍</vt:lpstr>
      <vt:lpstr>무실동</vt:lpstr>
      <vt:lpstr>명륜동</vt:lpstr>
      <vt:lpstr>단구동</vt:lpstr>
      <vt:lpstr>단계동</vt:lpstr>
      <vt:lpstr>양식</vt:lpstr>
      <vt:lpstr>단계동!Print_Area</vt:lpstr>
      <vt:lpstr>단구동!Print_Area</vt:lpstr>
      <vt:lpstr>단지추출!Print_Area</vt:lpstr>
      <vt:lpstr>단지추출_가격표용!Print_Area</vt:lpstr>
      <vt:lpstr>명륜동!Print_Area</vt:lpstr>
      <vt:lpstr>무실동!Print_Area</vt:lpstr>
      <vt:lpstr>문막읍!Print_Area</vt:lpstr>
      <vt:lpstr>반곡동!Print_Area</vt:lpstr>
      <vt:lpstr>양식!Print_Area</vt:lpstr>
      <vt:lpstr>우산동!Print_Area</vt:lpstr>
      <vt:lpstr>지정면!Print_Area</vt:lpstr>
      <vt:lpstr>태장동!Print_Area</vt:lpstr>
      <vt:lpstr>판부면!Print_Area</vt:lpstr>
      <vt:lpstr>단계동!Print_Titles</vt:lpstr>
      <vt:lpstr>단구동!Print_Titles</vt:lpstr>
      <vt:lpstr>단지추출!Print_Titles</vt:lpstr>
      <vt:lpstr>단지추출_가격표용!Print_Titles</vt:lpstr>
      <vt:lpstr>명륜동!Print_Titles</vt:lpstr>
      <vt:lpstr>무실동!Print_Titles</vt:lpstr>
      <vt:lpstr>문막읍!Print_Titles</vt:lpstr>
      <vt:lpstr>반곡동!Print_Titles</vt:lpstr>
      <vt:lpstr>양식!Print_Titles</vt:lpstr>
      <vt:lpstr>우산동!Print_Titles</vt:lpstr>
      <vt:lpstr>지정면!Print_Titles</vt:lpstr>
      <vt:lpstr>태장동!Print_Titles</vt:lpstr>
      <vt:lpstr>판부면!Print_Titles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2022-03-17T13:35:16Z</dcterms:modified>
</cp:coreProperties>
</file>