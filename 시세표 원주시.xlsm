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5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4" sqref="A64:XFD6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0" t="n">
        <v>359</v>
      </c>
      <c r="D4" s="131" t="n">
        <v>110</v>
      </c>
      <c r="E4" s="132" t="n">
        <v>33</v>
      </c>
      <c r="F4" s="131" t="n">
        <v>80</v>
      </c>
      <c r="G4" s="17" t="n">
        <v>24</v>
      </c>
      <c r="H4" s="133" t="n">
        <v>157</v>
      </c>
      <c r="I4" s="134" t="n">
        <v>34500</v>
      </c>
      <c r="J4" s="134" t="inlineStr">
        <is>
          <t>6</t>
        </is>
      </c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1</v>
      </c>
      <c r="S4" s="121" t="inlineStr">
        <is>
          <t>계</t>
        </is>
      </c>
      <c r="T4" s="5" t="inlineStr">
        <is>
          <t>77B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0" t="n">
        <v>359</v>
      </c>
      <c r="D5" s="131" t="n">
        <v>82.40000000000001</v>
      </c>
      <c r="E5" s="132" t="n">
        <v>25</v>
      </c>
      <c r="F5" s="131" t="n">
        <v>60</v>
      </c>
      <c r="G5" s="17" t="n">
        <v>18</v>
      </c>
      <c r="H5" s="133" t="n">
        <v>126</v>
      </c>
      <c r="I5" s="134" t="n">
        <v>28500</v>
      </c>
      <c r="J5" s="134" t="inlineStr">
        <is>
          <t>14</t>
        </is>
      </c>
      <c r="K5" s="134" t="n">
        <v>22000</v>
      </c>
      <c r="L5" s="134" t="inlineStr">
        <is>
          <t>19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계</t>
        </is>
      </c>
      <c r="T5" s="5" t="inlineStr">
        <is>
          <t>70C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0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중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0" t="n">
        <v>703</v>
      </c>
      <c r="D7" s="131" t="n">
        <v>103.5</v>
      </c>
      <c r="E7" s="132" t="n">
        <v>31</v>
      </c>
      <c r="F7" s="131" t="n">
        <v>75</v>
      </c>
      <c r="G7" s="17" t="n">
        <v>23</v>
      </c>
      <c r="H7" s="133" t="n">
        <v>308</v>
      </c>
      <c r="I7" s="134" t="n">
        <v>29000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0" t="n">
        <v>703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227</v>
      </c>
      <c r="I8" s="134" t="n">
        <v>23000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54S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0" t="n">
        <v>920</v>
      </c>
      <c r="D9" s="131" t="n">
        <v>82.40000000000001</v>
      </c>
      <c r="E9" s="132" t="n">
        <v>25</v>
      </c>
      <c r="F9" s="131" t="n">
        <v>60</v>
      </c>
      <c r="G9" s="17" t="n">
        <v>18</v>
      </c>
      <c r="H9" s="133" t="n">
        <v>372</v>
      </c>
      <c r="I9" s="134" t="n">
        <v>21000</v>
      </c>
      <c r="J9" s="134" t="inlineStr">
        <is>
          <t>고</t>
        </is>
      </c>
      <c r="K9" s="134" t="n">
        <v>20000</v>
      </c>
      <c r="L9" s="134" t="inlineStr">
        <is>
          <t>17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5</v>
      </c>
      <c r="R9" s="121" t="n">
        <v>3</v>
      </c>
      <c r="S9" s="121" t="inlineStr">
        <is>
          <t>계</t>
        </is>
      </c>
      <c r="T9" s="5" t="inlineStr">
        <is>
          <t>204A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0" t="n">
        <v>536</v>
      </c>
      <c r="D10" s="131" t="n">
        <v>111</v>
      </c>
      <c r="E10" s="132" t="n">
        <v>34</v>
      </c>
      <c r="F10" s="131" t="n">
        <v>85</v>
      </c>
      <c r="G10" s="17" t="n">
        <v>26</v>
      </c>
      <c r="H10" s="133" t="n">
        <v>243</v>
      </c>
      <c r="I10" s="134" t="n">
        <v>50000</v>
      </c>
      <c r="J10" s="134" t="inlineStr">
        <is>
          <t>10</t>
        </is>
      </c>
      <c r="K10" s="134" t="n">
        <v>25000</v>
      </c>
      <c r="L10" s="134" t="inlineStr">
        <is>
          <t>10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0" t="n">
        <v>624</v>
      </c>
      <c r="D11" s="131" t="n">
        <v>110.3</v>
      </c>
      <c r="E11" s="132" t="n">
        <v>33</v>
      </c>
      <c r="F11" s="131" t="n">
        <v>85</v>
      </c>
      <c r="G11" s="17" t="n">
        <v>26</v>
      </c>
      <c r="H11" s="133" t="n">
        <v>266</v>
      </c>
      <c r="I11" s="134" t="n">
        <v>53000</v>
      </c>
      <c r="J11" s="134" t="inlineStr">
        <is>
          <t>14</t>
        </is>
      </c>
      <c r="K11" s="134" t="n">
        <v>28000</v>
      </c>
      <c r="L11" s="134" t="inlineStr">
        <is>
          <t>18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0" t="n">
        <v>776</v>
      </c>
      <c r="D12" s="131" t="n">
        <v>114.7</v>
      </c>
      <c r="E12" s="132" t="n">
        <v>35</v>
      </c>
      <c r="F12" s="131" t="n">
        <v>85</v>
      </c>
      <c r="G12" s="17" t="n">
        <v>26</v>
      </c>
      <c r="H12" s="133" t="n">
        <v>428</v>
      </c>
      <c r="I12" s="134" t="n">
        <v>42500</v>
      </c>
      <c r="J12" s="134" t="inlineStr">
        <is>
          <t>고</t>
        </is>
      </c>
      <c r="K12" s="134" t="n">
        <v>25000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107B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37000</v>
      </c>
      <c r="J13" s="134" t="inlineStr">
        <is>
          <t>6</t>
        </is>
      </c>
      <c r="K13" s="134" t="n">
        <v>25000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0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40000</v>
      </c>
      <c r="J14" s="134" t="inlineStr">
        <is>
          <t>9</t>
        </is>
      </c>
      <c r="K14" s="134" t="n">
        <v>25000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0" t="n">
        <v>882</v>
      </c>
      <c r="D15" s="131" t="n">
        <v>113.5</v>
      </c>
      <c r="E15" s="132" t="n">
        <v>34</v>
      </c>
      <c r="F15" s="131" t="n">
        <v>85</v>
      </c>
      <c r="G15" s="17" t="n">
        <v>26</v>
      </c>
      <c r="H15" s="133" t="n">
        <v>407</v>
      </c>
      <c r="I15" s="134" t="n">
        <v>41000</v>
      </c>
      <c r="J15" s="134" t="inlineStr">
        <is>
          <t>16</t>
        </is>
      </c>
      <c r="K15" s="134" t="n">
        <v>24000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inlineStr">
        <is>
          <t>34C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0" t="n">
        <v>1243</v>
      </c>
      <c r="D16" s="131" t="n">
        <v>113.2</v>
      </c>
      <c r="E16" s="132" t="n">
        <v>34</v>
      </c>
      <c r="F16" s="131" t="n">
        <v>85</v>
      </c>
      <c r="G16" s="17" t="n">
        <v>26</v>
      </c>
      <c r="H16" s="133" t="n">
        <v>24</v>
      </c>
      <c r="I16" s="134" t="n">
        <v>42000</v>
      </c>
      <c r="J16" s="134" t="inlineStr">
        <is>
          <t>15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0" t="n">
        <v>548</v>
      </c>
      <c r="D17" s="131" t="n">
        <v>109.7</v>
      </c>
      <c r="E17" s="132" t="n">
        <v>33</v>
      </c>
      <c r="F17" s="131" t="n">
        <v>85</v>
      </c>
      <c r="G17" s="17" t="n">
        <v>26</v>
      </c>
      <c r="H17" s="133" t="n">
        <v>180</v>
      </c>
      <c r="I17" s="134" t="n">
        <v>38000</v>
      </c>
      <c r="J17" s="134" t="inlineStr">
        <is>
          <t>고</t>
        </is>
      </c>
      <c r="K17" s="134" t="n">
        <v>24000</v>
      </c>
      <c r="L17" s="134" t="inlineStr">
        <is>
          <t>27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0" t="n">
        <v>892</v>
      </c>
      <c r="D18" s="131" t="n">
        <v>111</v>
      </c>
      <c r="E18" s="132" t="n">
        <v>34</v>
      </c>
      <c r="F18" s="131" t="n">
        <v>84.90000000000001</v>
      </c>
      <c r="G18" s="17" t="n">
        <v>26</v>
      </c>
      <c r="H18" s="133" t="n">
        <v>532</v>
      </c>
      <c r="I18" s="134" t="n">
        <v>39500</v>
      </c>
      <c r="J18" s="134" t="inlineStr">
        <is>
          <t>5</t>
        </is>
      </c>
      <c r="K18" s="134" t="n">
        <v>26000</v>
      </c>
      <c r="L18" s="134" t="inlineStr">
        <is>
          <t>18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0" t="n">
        <v>824</v>
      </c>
      <c r="D19" s="131" t="n">
        <v>110.9</v>
      </c>
      <c r="E19" s="132" t="n">
        <v>34</v>
      </c>
      <c r="F19" s="131" t="n">
        <v>84.90000000000001</v>
      </c>
      <c r="G19" s="17" t="n">
        <v>26</v>
      </c>
      <c r="H19" s="133" t="n">
        <v>494</v>
      </c>
      <c r="I19" s="134" t="n">
        <v>39500</v>
      </c>
      <c r="J19" s="134" t="inlineStr">
        <is>
          <t>10</t>
        </is>
      </c>
      <c r="K19" s="134" t="n">
        <v>23000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87B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0" t="n">
        <v>713</v>
      </c>
      <c r="D20" s="131" t="n">
        <v>113.4</v>
      </c>
      <c r="E20" s="132" t="n">
        <v>34</v>
      </c>
      <c r="F20" s="131" t="n">
        <v>84.7</v>
      </c>
      <c r="G20" s="17" t="n">
        <v>26</v>
      </c>
      <c r="H20" s="133" t="n">
        <v>178</v>
      </c>
      <c r="I20" s="134" t="n">
        <v>40000</v>
      </c>
      <c r="J20" s="134" t="inlineStr">
        <is>
          <t>5</t>
        </is>
      </c>
      <c r="K20" s="134" t="n">
        <v>29000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137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0" t="n">
        <v>776</v>
      </c>
      <c r="D21" s="131" t="n">
        <v>82</v>
      </c>
      <c r="E21" s="132" t="n">
        <v>25</v>
      </c>
      <c r="F21" s="131" t="n">
        <v>60</v>
      </c>
      <c r="G21" s="17" t="n">
        <v>18</v>
      </c>
      <c r="H21" s="133" t="n">
        <v>172</v>
      </c>
      <c r="I21" s="134" t="n">
        <v>28500</v>
      </c>
      <c r="J21" s="134" t="inlineStr">
        <is>
          <t>중</t>
        </is>
      </c>
      <c r="K21" s="134" t="n">
        <v>22000</v>
      </c>
      <c r="L21" s="134" t="inlineStr">
        <is>
          <t>11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0" t="n">
        <v>536</v>
      </c>
      <c r="D22" s="131" t="n">
        <v>81.2</v>
      </c>
      <c r="E22" s="132" t="n">
        <v>25</v>
      </c>
      <c r="F22" s="131" t="n">
        <v>60</v>
      </c>
      <c r="G22" s="17" t="n">
        <v>18</v>
      </c>
      <c r="H22" s="133" t="n">
        <v>128</v>
      </c>
      <c r="I22" s="134" t="n">
        <v>34500</v>
      </c>
      <c r="J22" s="134" t="inlineStr">
        <is>
          <t>중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0" t="n">
        <v>1430</v>
      </c>
      <c r="D23" s="131" t="n">
        <v>110.8</v>
      </c>
      <c r="E23" s="132" t="n">
        <v>34</v>
      </c>
      <c r="F23" s="131" t="n">
        <v>85</v>
      </c>
      <c r="G23" s="17" t="n">
        <v>26</v>
      </c>
      <c r="H23" s="133" t="n">
        <v>880</v>
      </c>
      <c r="I23" s="134" t="n">
        <v>35500</v>
      </c>
      <c r="J23" s="134" t="inlineStr">
        <is>
          <t>고</t>
        </is>
      </c>
      <c r="K23" s="134" t="n">
        <v>23000</v>
      </c>
      <c r="L23" s="134" t="inlineStr">
        <is>
          <t>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73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0" t="n">
        <v>624</v>
      </c>
      <c r="D24" s="131" t="n">
        <v>81.59999999999999</v>
      </c>
      <c r="E24" s="132" t="n">
        <v>25</v>
      </c>
      <c r="F24" s="131" t="n">
        <v>60</v>
      </c>
      <c r="G24" s="17" t="n">
        <v>18</v>
      </c>
      <c r="H24" s="133" t="n">
        <v>157</v>
      </c>
      <c r="I24" s="134" t="n">
        <v>33000</v>
      </c>
      <c r="J24" s="134" t="inlineStr">
        <is>
          <t>7</t>
        </is>
      </c>
      <c r="K24" s="134" t="n">
        <v>22000</v>
      </c>
      <c r="L24" s="134" t="inlineStr">
        <is>
          <t>18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80.5</v>
      </c>
      <c r="E25" s="132" t="n">
        <v>24</v>
      </c>
      <c r="F25" s="131" t="n">
        <v>60</v>
      </c>
      <c r="G25" s="17" t="n">
        <v>18</v>
      </c>
      <c r="H25" s="133" t="n">
        <v>34</v>
      </c>
      <c r="I25" s="134" t="n">
        <v>29000</v>
      </c>
      <c r="J25" s="134" t="inlineStr">
        <is>
          <t>16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0" t="n">
        <v>824</v>
      </c>
      <c r="D26" s="131" t="n">
        <v>83.09999999999999</v>
      </c>
      <c r="E26" s="132" t="n">
        <v>25</v>
      </c>
      <c r="F26" s="131" t="n">
        <v>60</v>
      </c>
      <c r="G26" s="17" t="n">
        <v>18</v>
      </c>
      <c r="H26" s="133" t="n">
        <v>244</v>
      </c>
      <c r="I26" s="134" t="n">
        <v>28000</v>
      </c>
      <c r="J26" s="134" t="inlineStr">
        <is>
          <t>중</t>
        </is>
      </c>
      <c r="K26" s="134" t="n">
        <v>20000</v>
      </c>
      <c r="L26" s="134" t="inlineStr">
        <is>
          <t>8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0" t="n">
        <v>882</v>
      </c>
      <c r="D27" s="131" t="n">
        <v>85.7</v>
      </c>
      <c r="E27" s="132" t="n">
        <v>26</v>
      </c>
      <c r="F27" s="131" t="n">
        <v>59.9</v>
      </c>
      <c r="G27" s="17" t="n">
        <v>18</v>
      </c>
      <c r="H27" s="133" t="n">
        <v>337</v>
      </c>
      <c r="I27" s="134" t="n">
        <v>29000</v>
      </c>
      <c r="J27" s="134" t="inlineStr">
        <is>
          <t>10</t>
        </is>
      </c>
      <c r="K27" s="134" t="n">
        <v>20000</v>
      </c>
      <c r="L27" s="134" t="inlineStr">
        <is>
          <t>7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34B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0" t="n">
        <v>1116</v>
      </c>
      <c r="D28" s="131" t="n">
        <v>84.59999999999999</v>
      </c>
      <c r="E28" s="132" t="n">
        <v>26</v>
      </c>
      <c r="F28" s="131" t="n">
        <v>60</v>
      </c>
      <c r="G28" s="17" t="n">
        <v>18</v>
      </c>
      <c r="H28" s="133" t="n">
        <v>571</v>
      </c>
      <c r="I28" s="134" t="n">
        <v>30000</v>
      </c>
      <c r="J28" s="134" t="inlineStr">
        <is>
          <t>15</t>
        </is>
      </c>
      <c r="K28" s="134" t="n">
        <v>21000</v>
      </c>
      <c r="L28" s="134" t="inlineStr">
        <is>
          <t>고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inlineStr">
        <is>
          <t>40B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0" t="n">
        <v>1243</v>
      </c>
      <c r="D29" s="131" t="n">
        <v>85.09999999999999</v>
      </c>
      <c r="E29" s="132" t="n">
        <v>26</v>
      </c>
      <c r="F29" s="131" t="n">
        <v>60</v>
      </c>
      <c r="G29" s="17" t="n">
        <v>18</v>
      </c>
      <c r="H29" s="133" t="n">
        <v>532</v>
      </c>
      <c r="I29" s="134" t="n">
        <v>29000</v>
      </c>
      <c r="J29" s="134" t="inlineStr">
        <is>
          <t>고</t>
        </is>
      </c>
      <c r="K29" s="134" t="n">
        <v>20000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0" t="n">
        <v>892</v>
      </c>
      <c r="D30" s="131" t="n">
        <v>83.09999999999999</v>
      </c>
      <c r="E30" s="132" t="n">
        <v>25</v>
      </c>
      <c r="F30" s="131" t="n">
        <v>60</v>
      </c>
      <c r="G30" s="17" t="n">
        <v>18</v>
      </c>
      <c r="H30" s="133" t="n">
        <v>270</v>
      </c>
      <c r="I30" s="134" t="n">
        <v>26500</v>
      </c>
      <c r="J30" s="134" t="inlineStr">
        <is>
          <t>7</t>
        </is>
      </c>
      <c r="K30" s="134" t="n">
        <v>20000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126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0" t="n">
        <v>548</v>
      </c>
      <c r="D31" s="131" t="n">
        <v>81.3</v>
      </c>
      <c r="E31" s="132" t="n">
        <v>25</v>
      </c>
      <c r="F31" s="131" t="n">
        <v>60</v>
      </c>
      <c r="G31" s="17" t="n">
        <v>18</v>
      </c>
      <c r="H31" s="133" t="n">
        <v>178</v>
      </c>
      <c r="I31" s="134" t="n">
        <v>27000</v>
      </c>
      <c r="J31" s="134" t="inlineStr">
        <is>
          <t>중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107D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0" t="n">
        <v>713</v>
      </c>
      <c r="D32" s="131" t="n">
        <v>81.40000000000001</v>
      </c>
      <c r="E32" s="132" t="n">
        <v>25</v>
      </c>
      <c r="F32" s="131" t="n">
        <v>59.8</v>
      </c>
      <c r="G32" s="17" t="n">
        <v>18</v>
      </c>
      <c r="H32" s="133" t="n">
        <v>280</v>
      </c>
      <c r="I32" s="134" t="n">
        <v>27000</v>
      </c>
      <c r="J32" s="134" t="inlineStr">
        <is>
          <t>5</t>
        </is>
      </c>
      <c r="K32" s="134" t="n">
        <v>20000</v>
      </c>
      <c r="L32" s="134" t="inlineStr">
        <is>
          <t>22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79.59999999999999</v>
      </c>
      <c r="E33" s="132" t="n">
        <v>24</v>
      </c>
      <c r="F33" s="131" t="n">
        <v>59.9</v>
      </c>
      <c r="G33" s="17" t="n">
        <v>18</v>
      </c>
      <c r="H33" s="133" t="n">
        <v>470</v>
      </c>
      <c r="I33" s="134" t="n">
        <v>26000</v>
      </c>
      <c r="J33" s="134" t="inlineStr">
        <is>
          <t>고</t>
        </is>
      </c>
      <c r="K33" s="134" t="n">
        <v>19000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n">
        <v>61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0" t="n">
        <v>717</v>
      </c>
      <c r="D34" s="131" t="n">
        <v>110.4</v>
      </c>
      <c r="E34" s="132" t="n">
        <v>33</v>
      </c>
      <c r="F34" s="131" t="n">
        <v>84.5</v>
      </c>
      <c r="G34" s="17" t="n">
        <v>26</v>
      </c>
      <c r="H34" s="133" t="n">
        <v>236</v>
      </c>
      <c r="I34" s="134" t="n">
        <v>30000</v>
      </c>
      <c r="J34" s="134" t="inlineStr">
        <is>
          <t>10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126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0" t="n">
        <v>850</v>
      </c>
      <c r="D35" s="131" t="n">
        <v>112.6</v>
      </c>
      <c r="E35" s="132" t="n">
        <v>34</v>
      </c>
      <c r="F35" s="131" t="n">
        <v>85</v>
      </c>
      <c r="G35" s="17" t="n">
        <v>26</v>
      </c>
      <c r="H35" s="133" t="n">
        <v>246</v>
      </c>
      <c r="I35" s="134" t="n">
        <v>47000</v>
      </c>
      <c r="J35" s="134" t="inlineStr">
        <is>
          <t>중</t>
        </is>
      </c>
      <c r="K35" s="134" t="n">
        <v>34000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57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0" t="n">
        <v>682</v>
      </c>
      <c r="D36" s="131" t="n">
        <v>114.8</v>
      </c>
      <c r="E36" s="132" t="n">
        <v>35</v>
      </c>
      <c r="F36" s="131" t="n">
        <v>85</v>
      </c>
      <c r="G36" s="17" t="n">
        <v>26</v>
      </c>
      <c r="H36" s="133" t="n">
        <v>216</v>
      </c>
      <c r="I36" s="134" t="n">
        <v>50000</v>
      </c>
      <c r="J36" s="134" t="inlineStr">
        <is>
          <t>17</t>
        </is>
      </c>
      <c r="K36" s="134" t="n">
        <v>35000</v>
      </c>
      <c r="L36" s="134" t="inlineStr">
        <is>
          <t>18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n">
        <v>95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0" t="n">
        <v>418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258</v>
      </c>
      <c r="I37" s="134" t="n">
        <v>40000</v>
      </c>
      <c r="J37" s="134" t="inlineStr">
        <is>
          <t>고</t>
        </is>
      </c>
      <c r="K37" s="134" t="n">
        <v>32000</v>
      </c>
      <c r="L37" s="134" t="inlineStr">
        <is>
          <t>15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0" t="n">
        <v>728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191</v>
      </c>
      <c r="I38" s="134" t="n">
        <v>37000</v>
      </c>
      <c r="J38" s="134" t="inlineStr">
        <is>
          <t>중</t>
        </is>
      </c>
      <c r="K38" s="134" t="n">
        <v>30000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108C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0" t="n">
        <v>508</v>
      </c>
      <c r="D39" s="131" t="n">
        <v>111.3</v>
      </c>
      <c r="E39" s="132" t="n">
        <v>34</v>
      </c>
      <c r="F39" s="131" t="n">
        <v>85</v>
      </c>
      <c r="G39" s="17" t="n">
        <v>26</v>
      </c>
      <c r="H39" s="133" t="n">
        <v>84</v>
      </c>
      <c r="I39" s="134" t="n">
        <v>39500</v>
      </c>
      <c r="J39" s="134" t="inlineStr">
        <is>
          <t>고</t>
        </is>
      </c>
      <c r="K39" s="134" t="n">
        <v>30000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계</t>
        </is>
      </c>
      <c r="T39" s="5" t="inlineStr">
        <is>
          <t>33A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0" t="n">
        <v>855</v>
      </c>
      <c r="D40" s="131" t="n">
        <v>110.9</v>
      </c>
      <c r="E40" s="132" t="n">
        <v>34</v>
      </c>
      <c r="F40" s="131" t="n">
        <v>85</v>
      </c>
      <c r="G40" s="17" t="n">
        <v>26</v>
      </c>
      <c r="H40" s="133" t="n">
        <v>601</v>
      </c>
      <c r="I40" s="134" t="n">
        <v>38000</v>
      </c>
      <c r="J40" s="134" t="inlineStr">
        <is>
          <t>고</t>
        </is>
      </c>
      <c r="K40" s="134" t="n">
        <v>29000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0" t="n">
        <v>1110</v>
      </c>
      <c r="D41" s="131" t="n">
        <v>109.1</v>
      </c>
      <c r="E41" s="132" t="n">
        <v>33</v>
      </c>
      <c r="F41" s="131" t="n">
        <v>84.90000000000001</v>
      </c>
      <c r="G41" s="17" t="n">
        <v>26</v>
      </c>
      <c r="H41" s="133" t="n">
        <v>770</v>
      </c>
      <c r="I41" s="134" t="n">
        <v>37000</v>
      </c>
      <c r="J41" s="134" t="inlineStr">
        <is>
          <t>고</t>
        </is>
      </c>
      <c r="K41" s="134" t="n">
        <v>27000</v>
      </c>
      <c r="L41" s="134" t="inlineStr">
        <is>
          <t>6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n">
        <v>79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31500</v>
      </c>
      <c r="J42" s="134" t="inlineStr">
        <is>
          <t>6</t>
        </is>
      </c>
      <c r="K42" s="134" t="n">
        <v>25000</v>
      </c>
      <c r="L42" s="134" t="inlineStr">
        <is>
          <t>14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0" t="n">
        <v>508</v>
      </c>
      <c r="D43" s="131" t="n">
        <v>84.5</v>
      </c>
      <c r="E43" s="132" t="n">
        <v>26</v>
      </c>
      <c r="F43" s="131" t="n">
        <v>59.8</v>
      </c>
      <c r="G43" s="17" t="n">
        <v>18</v>
      </c>
      <c r="H43" s="133" t="n">
        <v>164</v>
      </c>
      <c r="I43" s="134" t="n">
        <v>28900</v>
      </c>
      <c r="J43" s="134" t="inlineStr">
        <is>
          <t>8</t>
        </is>
      </c>
      <c r="K43" s="134" t="n">
        <v>23000</v>
      </c>
      <c r="L43" s="134" t="inlineStr">
        <is>
          <t>10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107A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0" t="n">
        <v>842</v>
      </c>
      <c r="D44" s="131" t="n">
        <v>117.4</v>
      </c>
      <c r="E44" s="132" t="n">
        <v>35</v>
      </c>
      <c r="F44" s="131" t="n">
        <v>84.59999999999999</v>
      </c>
      <c r="G44" s="17" t="n">
        <v>26</v>
      </c>
      <c r="H44" s="133" t="n">
        <v>376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0" t="n">
        <v>936</v>
      </c>
      <c r="D45" s="131" t="n">
        <v>111.6</v>
      </c>
      <c r="E45" s="132" t="n">
        <v>34</v>
      </c>
      <c r="F45" s="131" t="n">
        <v>85</v>
      </c>
      <c r="G45" s="17" t="n">
        <v>26</v>
      </c>
      <c r="H45" s="133" t="n">
        <v>272</v>
      </c>
      <c r="I45" s="134" t="n">
        <v>55534</v>
      </c>
      <c r="J45" s="134" t="inlineStr">
        <is>
          <t>중</t>
        </is>
      </c>
      <c r="K45" s="134" t="n">
        <v>29500</v>
      </c>
      <c r="L45" s="134" t="inlineStr">
        <is>
          <t>8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0" t="n">
        <v>653</v>
      </c>
      <c r="D46" s="131" t="n">
        <v>111.5</v>
      </c>
      <c r="E46" s="132" t="n">
        <v>34</v>
      </c>
      <c r="F46" s="131" t="n">
        <v>85</v>
      </c>
      <c r="G46" s="17" t="n">
        <v>26</v>
      </c>
      <c r="H46" s="133" t="n">
        <v>245</v>
      </c>
      <c r="I46" s="134" t="n">
        <v>50000</v>
      </c>
      <c r="J46" s="134" t="inlineStr">
        <is>
          <t>12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94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0" t="n">
        <v>482</v>
      </c>
      <c r="D47" s="131" t="n">
        <v>108.4</v>
      </c>
      <c r="E47" s="132" t="n">
        <v>33</v>
      </c>
      <c r="F47" s="131" t="n">
        <v>84.90000000000001</v>
      </c>
      <c r="G47" s="17" t="n">
        <v>26</v>
      </c>
      <c r="H47" s="133" t="n">
        <v>72</v>
      </c>
      <c r="I47" s="134" t="n">
        <v>48000</v>
      </c>
      <c r="J47" s="134" t="inlineStr">
        <is>
          <t>중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194A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0" t="n">
        <v>526</v>
      </c>
      <c r="D48" s="131" t="n">
        <v>110.4</v>
      </c>
      <c r="E48" s="132" t="n">
        <v>33</v>
      </c>
      <c r="F48" s="131" t="n">
        <v>85</v>
      </c>
      <c r="G48" s="17" t="n">
        <v>26</v>
      </c>
      <c r="H48" s="133" t="n">
        <v>129</v>
      </c>
      <c r="I48" s="134" t="n">
        <v>47000</v>
      </c>
      <c r="J48" s="134" t="inlineStr">
        <is>
          <t>7</t>
        </is>
      </c>
      <c r="K48" s="134" t="n">
        <v>35000</v>
      </c>
      <c r="L48" s="134" t="inlineStr">
        <is>
          <t>고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0" t="n">
        <v>653</v>
      </c>
      <c r="D49" s="131" t="n">
        <v>98.2</v>
      </c>
      <c r="E49" s="132" t="n">
        <v>30</v>
      </c>
      <c r="F49" s="131" t="n">
        <v>75.3</v>
      </c>
      <c r="G49" s="17" t="n">
        <v>23</v>
      </c>
      <c r="H49" s="133" t="n">
        <v>221</v>
      </c>
      <c r="I49" s="134" t="n">
        <v>42000</v>
      </c>
      <c r="J49" s="134" t="inlineStr">
        <is>
          <t>10</t>
        </is>
      </c>
      <c r="K49" s="134" t="n">
        <v>29000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79B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0" t="n">
        <v>936</v>
      </c>
      <c r="D50" s="131" t="n">
        <v>80</v>
      </c>
      <c r="E50" s="132" t="n">
        <v>24</v>
      </c>
      <c r="F50" s="131" t="n">
        <v>60</v>
      </c>
      <c r="G50" s="17" t="n">
        <v>18</v>
      </c>
      <c r="H50" s="133" t="n">
        <v>312</v>
      </c>
      <c r="I50" s="134" t="n"/>
      <c r="J50" s="134" t="n"/>
      <c r="K50" s="134" t="n">
        <v>26000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0" t="n">
        <v>639</v>
      </c>
      <c r="D51" s="131" t="n">
        <v>88.59999999999999</v>
      </c>
      <c r="E51" s="132" t="n">
        <v>27</v>
      </c>
      <c r="F51" s="131" t="n">
        <v>59.9</v>
      </c>
      <c r="G51" s="17" t="n">
        <v>18</v>
      </c>
      <c r="H51" s="133" t="n">
        <v>337</v>
      </c>
      <c r="I51" s="134" t="n">
        <v>32000</v>
      </c>
      <c r="J51" s="134" t="inlineStr">
        <is>
          <t>중</t>
        </is>
      </c>
      <c r="K51" s="134" t="n">
        <v>25000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107C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0" t="n">
        <v>838</v>
      </c>
      <c r="D52" s="131" t="n">
        <v>109</v>
      </c>
      <c r="E52" s="132" t="n">
        <v>33</v>
      </c>
      <c r="F52" s="131" t="n">
        <v>85</v>
      </c>
      <c r="G52" s="17" t="n">
        <v>26</v>
      </c>
      <c r="H52" s="133" t="n">
        <v>483</v>
      </c>
      <c r="I52" s="134" t="n">
        <v>51000</v>
      </c>
      <c r="J52" s="134" t="inlineStr">
        <is>
          <t>20</t>
        </is>
      </c>
      <c r="K52" s="134" t="n">
        <v>27000</v>
      </c>
      <c r="L52" s="134" t="inlineStr">
        <is>
          <t>중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51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0" t="n">
        <v>348</v>
      </c>
      <c r="D53" s="131" t="n">
        <v>108.3</v>
      </c>
      <c r="E53" s="132" t="n">
        <v>33</v>
      </c>
      <c r="F53" s="131" t="n">
        <v>84.90000000000001</v>
      </c>
      <c r="G53" s="17" t="n">
        <v>26</v>
      </c>
      <c r="H53" s="133" t="n">
        <v>203</v>
      </c>
      <c r="I53" s="134" t="n">
        <v>40000</v>
      </c>
      <c r="J53" s="134" t="inlineStr">
        <is>
          <t>13</t>
        </is>
      </c>
      <c r="K53" s="134" t="n">
        <v>30000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0" t="n">
        <v>571</v>
      </c>
      <c r="D54" s="131" t="n">
        <v>107.3</v>
      </c>
      <c r="E54" s="132" t="n">
        <v>32</v>
      </c>
      <c r="F54" s="131" t="n">
        <v>84.90000000000001</v>
      </c>
      <c r="G54" s="17" t="n">
        <v>26</v>
      </c>
      <c r="H54" s="133" t="n">
        <v>421</v>
      </c>
      <c r="I54" s="134" t="n">
        <v>37000</v>
      </c>
      <c r="J54" s="134" t="inlineStr">
        <is>
          <t>12</t>
        </is>
      </c>
      <c r="K54" s="134" t="n">
        <v>29000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158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0" t="n">
        <v>724</v>
      </c>
      <c r="D55" s="131" t="n">
        <v>114.2</v>
      </c>
      <c r="E55" s="132" t="n">
        <v>35</v>
      </c>
      <c r="F55" s="131" t="n">
        <v>84.90000000000001</v>
      </c>
      <c r="G55" s="17" t="n">
        <v>26</v>
      </c>
      <c r="H55" s="133" t="n">
        <v>217</v>
      </c>
      <c r="I55" s="134" t="n">
        <v>36000</v>
      </c>
      <c r="J55" s="134" t="inlineStr">
        <is>
          <t>6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109A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0" t="n">
        <v>499</v>
      </c>
      <c r="D56" s="131" t="n">
        <v>115.4</v>
      </c>
      <c r="E56" s="132" t="n">
        <v>35</v>
      </c>
      <c r="F56" s="131" t="n">
        <v>85</v>
      </c>
      <c r="G56" s="17" t="n">
        <v>26</v>
      </c>
      <c r="H56" s="133" t="n">
        <v>121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164C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0" t="n">
        <v>996</v>
      </c>
      <c r="D57" s="131" t="n">
        <v>109.8</v>
      </c>
      <c r="E57" s="132" t="n">
        <v>33</v>
      </c>
      <c r="F57" s="131" t="n">
        <v>84.90000000000001</v>
      </c>
      <c r="G57" s="17" t="n">
        <v>26</v>
      </c>
      <c r="H57" s="133" t="n">
        <v>169</v>
      </c>
      <c r="I57" s="134" t="n">
        <v>42000</v>
      </c>
      <c r="J57" s="134" t="inlineStr">
        <is>
          <t>5</t>
        </is>
      </c>
      <c r="K57" s="134" t="n">
        <v>27000</v>
      </c>
      <c r="L57" s="134" t="inlineStr">
        <is>
          <t>11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77B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0" t="n">
        <v>839</v>
      </c>
      <c r="D58" s="131" t="n">
        <v>115.8</v>
      </c>
      <c r="E58" s="132" t="n">
        <v>35</v>
      </c>
      <c r="F58" s="131" t="n">
        <v>85</v>
      </c>
      <c r="G58" s="17" t="n">
        <v>26</v>
      </c>
      <c r="H58" s="133" t="n">
        <v>322</v>
      </c>
      <c r="I58" s="134" t="n">
        <v>40000</v>
      </c>
      <c r="J58" s="134" t="inlineStr">
        <is>
          <t>8</t>
        </is>
      </c>
      <c r="K58" s="134" t="n">
        <v>32000</v>
      </c>
      <c r="L58" s="134" t="inlineStr">
        <is>
          <t>14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115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0" t="n">
        <v>566</v>
      </c>
      <c r="D59" s="131" t="n">
        <v>110.9</v>
      </c>
      <c r="E59" s="132" t="n">
        <v>34</v>
      </c>
      <c r="F59" s="131" t="n">
        <v>85</v>
      </c>
      <c r="G59" s="17" t="n">
        <v>26</v>
      </c>
      <c r="H59" s="133" t="n">
        <v>92</v>
      </c>
      <c r="I59" s="134" t="n">
        <v>37000</v>
      </c>
      <c r="J59" s="134" t="inlineStr">
        <is>
          <t>8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77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0" t="n">
        <v>996</v>
      </c>
      <c r="D60" s="131" t="n">
        <v>98.59999999999999</v>
      </c>
      <c r="E60" s="132" t="n">
        <v>30</v>
      </c>
      <c r="F60" s="131" t="n">
        <v>72.90000000000001</v>
      </c>
      <c r="G60" s="17" t="n">
        <v>22</v>
      </c>
      <c r="H60" s="133" t="n">
        <v>323</v>
      </c>
      <c r="I60" s="134" t="n">
        <v>35500</v>
      </c>
      <c r="J60" s="134" t="inlineStr">
        <is>
          <t>10</t>
        </is>
      </c>
      <c r="K60" s="134" t="n">
        <v>26000</v>
      </c>
      <c r="L60" s="134" t="inlineStr">
        <is>
          <t>22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77A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83.09999999999999</v>
      </c>
      <c r="E61" s="132" t="n">
        <v>25</v>
      </c>
      <c r="F61" s="131" t="n">
        <v>59.9</v>
      </c>
      <c r="G61" s="17" t="n">
        <v>18</v>
      </c>
      <c r="H61" s="133" t="n">
        <v>126</v>
      </c>
      <c r="I61" s="134" t="n">
        <v>32000</v>
      </c>
      <c r="J61" s="134" t="inlineStr">
        <is>
          <t>16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163B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0" t="n">
        <v>839</v>
      </c>
      <c r="D62" s="131" t="n">
        <v>83.8</v>
      </c>
      <c r="E62" s="132" t="n">
        <v>25</v>
      </c>
      <c r="F62" s="131" t="n">
        <v>60</v>
      </c>
      <c r="G62" s="17" t="n">
        <v>18</v>
      </c>
      <c r="H62" s="133" t="n">
        <v>74</v>
      </c>
      <c r="I62" s="134" t="n">
        <v>32000</v>
      </c>
      <c r="J62" s="134" t="inlineStr">
        <is>
          <t>중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0" t="n">
        <v>996</v>
      </c>
      <c r="D63" s="131" t="n">
        <v>85</v>
      </c>
      <c r="E63" s="132" t="n">
        <v>26</v>
      </c>
      <c r="F63" s="131" t="n">
        <v>60.8</v>
      </c>
      <c r="G63" s="17" t="n">
        <v>18</v>
      </c>
      <c r="H63" s="133" t="n">
        <v>337</v>
      </c>
      <c r="I63" s="134" t="n">
        <v>29000</v>
      </c>
      <c r="J63" s="134" t="inlineStr">
        <is>
          <t>13</t>
        </is>
      </c>
      <c r="K63" s="134" t="n">
        <v>22000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inlineStr">
        <is>
          <t>78A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0" t="n">
        <v>566</v>
      </c>
      <c r="D64" s="131" t="n">
        <v>87.90000000000001</v>
      </c>
      <c r="E64" s="132" t="n">
        <v>27</v>
      </c>
      <c r="F64" s="131" t="n">
        <v>59.9</v>
      </c>
      <c r="G64" s="17" t="n">
        <v>18</v>
      </c>
      <c r="H64" s="133" t="n">
        <v>164</v>
      </c>
      <c r="I64" s="134" t="n">
        <v>28000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복</t>
        </is>
      </c>
      <c r="T64" s="5" t="inlineStr">
        <is>
          <t>115A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8" t="n">
        <v>2005</v>
      </c>
      <c r="AY65" s="138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8" t="n">
        <v>2005</v>
      </c>
      <c r="AY66" s="138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8" t="n">
        <v>2005</v>
      </c>
      <c r="AY67" s="138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8" t="n">
        <v>1994</v>
      </c>
      <c r="AY68" s="138" t="n">
        <v>5</v>
      </c>
      <c r="AZ68" s="138" t="n"/>
      <c r="BA68" s="121" t="inlineStr">
        <is>
          <t>20평대</t>
        </is>
      </c>
      <c r="BB68" s="139" t="n">
        <v>0</v>
      </c>
      <c r="BC68" s="139" t="n">
        <v>0</v>
      </c>
      <c r="BD68" s="139" t="n">
        <v>0</v>
      </c>
      <c r="BE68" s="139" t="n">
        <v>0</v>
      </c>
      <c r="BF68" s="139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8" t="n">
        <v>1994</v>
      </c>
      <c r="AY69" s="138" t="n">
        <v>5</v>
      </c>
      <c r="AZ69" s="138" t="n"/>
      <c r="BA69" s="121" t="inlineStr">
        <is>
          <t>30평대</t>
        </is>
      </c>
      <c r="BB69" s="139" t="n">
        <v>0</v>
      </c>
      <c r="BC69" s="139" t="n">
        <v>0</v>
      </c>
      <c r="BD69" s="139" t="n">
        <v>0</v>
      </c>
      <c r="BE69" s="139" t="n">
        <v>0</v>
      </c>
      <c r="BF69" s="139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8" t="n">
        <v>1994</v>
      </c>
      <c r="AY70" s="138" t="n">
        <v>5</v>
      </c>
      <c r="AZ70" s="138" t="n"/>
      <c r="BA70" s="73" t="inlineStr">
        <is>
          <t>40평대↑</t>
        </is>
      </c>
      <c r="BB70" s="140" t="n">
        <v>0</v>
      </c>
      <c r="BC70" s="140" t="n">
        <v>0</v>
      </c>
      <c r="BD70" s="140" t="n">
        <v>0</v>
      </c>
      <c r="BE70" s="140" t="n">
        <v>0</v>
      </c>
      <c r="BF70" s="140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8" t="n">
        <v>1995</v>
      </c>
      <c r="AY71" s="138" t="n">
        <v>8</v>
      </c>
      <c r="AZ71" s="138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8" t="n">
        <v>1995</v>
      </c>
      <c r="AY72" s="138" t="n">
        <v>8</v>
      </c>
      <c r="AZ72" s="138" t="n"/>
      <c r="BA72" s="121" t="n"/>
      <c r="BB72" s="121" t="inlineStr">
        <is>
          <t>10년 이하</t>
        </is>
      </c>
      <c r="BC72" s="121" t="inlineStr">
        <is>
          <t>10~20년</t>
        </is>
      </c>
      <c r="BD72" s="121" t="inlineStr">
        <is>
          <t>20~30년</t>
        </is>
      </c>
      <c r="BE72" s="121" t="inlineStr">
        <is>
          <t>30년 이상</t>
        </is>
      </c>
      <c r="BF72" s="121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8" t="n">
        <v>1994</v>
      </c>
      <c r="AY73" s="138" t="n">
        <v>12</v>
      </c>
      <c r="BA73" s="121" t="inlineStr">
        <is>
          <t>20평대</t>
        </is>
      </c>
      <c r="BB73" s="141" t="e">
        <v>#DIV/0!</v>
      </c>
      <c r="BC73" s="141" t="e">
        <v>#DIV/0!</v>
      </c>
      <c r="BD73" s="141" t="e">
        <v>#DIV/0!</v>
      </c>
      <c r="BE73" s="141" t="e">
        <v>#DIV/0!</v>
      </c>
      <c r="BF73" s="141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8" t="n">
        <v>1993</v>
      </c>
      <c r="AY74" s="138" t="n">
        <v>6</v>
      </c>
      <c r="BA74" s="73" t="inlineStr">
        <is>
          <t>40평대↑</t>
        </is>
      </c>
      <c r="BB74" s="142" t="e">
        <v>#DIV/0!</v>
      </c>
      <c r="BC74" s="142" t="e">
        <v>#DIV/0!</v>
      </c>
      <c r="BD74" s="142" t="e">
        <v>#DIV/0!</v>
      </c>
      <c r="BE74" s="142" t="e">
        <v>#DIV/0!</v>
      </c>
      <c r="BF74" s="142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8" t="n">
        <v>1993</v>
      </c>
      <c r="AY75" s="138" t="n">
        <v>6</v>
      </c>
      <c r="BA75" s="121" t="inlineStr">
        <is>
          <t>합계</t>
        </is>
      </c>
      <c r="BB75" s="141" t="e">
        <v>#DIV/0!</v>
      </c>
      <c r="BC75" s="141" t="e">
        <v>#DIV/0!</v>
      </c>
      <c r="BD75" s="141" t="e">
        <v>#DIV/0!</v>
      </c>
      <c r="BE75" s="141" t="e">
        <v>#DIV/0!</v>
      </c>
      <c r="BF75" s="141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8" t="n">
        <v>2019</v>
      </c>
      <c r="AY76" s="138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8" t="n">
        <v>2019</v>
      </c>
      <c r="AY77" s="138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8" t="n">
        <v>2019</v>
      </c>
      <c r="AY78" s="138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8" t="n">
        <v>2019</v>
      </c>
      <c r="AY79" s="138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8" t="n">
        <v>1993</v>
      </c>
      <c r="AY80" s="138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8" t="n">
        <v>1993</v>
      </c>
      <c r="AY81" s="138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8" t="n">
        <v>1995</v>
      </c>
      <c r="AY82" s="138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8" t="n">
        <v>1995</v>
      </c>
      <c r="AY83" s="138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8" t="n">
        <v>1993</v>
      </c>
      <c r="AY84" s="138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8" t="n">
        <v>1993</v>
      </c>
      <c r="AY85" s="138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8" t="n">
        <v>1993</v>
      </c>
      <c r="AY86" s="138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8" t="n">
        <v>2017</v>
      </c>
      <c r="AY87" s="138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8" t="n">
        <v>2017</v>
      </c>
      <c r="AY88" s="138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8" t="n">
        <v>1993</v>
      </c>
      <c r="AY89" s="138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8" t="n">
        <v>2019</v>
      </c>
      <c r="AY90" s="138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8" t="n">
        <v>2019</v>
      </c>
      <c r="AY91" s="138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8" t="n">
        <v>2019</v>
      </c>
      <c r="AY92" s="138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8" t="n">
        <v>1994</v>
      </c>
      <c r="AY93" s="138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8" t="n">
        <v>1994</v>
      </c>
      <c r="AY94" s="138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8" t="n">
        <v>1994</v>
      </c>
      <c r="AY95" s="138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8" t="n">
        <v>1994</v>
      </c>
      <c r="AY96" s="138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8" t="n">
        <v>1994</v>
      </c>
      <c r="AY97" s="138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8" t="n">
        <v>1994</v>
      </c>
      <c r="AY98" s="138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8" t="n">
        <v>1994</v>
      </c>
      <c r="AY99" s="138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8" t="n">
        <v>1994</v>
      </c>
      <c r="AY100" s="138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8" t="n">
        <v>1994</v>
      </c>
      <c r="AY101" s="138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8" t="n">
        <v>1993</v>
      </c>
      <c r="AY102" s="138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8" t="n">
        <v>1993</v>
      </c>
      <c r="AY103" s="138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8" t="n">
        <v>1994</v>
      </c>
      <c r="AY104" s="138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8" t="n">
        <v>1993</v>
      </c>
      <c r="AY105" s="138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8" t="n">
        <v>1993</v>
      </c>
      <c r="AY106" s="138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8" t="n">
        <v>1994</v>
      </c>
      <c r="AY107" s="138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8" t="n">
        <v>2019</v>
      </c>
      <c r="AY108" s="138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8" t="n">
        <v>1993</v>
      </c>
      <c r="AY109" s="138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8" t="n">
        <v>1993</v>
      </c>
      <c r="AY110" s="138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8" t="n">
        <v>2019</v>
      </c>
      <c r="AY111" s="138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8" t="n">
        <v>2019</v>
      </c>
      <c r="AY112" s="138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8" t="n">
        <v>1994</v>
      </c>
      <c r="AY113" s="138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8" t="n">
        <v>1994</v>
      </c>
      <c r="AY114" s="138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8" t="n">
        <v>2019</v>
      </c>
      <c r="AY115" s="138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8" t="n">
        <v>1992</v>
      </c>
      <c r="AY116" s="138" t="n">
        <v>1</v>
      </c>
      <c r="AZ116" s="138" t="n"/>
      <c r="BA116" s="121" t="inlineStr">
        <is>
          <t>20평대</t>
        </is>
      </c>
      <c r="BB116" s="139" t="n">
        <v>0</v>
      </c>
      <c r="BC116" s="139" t="n">
        <v>0</v>
      </c>
      <c r="BD116" s="139" t="n">
        <v>0</v>
      </c>
      <c r="BE116" s="139" t="n">
        <v>0</v>
      </c>
      <c r="BF116" s="139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8" t="n">
        <v>1992</v>
      </c>
      <c r="AY117" s="138" t="n">
        <v>1</v>
      </c>
      <c r="AZ117" s="138" t="n"/>
      <c r="BA117" s="121" t="inlineStr">
        <is>
          <t>30평대</t>
        </is>
      </c>
      <c r="BB117" s="139" t="n">
        <v>0</v>
      </c>
      <c r="BC117" s="139" t="n">
        <v>0</v>
      </c>
      <c r="BD117" s="139" t="n">
        <v>0</v>
      </c>
      <c r="BE117" s="139" t="n">
        <v>0</v>
      </c>
      <c r="BF117" s="139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8" t="n">
        <v>1993</v>
      </c>
      <c r="AY118" s="138" t="n">
        <v>1</v>
      </c>
      <c r="AZ118" s="138" t="n"/>
      <c r="BA118" s="121" t="inlineStr">
        <is>
          <t>합계</t>
        </is>
      </c>
      <c r="BB118" s="139" t="n">
        <v>0</v>
      </c>
      <c r="BC118" s="139" t="n">
        <v>0</v>
      </c>
      <c r="BD118" s="139" t="n">
        <v>0</v>
      </c>
      <c r="BE118" s="139" t="n">
        <v>0</v>
      </c>
      <c r="BF118" s="139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8" t="n">
        <v>1993</v>
      </c>
      <c r="AY119" s="138" t="n">
        <v>1</v>
      </c>
      <c r="AZ119" s="138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8" t="n">
        <v>1993</v>
      </c>
      <c r="AY120" s="138" t="n">
        <v>1</v>
      </c>
      <c r="AZ120" s="138" t="n"/>
      <c r="BA120" s="121" t="n"/>
      <c r="BB120" s="121" t="inlineStr">
        <is>
          <t>10년 이하</t>
        </is>
      </c>
      <c r="BC120" s="121" t="inlineStr">
        <is>
          <t>10~20년</t>
        </is>
      </c>
      <c r="BD120" s="121" t="inlineStr">
        <is>
          <t>20~30년</t>
        </is>
      </c>
      <c r="BE120" s="121" t="inlineStr">
        <is>
          <t>30년 이상</t>
        </is>
      </c>
      <c r="BF120" s="121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8" t="n">
        <v>1995</v>
      </c>
      <c r="AY121" s="138" t="n">
        <v>8</v>
      </c>
      <c r="BA121" s="121" t="inlineStr">
        <is>
          <t>20평대</t>
        </is>
      </c>
      <c r="BB121" s="141" t="e">
        <v>#DIV/0!</v>
      </c>
      <c r="BC121" s="141" t="e">
        <v>#DIV/0!</v>
      </c>
      <c r="BD121" s="141" t="e">
        <v>#DIV/0!</v>
      </c>
      <c r="BE121" s="141" t="e">
        <v>#DIV/0!</v>
      </c>
      <c r="BF121" s="141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8" t="n">
        <v>1995</v>
      </c>
      <c r="AY122" s="138" t="n">
        <v>8</v>
      </c>
      <c r="BA122" s="121" t="inlineStr">
        <is>
          <t>30평대</t>
        </is>
      </c>
      <c r="BB122" s="141" t="e">
        <v>#DIV/0!</v>
      </c>
      <c r="BC122" s="141" t="e">
        <v>#DIV/0!</v>
      </c>
      <c r="BD122" s="141" t="e">
        <v>#DIV/0!</v>
      </c>
      <c r="BE122" s="141" t="e">
        <v>#DIV/0!</v>
      </c>
      <c r="BF122" s="141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8" t="n">
        <v>1992</v>
      </c>
      <c r="AY123" s="138" t="n">
        <v>5</v>
      </c>
      <c r="BA123" s="121" t="inlineStr">
        <is>
          <t>합계</t>
        </is>
      </c>
      <c r="BB123" s="141" t="e">
        <v>#DIV/0!</v>
      </c>
      <c r="BC123" s="141" t="e">
        <v>#DIV/0!</v>
      </c>
      <c r="BD123" s="141" t="e">
        <v>#DIV/0!</v>
      </c>
      <c r="BE123" s="141" t="e">
        <v>#DIV/0!</v>
      </c>
      <c r="BF123" s="141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8" t="n">
        <v>1992</v>
      </c>
      <c r="AY124" s="138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8" t="n">
        <v>1992</v>
      </c>
      <c r="AY125" s="138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8" t="n">
        <v>1991</v>
      </c>
      <c r="AY126" s="138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8" t="n">
        <v>1991</v>
      </c>
      <c r="AY127" s="138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8" t="n">
        <v>1991</v>
      </c>
      <c r="AY128" s="138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8" t="n">
        <v>1991</v>
      </c>
      <c r="AY129" s="138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8" t="n">
        <v>1991</v>
      </c>
      <c r="AY130" s="138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8" t="n">
        <v>1991</v>
      </c>
      <c r="AY131" s="138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8" t="n">
        <v>1995</v>
      </c>
      <c r="AY132" s="138" t="n">
        <v>4</v>
      </c>
      <c r="AZ132" s="138" t="n"/>
      <c r="BA132" s="121" t="inlineStr">
        <is>
          <t>20평대</t>
        </is>
      </c>
      <c r="BB132" s="139" t="n">
        <v>0</v>
      </c>
      <c r="BC132" s="139" t="n">
        <v>0</v>
      </c>
      <c r="BD132" s="139" t="n">
        <v>0</v>
      </c>
      <c r="BE132" s="139" t="n">
        <v>0</v>
      </c>
      <c r="BF132" s="139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8" t="n">
        <v>1995</v>
      </c>
      <c r="AY133" s="138" t="n">
        <v>4</v>
      </c>
      <c r="AZ133" s="138" t="n"/>
      <c r="BA133" s="121" t="inlineStr">
        <is>
          <t>30평대</t>
        </is>
      </c>
      <c r="BB133" s="139" t="n">
        <v>0</v>
      </c>
      <c r="BC133" s="139" t="n">
        <v>0</v>
      </c>
      <c r="BD133" s="139" t="n">
        <v>0</v>
      </c>
      <c r="BE133" s="139" t="n">
        <v>0</v>
      </c>
      <c r="BF133" s="139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8" t="n">
        <v>1995</v>
      </c>
      <c r="AY134" s="138" t="n">
        <v>4</v>
      </c>
      <c r="AZ134" s="138" t="n"/>
      <c r="BA134" s="73" t="inlineStr">
        <is>
          <t>40평대↑</t>
        </is>
      </c>
      <c r="BB134" s="140" t="n">
        <v>0</v>
      </c>
      <c r="BC134" s="140" t="n">
        <v>0</v>
      </c>
      <c r="BD134" s="140" t="n">
        <v>0</v>
      </c>
      <c r="BE134" s="140" t="n">
        <v>0</v>
      </c>
      <c r="BF134" s="140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8" t="n">
        <v>1993</v>
      </c>
      <c r="AY135" s="138" t="n">
        <v>5</v>
      </c>
      <c r="AZ135" s="138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8" t="n">
        <v>1993</v>
      </c>
      <c r="AY136" s="138" t="n">
        <v>11</v>
      </c>
      <c r="AZ136" s="138" t="n"/>
      <c r="BA136" s="121" t="inlineStr">
        <is>
          <t>10평대</t>
        </is>
      </c>
      <c r="BB136" s="141" t="e">
        <v>#DIV/0!</v>
      </c>
      <c r="BC136" s="141" t="e">
        <v>#DIV/0!</v>
      </c>
      <c r="BD136" s="141" t="e">
        <v>#DIV/0!</v>
      </c>
      <c r="BE136" s="141" t="e">
        <v>#DIV/0!</v>
      </c>
      <c r="BF136" s="141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8" t="n">
        <v>1994</v>
      </c>
      <c r="AY137" s="138" t="n">
        <v>9</v>
      </c>
      <c r="BA137" s="121" t="inlineStr">
        <is>
          <t>30평대</t>
        </is>
      </c>
      <c r="BB137" s="141" t="e">
        <v>#DIV/0!</v>
      </c>
      <c r="BC137" s="141" t="e">
        <v>#DIV/0!</v>
      </c>
      <c r="BD137" s="141" t="e">
        <v>#DIV/0!</v>
      </c>
      <c r="BE137" s="141" t="e">
        <v>#DIV/0!</v>
      </c>
      <c r="BF137" s="141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8" t="n">
        <v>1994</v>
      </c>
      <c r="AY138" s="138" t="n">
        <v>9</v>
      </c>
      <c r="BA138" s="121" t="inlineStr">
        <is>
          <t>합계</t>
        </is>
      </c>
      <c r="BB138" s="141" t="e">
        <v>#DIV/0!</v>
      </c>
      <c r="BC138" s="141" t="e">
        <v>#DIV/0!</v>
      </c>
      <c r="BD138" s="141" t="e">
        <v>#DIV/0!</v>
      </c>
      <c r="BE138" s="141" t="e">
        <v>#DIV/0!</v>
      </c>
      <c r="BF138" s="141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8" t="n">
        <v>1994</v>
      </c>
      <c r="AY139" s="138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8" t="n">
        <v>1992</v>
      </c>
      <c r="AY140" s="138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8" t="n">
        <v>1992</v>
      </c>
      <c r="AY141" s="138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8" t="n">
        <v>1992</v>
      </c>
      <c r="AY142" s="138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8" t="n">
        <v>1993</v>
      </c>
      <c r="AY143" s="138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8" t="n">
        <v>1993</v>
      </c>
      <c r="AY144" s="138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8" t="n">
        <v>1992</v>
      </c>
      <c r="AY145" s="138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8" t="n">
        <v>1992</v>
      </c>
      <c r="AY146" s="138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8" t="n">
        <v>1993</v>
      </c>
      <c r="AY147" s="138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8" t="n">
        <v>1993</v>
      </c>
      <c r="AY148" s="138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8" t="n">
        <v>1993</v>
      </c>
      <c r="AY149" s="138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8" t="n">
        <v>1993</v>
      </c>
      <c r="AY150" s="138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8" t="n">
        <v>1992</v>
      </c>
      <c r="AY151" s="138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8" t="n">
        <v>1993</v>
      </c>
      <c r="AY152" s="138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8" t="n">
        <v>1993</v>
      </c>
      <c r="AY153" s="138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8" t="n">
        <v>1997</v>
      </c>
      <c r="AY154" s="138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8" t="n">
        <v>1997</v>
      </c>
      <c r="AY155" s="138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8" t="n">
        <v>1994</v>
      </c>
      <c r="AY156" s="138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8" t="n">
        <v>1994</v>
      </c>
      <c r="AY157" s="138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8" t="n">
        <v>1994</v>
      </c>
      <c r="AY158" s="138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8" t="n">
        <v>1994</v>
      </c>
      <c r="AY159" s="138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8" t="n">
        <v>1994</v>
      </c>
      <c r="AY160" s="138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8" t="n">
        <v>1994</v>
      </c>
      <c r="AY161" s="138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8" t="n">
        <v>1994</v>
      </c>
      <c r="AY162" s="138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8" t="n">
        <v>1992</v>
      </c>
      <c r="AY163" s="138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8" t="n">
        <v>1992</v>
      </c>
      <c r="AY164" s="138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8" t="n">
        <v>1992</v>
      </c>
      <c r="AY165" s="138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8" t="n">
        <v>1992</v>
      </c>
      <c r="AY166" s="138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8" t="n">
        <v>1994</v>
      </c>
      <c r="AY167" s="138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8" t="n">
        <v>1992</v>
      </c>
      <c r="AY168" s="138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8" t="n">
        <v>1992</v>
      </c>
      <c r="AY169" s="138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8" t="n">
        <v>1992</v>
      </c>
      <c r="AY170" s="138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8" t="n">
        <v>1993</v>
      </c>
      <c r="AY171" s="138" t="n">
        <v>11</v>
      </c>
      <c r="AZ171" s="138" t="n"/>
      <c r="BA171" s="121" t="inlineStr">
        <is>
          <t>20평대</t>
        </is>
      </c>
      <c r="BB171" s="139" t="n">
        <v>0</v>
      </c>
      <c r="BC171" s="139" t="n">
        <v>0</v>
      </c>
      <c r="BD171" s="139" t="n">
        <v>0</v>
      </c>
      <c r="BE171" s="139" t="n">
        <v>0</v>
      </c>
      <c r="BF171" s="139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8" t="n">
        <v>1993</v>
      </c>
      <c r="AY172" s="138" t="n">
        <v>11</v>
      </c>
      <c r="AZ172" s="138" t="n"/>
      <c r="BA172" s="121" t="inlineStr">
        <is>
          <t>30평대</t>
        </is>
      </c>
      <c r="BB172" s="139" t="n">
        <v>0</v>
      </c>
      <c r="BC172" s="139" t="n">
        <v>0</v>
      </c>
      <c r="BD172" s="139" t="n">
        <v>0</v>
      </c>
      <c r="BE172" s="139" t="n">
        <v>0</v>
      </c>
      <c r="BF172" s="139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8" t="n">
        <v>1993</v>
      </c>
      <c r="AY173" s="138" t="n">
        <v>11</v>
      </c>
      <c r="AZ173" s="138" t="n"/>
      <c r="BA173" s="73" t="inlineStr">
        <is>
          <t>40평대↑</t>
        </is>
      </c>
      <c r="BB173" s="140" t="n">
        <v>0</v>
      </c>
      <c r="BC173" s="140" t="n">
        <v>0</v>
      </c>
      <c r="BD173" s="140" t="n">
        <v>0</v>
      </c>
      <c r="BE173" s="140" t="n">
        <v>0</v>
      </c>
      <c r="BF173" s="140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8" t="n">
        <v>1993</v>
      </c>
      <c r="AY174" s="138" t="n">
        <v>11</v>
      </c>
      <c r="AZ174" s="138" t="n"/>
      <c r="BA174" s="121" t="inlineStr">
        <is>
          <t>합계</t>
        </is>
      </c>
      <c r="BB174" s="139" t="n">
        <v>0</v>
      </c>
      <c r="BC174" s="139" t="n">
        <v>0</v>
      </c>
      <c r="BD174" s="139" t="n">
        <v>0</v>
      </c>
      <c r="BE174" s="139" t="n">
        <v>0</v>
      </c>
      <c r="BF174" s="139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8" t="n">
        <v>1995</v>
      </c>
      <c r="AY175" s="138" t="n">
        <v>12</v>
      </c>
      <c r="AZ175" s="138" t="n"/>
      <c r="BA175" s="121" t="n"/>
      <c r="BB175" s="121" t="inlineStr">
        <is>
          <t>10년 이하</t>
        </is>
      </c>
      <c r="BC175" s="121" t="inlineStr">
        <is>
          <t>10~20년</t>
        </is>
      </c>
      <c r="BD175" s="121" t="inlineStr">
        <is>
          <t>20~30년</t>
        </is>
      </c>
      <c r="BE175" s="121" t="inlineStr">
        <is>
          <t>30년 이상</t>
        </is>
      </c>
      <c r="BF175" s="121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8" t="n">
        <v>1995</v>
      </c>
      <c r="AY176" s="138" t="n">
        <v>12</v>
      </c>
      <c r="BA176" s="121" t="inlineStr">
        <is>
          <t>20평대</t>
        </is>
      </c>
      <c r="BB176" s="141" t="e">
        <v>#DIV/0!</v>
      </c>
      <c r="BC176" s="141" t="e">
        <v>#DIV/0!</v>
      </c>
      <c r="BD176" s="141" t="e">
        <v>#DIV/0!</v>
      </c>
      <c r="BE176" s="141" t="e">
        <v>#DIV/0!</v>
      </c>
      <c r="BF176" s="141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8" t="n">
        <v>1997</v>
      </c>
      <c r="AY177" s="138" t="n">
        <v>5</v>
      </c>
      <c r="BA177" s="73" t="inlineStr">
        <is>
          <t>40평대↑</t>
        </is>
      </c>
      <c r="BB177" s="142" t="e">
        <v>#DIV/0!</v>
      </c>
      <c r="BC177" s="142" t="e">
        <v>#DIV/0!</v>
      </c>
      <c r="BD177" s="142" t="e">
        <v>#DIV/0!</v>
      </c>
      <c r="BE177" s="142" t="e">
        <v>#DIV/0!</v>
      </c>
      <c r="BF177" s="142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8" t="n">
        <v>1997</v>
      </c>
      <c r="AY178" s="138" t="n">
        <v>5</v>
      </c>
      <c r="BA178" s="121" t="inlineStr">
        <is>
          <t>합계</t>
        </is>
      </c>
      <c r="BB178" s="141" t="e">
        <v>#DIV/0!</v>
      </c>
      <c r="BC178" s="141" t="e">
        <v>#DIV/0!</v>
      </c>
      <c r="BD178" s="141" t="e">
        <v>#DIV/0!</v>
      </c>
      <c r="BE178" s="141" t="e">
        <v>#DIV/0!</v>
      </c>
      <c r="BF178" s="141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8" t="n">
        <v>1994</v>
      </c>
      <c r="AY179" s="138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8" t="n">
        <v>1994</v>
      </c>
      <c r="AY180" s="138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2928" operator="lessThan" dxfId="2">
      <formula>15.1</formula>
    </cfRule>
    <cfRule type="cellIs" priority="72929" operator="lessThan" dxfId="2562">
      <formula>18.1</formula>
    </cfRule>
    <cfRule type="cellIs" priority="72930" operator="lessThan" dxfId="2561">
      <formula>21.1</formula>
    </cfRule>
    <cfRule type="cellIs" priority="72931" operator="lessThan" dxfId="2560">
      <formula>24.1</formula>
    </cfRule>
    <cfRule type="cellIs" priority="72932" operator="lessThan" dxfId="1">
      <formula>30</formula>
    </cfRule>
    <cfRule type="cellIs" priority="72933" operator="lessThan" dxfId="2558">
      <formula>34.1</formula>
    </cfRule>
  </conditionalFormatting>
  <conditionalFormatting sqref="Z3">
    <cfRule type="colorScale" priority="729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2925" operator="greaterThan" dxfId="17">
      <formula>0.9</formula>
    </cfRule>
    <cfRule type="cellIs" priority="72926" operator="greaterThan" dxfId="16">
      <formula>0.85</formula>
    </cfRule>
  </conditionalFormatting>
  <conditionalFormatting sqref="N2">
    <cfRule type="cellIs" priority="72923" operator="greaterThan" dxfId="17">
      <formula>0.9</formula>
    </cfRule>
    <cfRule type="cellIs" priority="72924" operator="greaterThan" dxfId="16">
      <formula>0.85</formula>
    </cfRule>
  </conditionalFormatting>
  <conditionalFormatting sqref="AV4">
    <cfRule type="expression" priority="1097" dxfId="23">
      <formula>AV4="X"</formula>
    </cfRule>
    <cfRule type="expression" priority="1098" dxfId="22">
      <formula>AV4="후보"</formula>
    </cfRule>
  </conditionalFormatting>
  <conditionalFormatting sqref="AC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23">
      <formula>AV5="X"</formula>
    </cfRule>
    <cfRule type="expression" priority="1080" dxfId="22">
      <formula>AV5="후보"</formula>
    </cfRule>
  </conditionalFormatting>
  <conditionalFormatting sqref="AC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23">
      <formula>AV6="X"</formula>
    </cfRule>
    <cfRule type="expression" priority="1062" dxfId="22">
      <formula>AV6="후보"</formula>
    </cfRule>
  </conditionalFormatting>
  <conditionalFormatting sqref="AC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23">
      <formula>AV7="X"</formula>
    </cfRule>
    <cfRule type="expression" priority="1044" dxfId="22">
      <formula>AV7="후보"</formula>
    </cfRule>
  </conditionalFormatting>
  <conditionalFormatting sqref="AC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23">
      <formula>AV8="X"</formula>
    </cfRule>
    <cfRule type="expression" priority="1026" dxfId="22">
      <formula>AV8="후보"</formula>
    </cfRule>
  </conditionalFormatting>
  <conditionalFormatting sqref="AC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23">
      <formula>AV9="X"</formula>
    </cfRule>
    <cfRule type="expression" priority="1008" dxfId="22">
      <formula>AV9="후보"</formula>
    </cfRule>
  </conditionalFormatting>
  <conditionalFormatting sqref="AC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23">
      <formula>AV10="X"</formula>
    </cfRule>
    <cfRule type="expression" priority="990" dxfId="22">
      <formula>AV10="후보"</formula>
    </cfRule>
  </conditionalFormatting>
  <conditionalFormatting sqref="AC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23">
      <formula>AV11="X"</formula>
    </cfRule>
    <cfRule type="expression" priority="972" dxfId="22">
      <formula>AV11="후보"</formula>
    </cfRule>
  </conditionalFormatting>
  <conditionalFormatting sqref="AC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23">
      <formula>AV12="X"</formula>
    </cfRule>
    <cfRule type="expression" priority="954" dxfId="22">
      <formula>AV12="후보"</formula>
    </cfRule>
  </conditionalFormatting>
  <conditionalFormatting sqref="AC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23">
      <formula>AV13="X"</formula>
    </cfRule>
    <cfRule type="expression" priority="936" dxfId="22">
      <formula>AV13="후보"</formula>
    </cfRule>
  </conditionalFormatting>
  <conditionalFormatting sqref="AC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23">
      <formula>AV14="X"</formula>
    </cfRule>
    <cfRule type="expression" priority="918" dxfId="22">
      <formula>AV14="후보"</formula>
    </cfRule>
  </conditionalFormatting>
  <conditionalFormatting sqref="AC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23">
      <formula>AV15="X"</formula>
    </cfRule>
    <cfRule type="expression" priority="900" dxfId="22">
      <formula>AV15="후보"</formula>
    </cfRule>
  </conditionalFormatting>
  <conditionalFormatting sqref="AC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23">
      <formula>AV16="X"</formula>
    </cfRule>
    <cfRule type="expression" priority="882" dxfId="22">
      <formula>AV16="후보"</formula>
    </cfRule>
  </conditionalFormatting>
  <conditionalFormatting sqref="AC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23">
      <formula>AV17="X"</formula>
    </cfRule>
    <cfRule type="expression" priority="864" dxfId="22">
      <formula>AV17="후보"</formula>
    </cfRule>
  </conditionalFormatting>
  <conditionalFormatting sqref="AC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23">
      <formula>AV18="X"</formula>
    </cfRule>
    <cfRule type="expression" priority="846" dxfId="22">
      <formula>AV18="후보"</formula>
    </cfRule>
  </conditionalFormatting>
  <conditionalFormatting sqref="AC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23">
      <formula>AV19="X"</formula>
    </cfRule>
    <cfRule type="expression" priority="828" dxfId="22">
      <formula>AV19="후보"</formula>
    </cfRule>
  </conditionalFormatting>
  <conditionalFormatting sqref="AC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23">
      <formula>AV20="X"</formula>
    </cfRule>
    <cfRule type="expression" priority="810" dxfId="22">
      <formula>AV20="후보"</formula>
    </cfRule>
  </conditionalFormatting>
  <conditionalFormatting sqref="AC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23">
      <formula>AV21="X"</formula>
    </cfRule>
    <cfRule type="expression" priority="792" dxfId="22">
      <formula>AV21="후보"</formula>
    </cfRule>
  </conditionalFormatting>
  <conditionalFormatting sqref="AC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23">
      <formula>AV22="X"</formula>
    </cfRule>
    <cfRule type="expression" priority="774" dxfId="22">
      <formula>AV22="후보"</formula>
    </cfRule>
  </conditionalFormatting>
  <conditionalFormatting sqref="AC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23">
      <formula>AV23="X"</formula>
    </cfRule>
    <cfRule type="expression" priority="756" dxfId="22">
      <formula>AV23="후보"</formula>
    </cfRule>
  </conditionalFormatting>
  <conditionalFormatting sqref="AC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23">
      <formula>AV24="X"</formula>
    </cfRule>
    <cfRule type="expression" priority="738" dxfId="22">
      <formula>AV24="후보"</formula>
    </cfRule>
  </conditionalFormatting>
  <conditionalFormatting sqref="AC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23">
      <formula>AV25="X"</formula>
    </cfRule>
    <cfRule type="expression" priority="720" dxfId="22">
      <formula>AV25="후보"</formula>
    </cfRule>
  </conditionalFormatting>
  <conditionalFormatting sqref="AC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23">
      <formula>AV26="X"</formula>
    </cfRule>
    <cfRule type="expression" priority="702" dxfId="22">
      <formula>AV26="후보"</formula>
    </cfRule>
  </conditionalFormatting>
  <conditionalFormatting sqref="AC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23">
      <formula>AV27="X"</formula>
    </cfRule>
    <cfRule type="expression" priority="684" dxfId="22">
      <formula>AV27="후보"</formula>
    </cfRule>
  </conditionalFormatting>
  <conditionalFormatting sqref="AC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23">
      <formula>AV28="X"</formula>
    </cfRule>
    <cfRule type="expression" priority="666" dxfId="22">
      <formula>AV28="후보"</formula>
    </cfRule>
  </conditionalFormatting>
  <conditionalFormatting sqref="AC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23">
      <formula>AV29="X"</formula>
    </cfRule>
    <cfRule type="expression" priority="648" dxfId="22">
      <formula>AV29="후보"</formula>
    </cfRule>
  </conditionalFormatting>
  <conditionalFormatting sqref="AC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23">
      <formula>AV30="X"</formula>
    </cfRule>
    <cfRule type="expression" priority="630" dxfId="22">
      <formula>AV30="후보"</formula>
    </cfRule>
  </conditionalFormatting>
  <conditionalFormatting sqref="AC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23">
      <formula>AV31="X"</formula>
    </cfRule>
    <cfRule type="expression" priority="612" dxfId="22">
      <formula>AV31="후보"</formula>
    </cfRule>
  </conditionalFormatting>
  <conditionalFormatting sqref="AC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23">
      <formula>AV32="X"</formula>
    </cfRule>
    <cfRule type="expression" priority="594" dxfId="22">
      <formula>AV32="후보"</formula>
    </cfRule>
  </conditionalFormatting>
  <conditionalFormatting sqref="AC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23">
      <formula>AV33="X"</formula>
    </cfRule>
    <cfRule type="expression" priority="576" dxfId="22">
      <formula>AV33="후보"</formula>
    </cfRule>
  </conditionalFormatting>
  <conditionalFormatting sqref="AC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23">
      <formula>AV34="X"</formula>
    </cfRule>
    <cfRule type="expression" priority="558" dxfId="22">
      <formula>AV34="후보"</formula>
    </cfRule>
  </conditionalFormatting>
  <conditionalFormatting sqref="AC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23">
      <formula>AV35="X"</formula>
    </cfRule>
    <cfRule type="expression" priority="540" dxfId="22">
      <formula>AV35="후보"</formula>
    </cfRule>
  </conditionalFormatting>
  <conditionalFormatting sqref="AC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23">
      <formula>AV36="X"</formula>
    </cfRule>
    <cfRule type="expression" priority="522" dxfId="22">
      <formula>AV36="후보"</formula>
    </cfRule>
  </conditionalFormatting>
  <conditionalFormatting sqref="AC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23">
      <formula>AV37="X"</formula>
    </cfRule>
    <cfRule type="expression" priority="504" dxfId="22">
      <formula>AV37="후보"</formula>
    </cfRule>
  </conditionalFormatting>
  <conditionalFormatting sqref="AC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23">
      <formula>AV38="X"</formula>
    </cfRule>
    <cfRule type="expression" priority="486" dxfId="22">
      <formula>AV38="후보"</formula>
    </cfRule>
  </conditionalFormatting>
  <conditionalFormatting sqref="AC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23">
      <formula>AV39="X"</formula>
    </cfRule>
    <cfRule type="expression" priority="468" dxfId="22">
      <formula>AV39="후보"</formula>
    </cfRule>
  </conditionalFormatting>
  <conditionalFormatting sqref="AC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23">
      <formula>AV40="X"</formula>
    </cfRule>
    <cfRule type="expression" priority="450" dxfId="22">
      <formula>AV40="후보"</formula>
    </cfRule>
  </conditionalFormatting>
  <conditionalFormatting sqref="AC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23">
      <formula>AV41="X"</formula>
    </cfRule>
    <cfRule type="expression" priority="432" dxfId="22">
      <formula>AV41="후보"</formula>
    </cfRule>
  </conditionalFormatting>
  <conditionalFormatting sqref="AC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23">
      <formula>AV42="X"</formula>
    </cfRule>
    <cfRule type="expression" priority="414" dxfId="22">
      <formula>AV42="후보"</formula>
    </cfRule>
  </conditionalFormatting>
  <conditionalFormatting sqref="AC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23">
      <formula>AV44="X"</formula>
    </cfRule>
    <cfRule type="expression" priority="378" dxfId="22">
      <formula>AV44="후보"</formula>
    </cfRule>
  </conditionalFormatting>
  <conditionalFormatting sqref="AC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23">
      <formula>AV45="X"</formula>
    </cfRule>
    <cfRule type="expression" priority="360" dxfId="22">
      <formula>AV45="후보"</formula>
    </cfRule>
  </conditionalFormatting>
  <conditionalFormatting sqref="AC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23">
      <formula>AV46="X"</formula>
    </cfRule>
    <cfRule type="expression" priority="342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23">
      <formula>AV48="X"</formula>
    </cfRule>
    <cfRule type="expression" priority="306" dxfId="22">
      <formula>AV48="후보"</formula>
    </cfRule>
  </conditionalFormatting>
  <conditionalFormatting sqref="AC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23">
      <formula>AV49="X"</formula>
    </cfRule>
    <cfRule type="expression" priority="288" dxfId="22">
      <formula>AV49="후보"</formula>
    </cfRule>
  </conditionalFormatting>
  <conditionalFormatting sqref="AC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23">
      <formula>AV50="X"</formula>
    </cfRule>
    <cfRule type="expression" priority="270" dxfId="22">
      <formula>AV50="후보"</formula>
    </cfRule>
  </conditionalFormatting>
  <conditionalFormatting sqref="AC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23">
      <formula>AV51="X"</formula>
    </cfRule>
    <cfRule type="expression" priority="252" dxfId="22">
      <formula>AV51="후보"</formula>
    </cfRule>
  </conditionalFormatting>
  <conditionalFormatting sqref="AC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23">
      <formula>AV52="X"</formula>
    </cfRule>
    <cfRule type="expression" priority="234" dxfId="22">
      <formula>AV52="후보"</formula>
    </cfRule>
  </conditionalFormatting>
  <conditionalFormatting sqref="AC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23">
      <formula>AV53="X"</formula>
    </cfRule>
    <cfRule type="expression" priority="216" dxfId="22">
      <formula>AV53="후보"</formula>
    </cfRule>
  </conditionalFormatting>
  <conditionalFormatting sqref="AC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23">
      <formula>AV54="X"</formula>
    </cfRule>
    <cfRule type="expression" priority="198" dxfId="22">
      <formula>AV54="후보"</formula>
    </cfRule>
  </conditionalFormatting>
  <conditionalFormatting sqref="AC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23">
      <formula>AV55="X"</formula>
    </cfRule>
    <cfRule type="expression" priority="180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23">
      <formula>AV57="X"</formula>
    </cfRule>
    <cfRule type="expression" priority="144" dxfId="22">
      <formula>AV57="후보"</formula>
    </cfRule>
  </conditionalFormatting>
  <conditionalFormatting sqref="AC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23">
      <formula>AV58="X"</formula>
    </cfRule>
    <cfRule type="expression" priority="126" dxfId="22">
      <formula>AV58="후보"</formula>
    </cfRule>
  </conditionalFormatting>
  <conditionalFormatting sqref="AC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23">
      <formula>AV59="X"</formula>
    </cfRule>
    <cfRule type="expression" priority="108" dxfId="22">
      <formula>AV59="후보"</formula>
    </cfRule>
  </conditionalFormatting>
  <conditionalFormatting sqref="AC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23">
      <formula>AV60="X"</formula>
    </cfRule>
    <cfRule type="expression" priority="90" dxfId="22">
      <formula>AV60="후보"</formula>
    </cfRule>
  </conditionalFormatting>
  <conditionalFormatting sqref="AC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23">
      <formula>AV61="X"</formula>
    </cfRule>
    <cfRule type="expression" priority="72" dxfId="22">
      <formula>AV61="후보"</formula>
    </cfRule>
  </conditionalFormatting>
  <conditionalFormatting sqref="AC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23">
      <formula>AV62="X"</formula>
    </cfRule>
    <cfRule type="expression" priority="54" dxfId="22">
      <formula>AV62="후보"</formula>
    </cfRule>
  </conditionalFormatting>
  <conditionalFormatting sqref="AC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23">
      <formula>AV63="X"</formula>
    </cfRule>
    <cfRule type="expression" priority="36" dxfId="22">
      <formula>AV63="후보"</formula>
    </cfRule>
  </conditionalFormatting>
  <conditionalFormatting sqref="AC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23">
      <formula>AV64="X"</formula>
    </cfRule>
    <cfRule type="expression" priority="18" dxfId="22">
      <formula>AV64="후보"</formula>
    </cfRule>
  </conditionalFormatting>
  <conditionalFormatting sqref="AC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0" t="n">
        <v>936</v>
      </c>
      <c r="D4" s="131" t="n">
        <v>111.6</v>
      </c>
      <c r="E4" s="132" t="n">
        <v>34</v>
      </c>
      <c r="F4" s="131" t="n">
        <v>85</v>
      </c>
      <c r="G4" s="17" t="n">
        <v>26</v>
      </c>
      <c r="H4" s="133" t="n">
        <v>272</v>
      </c>
      <c r="I4" s="134" t="n">
        <v>55534</v>
      </c>
      <c r="J4" s="134" t="inlineStr">
        <is>
          <t>중</t>
        </is>
      </c>
      <c r="K4" s="134" t="n">
        <v>29500</v>
      </c>
      <c r="L4" s="134" t="inlineStr">
        <is>
          <t>8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지정면 원주롯데캐슬골드파크1차</t>
        </is>
      </c>
      <c r="B5" s="76" t="inlineStr">
        <is>
          <t>19.12.</t>
        </is>
      </c>
      <c r="C5" s="130" t="n">
        <v>624</v>
      </c>
      <c r="D5" s="131" t="n">
        <v>110.3</v>
      </c>
      <c r="E5" s="132" t="n">
        <v>33</v>
      </c>
      <c r="F5" s="131" t="n">
        <v>85</v>
      </c>
      <c r="G5" s="17" t="n">
        <v>26</v>
      </c>
      <c r="H5" s="133" t="n">
        <v>266</v>
      </c>
      <c r="I5" s="134" t="n">
        <v>53000</v>
      </c>
      <c r="J5" s="134" t="inlineStr">
        <is>
          <t>14</t>
        </is>
      </c>
      <c r="K5" s="134" t="n">
        <v>28000</v>
      </c>
      <c r="L5" s="134" t="inlineStr">
        <is>
          <t>18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5" t="inlineStr">
        <is>
          <t>명륜동 원주더샵센트럴파크2단지</t>
        </is>
      </c>
      <c r="B6" s="76" t="inlineStr">
        <is>
          <t>22.01.</t>
        </is>
      </c>
      <c r="C6" s="130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51000</v>
      </c>
      <c r="J6" s="134" t="inlineStr">
        <is>
          <t>20</t>
        </is>
      </c>
      <c r="K6" s="134" t="n">
        <v>27000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</row>
    <row r="7" ht="12" customFormat="1" customHeight="1" s="37">
      <c r="A7" s="75" t="inlineStr">
        <is>
          <t>지정면 원주롯데캐슬골드파크2차</t>
        </is>
      </c>
      <c r="B7" s="76" t="inlineStr">
        <is>
          <t>19.12.</t>
        </is>
      </c>
      <c r="C7" s="130" t="n">
        <v>536</v>
      </c>
      <c r="D7" s="131" t="n">
        <v>111</v>
      </c>
      <c r="E7" s="132" t="n">
        <v>34</v>
      </c>
      <c r="F7" s="131" t="n">
        <v>85</v>
      </c>
      <c r="G7" s="17" t="n">
        <v>26</v>
      </c>
      <c r="H7" s="133" t="n">
        <v>243</v>
      </c>
      <c r="I7" s="134" t="n">
        <v>50000</v>
      </c>
      <c r="J7" s="134" t="inlineStr">
        <is>
          <t>10</t>
        </is>
      </c>
      <c r="K7" s="134" t="n">
        <v>25000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113</v>
      </c>
      <c r="U7" s="9" t="n"/>
    </row>
    <row r="8" ht="12" customFormat="1" customHeight="1" s="37">
      <c r="A8" s="75" t="inlineStr">
        <is>
          <t>반곡동 힐데스하임5단지</t>
        </is>
      </c>
      <c r="B8" s="76" t="inlineStr">
        <is>
          <t>15.05.</t>
        </is>
      </c>
      <c r="C8" s="130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50000</v>
      </c>
      <c r="J8" s="134" t="inlineStr">
        <is>
          <t>17</t>
        </is>
      </c>
      <c r="K8" s="134" t="n">
        <v>35000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</row>
    <row r="9" ht="12" customFormat="1" customHeight="1" s="37">
      <c r="A9" s="75" t="inlineStr">
        <is>
          <t>무실동 무실우미린</t>
        </is>
      </c>
      <c r="B9" s="76" t="inlineStr">
        <is>
          <t>14.09.</t>
        </is>
      </c>
      <c r="C9" s="130" t="n">
        <v>653</v>
      </c>
      <c r="D9" s="131" t="n">
        <v>111.5</v>
      </c>
      <c r="E9" s="132" t="n">
        <v>34</v>
      </c>
      <c r="F9" s="131" t="n">
        <v>85</v>
      </c>
      <c r="G9" s="17" t="n">
        <v>26</v>
      </c>
      <c r="H9" s="133" t="n">
        <v>245</v>
      </c>
      <c r="I9" s="134" t="n">
        <v>50000</v>
      </c>
      <c r="J9" s="134" t="inlineStr">
        <is>
          <t>12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94</v>
      </c>
      <c r="U9" s="9" t="n"/>
    </row>
    <row r="10" ht="12" customFormat="1" customHeight="1" s="37">
      <c r="A10" s="75" t="inlineStr">
        <is>
          <t>무실동 원주무실세영리첼1차</t>
        </is>
      </c>
      <c r="B10" s="76" t="inlineStr">
        <is>
          <t>14.06.</t>
        </is>
      </c>
      <c r="C10" s="130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48000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</row>
    <row r="11" ht="12" customFormat="1" customHeight="1" s="37">
      <c r="A11" s="75" t="inlineStr">
        <is>
          <t>반곡동 중흥에스-클래스프라디움</t>
        </is>
      </c>
      <c r="B11" s="76" t="inlineStr">
        <is>
          <t>16.10.</t>
        </is>
      </c>
      <c r="C11" s="130" t="n">
        <v>850</v>
      </c>
      <c r="D11" s="131" t="n">
        <v>112.6</v>
      </c>
      <c r="E11" s="132" t="n">
        <v>34</v>
      </c>
      <c r="F11" s="131" t="n">
        <v>85</v>
      </c>
      <c r="G11" s="17" t="n">
        <v>26</v>
      </c>
      <c r="H11" s="133" t="n">
        <v>246</v>
      </c>
      <c r="I11" s="134" t="n">
        <v>47000</v>
      </c>
      <c r="J11" s="134" t="inlineStr">
        <is>
          <t>중</t>
        </is>
      </c>
      <c r="K11" s="134" t="n">
        <v>34000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57</v>
      </c>
      <c r="U11" s="9" t="n"/>
    </row>
    <row r="12" ht="24" customFormat="1" customHeight="1" s="37">
      <c r="A12" s="75" t="inlineStr">
        <is>
          <t>무실동 원주무실세영리첼2차</t>
        </is>
      </c>
      <c r="B12" s="76" t="inlineStr">
        <is>
          <t>15.04.</t>
        </is>
      </c>
      <c r="C12" s="130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47000</v>
      </c>
      <c r="J12" s="134" t="inlineStr">
        <is>
          <t>7</t>
        </is>
      </c>
      <c r="K12" s="134" t="n">
        <v>35000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</row>
    <row r="13" ht="12" customFormat="1" customHeight="1" s="37">
      <c r="A13" s="75" t="inlineStr">
        <is>
          <t>지정면 이지더원더그레이스</t>
        </is>
      </c>
      <c r="B13" s="76" t="inlineStr">
        <is>
          <t>20.06.</t>
        </is>
      </c>
      <c r="C13" s="130" t="n">
        <v>776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428</v>
      </c>
      <c r="I13" s="134" t="n">
        <v>42500</v>
      </c>
      <c r="J13" s="134" t="inlineStr">
        <is>
          <t>고</t>
        </is>
      </c>
      <c r="K13" s="134" t="n">
        <v>25000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107B</t>
        </is>
      </c>
      <c r="U13" s="9" t="n"/>
    </row>
    <row r="14" ht="24" customFormat="1" customHeight="1" s="37">
      <c r="A14" s="75" t="inlineStr">
        <is>
          <t>무실동 무실우미린</t>
        </is>
      </c>
      <c r="B14" s="76" t="inlineStr">
        <is>
          <t>14.09.</t>
        </is>
      </c>
      <c r="C14" s="130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42000</v>
      </c>
      <c r="J14" s="134" t="inlineStr">
        <is>
          <t>10</t>
        </is>
      </c>
      <c r="K14" s="134" t="n">
        <v>29000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</row>
    <row r="15" ht="24" customFormat="1" customHeight="1" s="37">
      <c r="A15" s="75" t="inlineStr">
        <is>
          <t>단계동 원주봉화산푸르지오</t>
        </is>
      </c>
      <c r="B15" s="76" t="inlineStr">
        <is>
          <t>17.11.</t>
        </is>
      </c>
      <c r="C15" s="130" t="n">
        <v>996</v>
      </c>
      <c r="D15" s="131" t="n">
        <v>109.8</v>
      </c>
      <c r="E15" s="132" t="n">
        <v>33</v>
      </c>
      <c r="F15" s="131" t="n">
        <v>84.90000000000001</v>
      </c>
      <c r="G15" s="17" t="n">
        <v>26</v>
      </c>
      <c r="H15" s="133" t="n">
        <v>169</v>
      </c>
      <c r="I15" s="134" t="n">
        <v>42000</v>
      </c>
      <c r="J15" s="134" t="inlineStr">
        <is>
          <t>5</t>
        </is>
      </c>
      <c r="K15" s="134" t="n">
        <v>27000</v>
      </c>
      <c r="L15" s="134" t="inlineStr">
        <is>
          <t>11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77B</t>
        </is>
      </c>
      <c r="U15" s="9" t="n"/>
    </row>
    <row r="16" ht="24" customFormat="1" customHeight="1" s="37">
      <c r="A16" s="75" t="inlineStr">
        <is>
          <t>지정면 원주기업도시호반베르디움8단지</t>
        </is>
      </c>
      <c r="B16" s="76" t="inlineStr">
        <is>
          <t>18.08.</t>
        </is>
      </c>
      <c r="C16" s="130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41000</v>
      </c>
      <c r="J16" s="134" t="inlineStr">
        <is>
          <t>16</t>
        </is>
      </c>
      <c r="K16" s="134" t="n">
        <v>24000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</row>
    <row r="17" ht="12" customFormat="1" customHeight="1" s="37">
      <c r="A17" s="75" t="inlineStr">
        <is>
          <t>지정면 원주기업도시유보라아이비파크2단지</t>
        </is>
      </c>
      <c r="B17" s="76" t="inlineStr">
        <is>
          <t>20.01.</t>
        </is>
      </c>
      <c r="C17" s="130" t="n">
        <v>794</v>
      </c>
      <c r="D17" s="131" t="n">
        <v>111.9</v>
      </c>
      <c r="E17" s="132" t="n">
        <v>34</v>
      </c>
      <c r="F17" s="131" t="n">
        <v>85</v>
      </c>
      <c r="G17" s="17" t="n">
        <v>26</v>
      </c>
      <c r="H17" s="133" t="n">
        <v>263</v>
      </c>
      <c r="I17" s="134" t="n">
        <v>40000</v>
      </c>
      <c r="J17" s="134" t="inlineStr">
        <is>
          <t>9</t>
        </is>
      </c>
      <c r="K17" s="134" t="n">
        <v>25000</v>
      </c>
      <c r="L17" s="134" t="inlineStr">
        <is>
          <t>고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77</v>
      </c>
      <c r="U17" s="9" t="n"/>
    </row>
    <row r="18" ht="12" customFormat="1" customHeight="1" s="37">
      <c r="A18" s="75" t="inlineStr">
        <is>
          <t>지정면 원주기업도시라온프라이빗</t>
        </is>
      </c>
      <c r="B18" s="76" t="inlineStr">
        <is>
          <t>18.12.</t>
        </is>
      </c>
      <c r="C18" s="130" t="n">
        <v>713</v>
      </c>
      <c r="D18" s="131" t="n">
        <v>113.4</v>
      </c>
      <c r="E18" s="132" t="n">
        <v>34</v>
      </c>
      <c r="F18" s="131" t="n">
        <v>84.7</v>
      </c>
      <c r="G18" s="17" t="n">
        <v>26</v>
      </c>
      <c r="H18" s="133" t="n">
        <v>178</v>
      </c>
      <c r="I18" s="134" t="n">
        <v>40000</v>
      </c>
      <c r="J18" s="134" t="inlineStr">
        <is>
          <t>5</t>
        </is>
      </c>
      <c r="K18" s="134" t="n">
        <v>29000</v>
      </c>
      <c r="L18" s="134" t="inlineStr">
        <is>
          <t>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137</v>
      </c>
      <c r="U18" s="9" t="n"/>
    </row>
    <row r="19" ht="12" customFormat="1" customHeight="1" s="37">
      <c r="A19" s="75" t="inlineStr">
        <is>
          <t>반곡동 반곡모아엘가</t>
        </is>
      </c>
      <c r="B19" s="76" t="inlineStr">
        <is>
          <t>17.07.</t>
        </is>
      </c>
      <c r="C19" s="130" t="n">
        <v>418</v>
      </c>
      <c r="D19" s="131" t="n">
        <v>109.6</v>
      </c>
      <c r="E19" s="132" t="n">
        <v>33</v>
      </c>
      <c r="F19" s="131" t="n">
        <v>84.90000000000001</v>
      </c>
      <c r="G19" s="17" t="n">
        <v>26</v>
      </c>
      <c r="H19" s="133" t="n">
        <v>258</v>
      </c>
      <c r="I19" s="134" t="n">
        <v>40000</v>
      </c>
      <c r="J19" s="134" t="inlineStr">
        <is>
          <t>고</t>
        </is>
      </c>
      <c r="K19" s="134" t="n">
        <v>32000</v>
      </c>
      <c r="L19" s="134" t="inlineStr">
        <is>
          <t>15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n">
        <v>79</v>
      </c>
      <c r="U19" s="9" t="n"/>
    </row>
    <row r="20" ht="12" customFormat="1" customHeight="1" s="37">
      <c r="A20" s="75" t="inlineStr">
        <is>
          <t>단구동 원주단구내안애카운티에듀파크2단지</t>
        </is>
      </c>
      <c r="B20" s="76" t="inlineStr">
        <is>
          <t>20.06.</t>
        </is>
      </c>
      <c r="C20" s="130" t="n">
        <v>348</v>
      </c>
      <c r="D20" s="131" t="n">
        <v>108.3</v>
      </c>
      <c r="E20" s="132" t="n">
        <v>33</v>
      </c>
      <c r="F20" s="131" t="n">
        <v>84.90000000000001</v>
      </c>
      <c r="G20" s="17" t="n">
        <v>26</v>
      </c>
      <c r="H20" s="133" t="n">
        <v>203</v>
      </c>
      <c r="I20" s="134" t="n">
        <v>40000</v>
      </c>
      <c r="J20" s="134" t="inlineStr">
        <is>
          <t>13</t>
        </is>
      </c>
      <c r="K20" s="134" t="n">
        <v>30000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61</v>
      </c>
      <c r="U20" s="9" t="n"/>
    </row>
    <row r="21" ht="12" customFormat="1" customHeight="1" s="37">
      <c r="A21" s="75" t="inlineStr">
        <is>
          <t>단계동 원주봉화산벨라시티2차</t>
        </is>
      </c>
      <c r="B21" s="76" t="inlineStr">
        <is>
          <t>18.12.</t>
        </is>
      </c>
      <c r="C21" s="130" t="n">
        <v>839</v>
      </c>
      <c r="D21" s="131" t="n">
        <v>115.8</v>
      </c>
      <c r="E21" s="132" t="n">
        <v>35</v>
      </c>
      <c r="F21" s="131" t="n">
        <v>85</v>
      </c>
      <c r="G21" s="17" t="n">
        <v>26</v>
      </c>
      <c r="H21" s="133" t="n">
        <v>322</v>
      </c>
      <c r="I21" s="134" t="n">
        <v>40000</v>
      </c>
      <c r="J21" s="134" t="inlineStr">
        <is>
          <t>8</t>
        </is>
      </c>
      <c r="K21" s="134" t="n">
        <v>32000</v>
      </c>
      <c r="L21" s="134" t="inlineStr">
        <is>
          <t>14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</row>
    <row r="22" ht="24" customFormat="1" customHeight="1" s="37">
      <c r="A22" s="75" t="inlineStr">
        <is>
          <t>지정면 원주기업도시호반베르디움(3-1블록)</t>
        </is>
      </c>
      <c r="B22" s="76" t="inlineStr">
        <is>
          <t>19.05.</t>
        </is>
      </c>
      <c r="C22" s="130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39500</v>
      </c>
      <c r="J22" s="134" t="inlineStr">
        <is>
          <t>5</t>
        </is>
      </c>
      <c r="K22" s="134" t="n">
        <v>26000</v>
      </c>
      <c r="L22" s="134" t="inlineStr">
        <is>
          <t>18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</row>
    <row r="23" ht="24" customFormat="1" customHeight="1" s="37">
      <c r="A23" s="75" t="inlineStr">
        <is>
          <t>지정면 원주기업도시호반베르디움(3-2블록)</t>
        </is>
      </c>
      <c r="B23" s="76" t="inlineStr">
        <is>
          <t>19.05.</t>
        </is>
      </c>
      <c r="C23" s="130" t="n">
        <v>824</v>
      </c>
      <c r="D23" s="131" t="n">
        <v>110.9</v>
      </c>
      <c r="E23" s="132" t="n">
        <v>34</v>
      </c>
      <c r="F23" s="131" t="n">
        <v>84.90000000000001</v>
      </c>
      <c r="G23" s="17" t="n">
        <v>26</v>
      </c>
      <c r="H23" s="133" t="n">
        <v>494</v>
      </c>
      <c r="I23" s="134" t="n">
        <v>39500</v>
      </c>
      <c r="J23" s="134" t="inlineStr">
        <is>
          <t>10</t>
        </is>
      </c>
      <c r="K23" s="134" t="n">
        <v>23000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87B</t>
        </is>
      </c>
      <c r="U23" s="9" t="n"/>
    </row>
    <row r="24" ht="12" customFormat="1" customHeight="1" s="37">
      <c r="A24" s="75" t="inlineStr">
        <is>
          <t>반곡동 e편한세상반곡</t>
        </is>
      </c>
      <c r="B24" s="76" t="inlineStr">
        <is>
          <t>18.11.</t>
        </is>
      </c>
      <c r="C24" s="130" t="n">
        <v>508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84</v>
      </c>
      <c r="I24" s="134" t="n">
        <v>39500</v>
      </c>
      <c r="J24" s="134" t="inlineStr">
        <is>
          <t>고</t>
        </is>
      </c>
      <c r="K24" s="134" t="n">
        <v>30000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inlineStr">
        <is>
          <t>33A</t>
        </is>
      </c>
      <c r="U24" s="9" t="n"/>
    </row>
    <row r="25" ht="12" customFormat="1" customHeight="1" s="37">
      <c r="A25" s="75" t="inlineStr">
        <is>
          <t>지정면 원주기업도시유보라아이비파크1단지</t>
        </is>
      </c>
      <c r="B25" s="76" t="inlineStr">
        <is>
          <t>20.01.</t>
        </is>
      </c>
      <c r="C25" s="130" t="n">
        <v>548</v>
      </c>
      <c r="D25" s="131" t="n">
        <v>109.7</v>
      </c>
      <c r="E25" s="132" t="n">
        <v>33</v>
      </c>
      <c r="F25" s="131" t="n">
        <v>85</v>
      </c>
      <c r="G25" s="17" t="n">
        <v>26</v>
      </c>
      <c r="H25" s="133" t="n">
        <v>180</v>
      </c>
      <c r="I25" s="134" t="n">
        <v>38000</v>
      </c>
      <c r="J25" s="134" t="inlineStr">
        <is>
          <t>고</t>
        </is>
      </c>
      <c r="K25" s="134" t="n">
        <v>24000</v>
      </c>
      <c r="L25" s="134" t="inlineStr">
        <is>
          <t>27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107A</t>
        </is>
      </c>
      <c r="U25" s="9" t="n"/>
    </row>
    <row r="26" ht="12" customFormat="1" customHeight="1" s="37">
      <c r="A26" s="75" t="inlineStr">
        <is>
          <t>반곡동 LH센트럴파크</t>
        </is>
      </c>
      <c r="B26" s="76" t="inlineStr">
        <is>
          <t>19.02.</t>
        </is>
      </c>
      <c r="C26" s="130" t="n">
        <v>855</v>
      </c>
      <c r="D26" s="131" t="n">
        <v>110.9</v>
      </c>
      <c r="E26" s="132" t="n">
        <v>34</v>
      </c>
      <c r="F26" s="131" t="n">
        <v>85</v>
      </c>
      <c r="G26" s="17" t="n">
        <v>26</v>
      </c>
      <c r="H26" s="133" t="n">
        <v>601</v>
      </c>
      <c r="I26" s="134" t="n">
        <v>38000</v>
      </c>
      <c r="J26" s="134" t="inlineStr">
        <is>
          <t>고</t>
        </is>
      </c>
      <c r="K26" s="134" t="n">
        <v>29000</v>
      </c>
      <c r="L26" s="134" t="inlineStr">
        <is>
          <t>7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80</v>
      </c>
      <c r="U26" s="9" t="n"/>
    </row>
    <row r="27" ht="24" customFormat="1" customHeight="1" s="37">
      <c r="A27" s="75" t="inlineStr">
        <is>
          <t>지정면 원주롯데캐슬더퍼스트2차</t>
        </is>
      </c>
      <c r="B27" s="76" t="inlineStr">
        <is>
          <t>18.08.</t>
        </is>
      </c>
      <c r="C27" s="130" t="n">
        <v>1116</v>
      </c>
      <c r="D27" s="131" t="n">
        <v>113.4</v>
      </c>
      <c r="E27" s="132" t="n">
        <v>34</v>
      </c>
      <c r="F27" s="131" t="n">
        <v>85</v>
      </c>
      <c r="G27" s="17" t="n">
        <v>26</v>
      </c>
      <c r="H27" s="133" t="n">
        <v>472</v>
      </c>
      <c r="I27" s="134" t="n">
        <v>37000</v>
      </c>
      <c r="J27" s="134" t="inlineStr">
        <is>
          <t>6</t>
        </is>
      </c>
      <c r="K27" s="134" t="n">
        <v>25000</v>
      </c>
      <c r="L27" s="134" t="inlineStr">
        <is>
          <t>21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45B</t>
        </is>
      </c>
      <c r="U27" s="9" t="n"/>
    </row>
    <row r="28" ht="24" customFormat="1" customHeight="1" s="37">
      <c r="A28" s="75" t="inlineStr">
        <is>
          <t>반곡동 푸른숨LH3단지</t>
        </is>
      </c>
      <c r="B28" s="76" t="inlineStr">
        <is>
          <t>15.06.</t>
        </is>
      </c>
      <c r="C28" s="130" t="n">
        <v>728</v>
      </c>
      <c r="D28" s="131" t="n">
        <v>109.6</v>
      </c>
      <c r="E28" s="132" t="n">
        <v>33</v>
      </c>
      <c r="F28" s="131" t="n">
        <v>84.90000000000001</v>
      </c>
      <c r="G28" s="17" t="n">
        <v>26</v>
      </c>
      <c r="H28" s="133" t="n">
        <v>191</v>
      </c>
      <c r="I28" s="134" t="n">
        <v>37000</v>
      </c>
      <c r="J28" s="134" t="inlineStr">
        <is>
          <t>중</t>
        </is>
      </c>
      <c r="K28" s="134" t="n">
        <v>30000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108C</t>
        </is>
      </c>
      <c r="U28" s="9" t="n"/>
    </row>
    <row r="29" ht="12" customFormat="1" customHeight="1" s="37">
      <c r="A29" s="75" t="inlineStr">
        <is>
          <t>반곡동 푸른숨휴브레스</t>
        </is>
      </c>
      <c r="B29" s="76" t="inlineStr">
        <is>
          <t>13.12.</t>
        </is>
      </c>
      <c r="C29" s="130" t="n">
        <v>1110</v>
      </c>
      <c r="D29" s="131" t="n">
        <v>109.1</v>
      </c>
      <c r="E29" s="132" t="n">
        <v>33</v>
      </c>
      <c r="F29" s="131" t="n">
        <v>84.90000000000001</v>
      </c>
      <c r="G29" s="17" t="n">
        <v>26</v>
      </c>
      <c r="H29" s="133" t="n">
        <v>770</v>
      </c>
      <c r="I29" s="134" t="n">
        <v>37000</v>
      </c>
      <c r="J29" s="134" t="inlineStr">
        <is>
          <t>고</t>
        </is>
      </c>
      <c r="K29" s="134" t="n">
        <v>27000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n">
        <v>79</v>
      </c>
      <c r="U29" s="9" t="n"/>
    </row>
    <row r="30" ht="12" customFormat="1" customHeight="1" s="37">
      <c r="A30" s="75" t="inlineStr">
        <is>
          <t>단구동 원주단구내안애카운티에듀파크1단지</t>
        </is>
      </c>
      <c r="B30" s="76" t="inlineStr">
        <is>
          <t>20.06.</t>
        </is>
      </c>
      <c r="C30" s="130" t="n">
        <v>571</v>
      </c>
      <c r="D30" s="131" t="n">
        <v>107.3</v>
      </c>
      <c r="E30" s="132" t="n">
        <v>32</v>
      </c>
      <c r="F30" s="131" t="n">
        <v>84.90000000000001</v>
      </c>
      <c r="G30" s="17" t="n">
        <v>26</v>
      </c>
      <c r="H30" s="133" t="n">
        <v>421</v>
      </c>
      <c r="I30" s="134" t="n">
        <v>37000</v>
      </c>
      <c r="J30" s="134" t="inlineStr">
        <is>
          <t>12</t>
        </is>
      </c>
      <c r="K30" s="134" t="n">
        <v>29000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158</v>
      </c>
      <c r="U30" s="9" t="n"/>
    </row>
    <row r="31" ht="12" customFormat="1" customHeight="1" s="37">
      <c r="A31" s="75" t="inlineStr">
        <is>
          <t>단계동 봉화산벨라시티</t>
        </is>
      </c>
      <c r="B31" s="76" t="inlineStr">
        <is>
          <t>16.10.</t>
        </is>
      </c>
      <c r="C31" s="130" t="n">
        <v>566</v>
      </c>
      <c r="D31" s="131" t="n">
        <v>110.9</v>
      </c>
      <c r="E31" s="132" t="n">
        <v>34</v>
      </c>
      <c r="F31" s="131" t="n">
        <v>85</v>
      </c>
      <c r="G31" s="17" t="n">
        <v>26</v>
      </c>
      <c r="H31" s="133" t="n">
        <v>92</v>
      </c>
      <c r="I31" s="134" t="n">
        <v>37000</v>
      </c>
      <c r="J31" s="134" t="inlineStr">
        <is>
          <t>8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77</v>
      </c>
      <c r="U31" s="9" t="n"/>
    </row>
    <row r="32" ht="12" customFormat="1" customHeight="1" s="37">
      <c r="A32" s="75" t="inlineStr">
        <is>
          <t>단구동 단구한신더휴</t>
        </is>
      </c>
      <c r="B32" s="76" t="inlineStr">
        <is>
          <t>17.11.</t>
        </is>
      </c>
      <c r="C32" s="130" t="n">
        <v>724</v>
      </c>
      <c r="D32" s="131" t="n">
        <v>114.2</v>
      </c>
      <c r="E32" s="132" t="n">
        <v>35</v>
      </c>
      <c r="F32" s="131" t="n">
        <v>84.90000000000001</v>
      </c>
      <c r="G32" s="17" t="n">
        <v>26</v>
      </c>
      <c r="H32" s="133" t="n">
        <v>217</v>
      </c>
      <c r="I32" s="134" t="n">
        <v>36000</v>
      </c>
      <c r="J32" s="134" t="inlineStr">
        <is>
          <t>6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110.8</v>
      </c>
      <c r="E33" s="132" t="n">
        <v>34</v>
      </c>
      <c r="F33" s="131" t="n">
        <v>85</v>
      </c>
      <c r="G33" s="17" t="n">
        <v>26</v>
      </c>
      <c r="H33" s="133" t="n">
        <v>880</v>
      </c>
      <c r="I33" s="134" t="n">
        <v>35500</v>
      </c>
      <c r="J33" s="134" t="inlineStr">
        <is>
          <t>고</t>
        </is>
      </c>
      <c r="K33" s="134" t="n">
        <v>23000</v>
      </c>
      <c r="L33" s="134" t="inlineStr">
        <is>
          <t>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73</v>
      </c>
      <c r="U33" s="9" t="n"/>
    </row>
    <row r="34" ht="12" customFormat="1" customHeight="1" s="37">
      <c r="A34" s="75" t="inlineStr">
        <is>
          <t>단계동 원주봉화산푸르지오</t>
        </is>
      </c>
      <c r="B34" s="76" t="inlineStr">
        <is>
          <t>17.11.</t>
        </is>
      </c>
      <c r="C34" s="130" t="n">
        <v>996</v>
      </c>
      <c r="D34" s="131" t="n">
        <v>98.59999999999999</v>
      </c>
      <c r="E34" s="132" t="n">
        <v>30</v>
      </c>
      <c r="F34" s="131" t="n">
        <v>72.90000000000001</v>
      </c>
      <c r="G34" s="17" t="n">
        <v>22</v>
      </c>
      <c r="H34" s="133" t="n">
        <v>323</v>
      </c>
      <c r="I34" s="134" t="n">
        <v>35500</v>
      </c>
      <c r="J34" s="134" t="inlineStr">
        <is>
          <t>10</t>
        </is>
      </c>
      <c r="K34" s="134" t="n">
        <v>26000</v>
      </c>
      <c r="L34" s="134" t="inlineStr">
        <is>
          <t>22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</row>
    <row r="35" ht="12" customFormat="1" customHeight="1" s="37">
      <c r="A35" s="75" t="inlineStr">
        <is>
          <t>판부면 남원주코아루미소지움</t>
        </is>
      </c>
      <c r="B35" s="76" t="inlineStr">
        <is>
          <t>18.03.</t>
        </is>
      </c>
      <c r="C35" s="130" t="n">
        <v>359</v>
      </c>
      <c r="D35" s="131" t="n">
        <v>110</v>
      </c>
      <c r="E35" s="132" t="n">
        <v>33</v>
      </c>
      <c r="F35" s="131" t="n">
        <v>80</v>
      </c>
      <c r="G35" s="17" t="n">
        <v>24</v>
      </c>
      <c r="H35" s="133" t="n">
        <v>157</v>
      </c>
      <c r="I35" s="134" t="n">
        <v>34500</v>
      </c>
      <c r="J35" s="134" t="inlineStr">
        <is>
          <t>6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77B</t>
        </is>
      </c>
      <c r="U35" s="9" t="n"/>
    </row>
    <row r="36" ht="12" customFormat="1" customHeight="1" s="37">
      <c r="A36" s="75" t="inlineStr">
        <is>
          <t>지정면 원주롯데캐슬골드파크2차</t>
        </is>
      </c>
      <c r="B36" s="76" t="inlineStr">
        <is>
          <t>19.12.</t>
        </is>
      </c>
      <c r="C36" s="130" t="n">
        <v>536</v>
      </c>
      <c r="D36" s="131" t="n">
        <v>81.2</v>
      </c>
      <c r="E36" s="132" t="n">
        <v>25</v>
      </c>
      <c r="F36" s="131" t="n">
        <v>60</v>
      </c>
      <c r="G36" s="17" t="n">
        <v>18</v>
      </c>
      <c r="H36" s="133" t="n">
        <v>128</v>
      </c>
      <c r="I36" s="134" t="n">
        <v>34500</v>
      </c>
      <c r="J36" s="134" t="inlineStr">
        <is>
          <t>중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104</v>
      </c>
      <c r="U36" s="9" t="n"/>
    </row>
    <row r="37" ht="12" customFormat="1" customHeight="1" s="37">
      <c r="A37" s="75" t="inlineStr">
        <is>
          <t>지정면 원주롯데캐슬골드파크1차</t>
        </is>
      </c>
      <c r="B37" s="76" t="inlineStr">
        <is>
          <t>19.12.</t>
        </is>
      </c>
      <c r="C37" s="130" t="n">
        <v>624</v>
      </c>
      <c r="D37" s="131" t="n">
        <v>81.59999999999999</v>
      </c>
      <c r="E37" s="132" t="n">
        <v>25</v>
      </c>
      <c r="F37" s="131" t="n">
        <v>60</v>
      </c>
      <c r="G37" s="17" t="n">
        <v>18</v>
      </c>
      <c r="H37" s="133" t="n">
        <v>157</v>
      </c>
      <c r="I37" s="134" t="n">
        <v>33000</v>
      </c>
      <c r="J37" s="134" t="inlineStr">
        <is>
          <t>7</t>
        </is>
      </c>
      <c r="K37" s="134" t="n">
        <v>22000</v>
      </c>
      <c r="L37" s="134" t="inlineStr">
        <is>
          <t>18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111B</t>
        </is>
      </c>
      <c r="U37" s="9" t="n"/>
    </row>
    <row r="38" ht="12" customFormat="1" customHeight="1" s="37">
      <c r="A38" s="75" t="inlineStr">
        <is>
          <t>태장동 이안원주태장</t>
        </is>
      </c>
      <c r="B38" s="76" t="inlineStr">
        <is>
          <t>19.08.</t>
        </is>
      </c>
      <c r="C38" s="130" t="n">
        <v>920</v>
      </c>
      <c r="D38" s="131" t="n">
        <v>116.9</v>
      </c>
      <c r="E38" s="132" t="n">
        <v>35</v>
      </c>
      <c r="F38" s="131" t="n">
        <v>84.90000000000001</v>
      </c>
      <c r="G38" s="17" t="n">
        <v>26</v>
      </c>
      <c r="H38" s="133" t="n">
        <v>62</v>
      </c>
      <c r="I38" s="134" t="n">
        <v>32000</v>
      </c>
      <c r="J38" s="134" t="inlineStr">
        <is>
          <t>중</t>
        </is>
      </c>
      <c r="K38" s="134" t="n">
        <v>27000</v>
      </c>
      <c r="L38" s="134" t="inlineStr">
        <is>
          <t>20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115C</t>
        </is>
      </c>
      <c r="U38" s="9" t="n"/>
    </row>
    <row r="39" ht="12" customFormat="1" customHeight="1" s="37">
      <c r="A39" s="75" t="inlineStr">
        <is>
          <t>무실동 사랑으로부영</t>
        </is>
      </c>
      <c r="B39" s="76" t="inlineStr">
        <is>
          <t>12.07.</t>
        </is>
      </c>
      <c r="C39" s="130" t="n">
        <v>639</v>
      </c>
      <c r="D39" s="131" t="n">
        <v>88.59999999999999</v>
      </c>
      <c r="E39" s="132" t="n">
        <v>27</v>
      </c>
      <c r="F39" s="131" t="n">
        <v>59.9</v>
      </c>
      <c r="G39" s="17" t="n">
        <v>18</v>
      </c>
      <c r="H39" s="133" t="n">
        <v>337</v>
      </c>
      <c r="I39" s="134" t="n">
        <v>32000</v>
      </c>
      <c r="J39" s="134" t="inlineStr">
        <is>
          <t>중</t>
        </is>
      </c>
      <c r="K39" s="134" t="n">
        <v>25000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107C</t>
        </is>
      </c>
      <c r="U39" s="9" t="n"/>
    </row>
    <row r="40" ht="12" customFormat="1" customHeight="1" s="37">
      <c r="A40" s="75" t="inlineStr">
        <is>
          <t>단계동 원주봉화산벨라시티3차</t>
        </is>
      </c>
      <c r="B40" s="76" t="inlineStr">
        <is>
          <t>20.11.</t>
        </is>
      </c>
      <c r="C40" s="130" t="n">
        <v>499</v>
      </c>
      <c r="D40" s="131" t="n">
        <v>83.09999999999999</v>
      </c>
      <c r="E40" s="132" t="n">
        <v>25</v>
      </c>
      <c r="F40" s="131" t="n">
        <v>59.9</v>
      </c>
      <c r="G40" s="17" t="n">
        <v>18</v>
      </c>
      <c r="H40" s="133" t="n">
        <v>126</v>
      </c>
      <c r="I40" s="134" t="n">
        <v>32000</v>
      </c>
      <c r="J40" s="134" t="inlineStr">
        <is>
          <t>16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163B</t>
        </is>
      </c>
      <c r="U40" s="9" t="n"/>
    </row>
    <row r="41" ht="12" customFormat="1" customHeight="1" s="37">
      <c r="A41" s="75" t="inlineStr">
        <is>
          <t>단계동 원주봉화산벨라시티2차</t>
        </is>
      </c>
      <c r="B41" s="76" t="inlineStr">
        <is>
          <t>18.12.</t>
        </is>
      </c>
      <c r="C41" s="130" t="n">
        <v>839</v>
      </c>
      <c r="D41" s="131" t="n">
        <v>83.8</v>
      </c>
      <c r="E41" s="132" t="n">
        <v>25</v>
      </c>
      <c r="F41" s="131" t="n">
        <v>60</v>
      </c>
      <c r="G41" s="17" t="n">
        <v>18</v>
      </c>
      <c r="H41" s="133" t="n">
        <v>74</v>
      </c>
      <c r="I41" s="134" t="n">
        <v>32000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78</v>
      </c>
      <c r="U41" s="9" t="n"/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31500</v>
      </c>
      <c r="J42" s="134" t="inlineStr">
        <is>
          <t>6</t>
        </is>
      </c>
      <c r="K42" s="134" t="n">
        <v>25000</v>
      </c>
      <c r="L42" s="134" t="inlineStr">
        <is>
          <t>14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</row>
    <row r="43" ht="12" customFormat="1" customHeight="1" s="37">
      <c r="A43" s="75" t="inlineStr">
        <is>
          <t>지정면 원주롯데캐슬더퍼스트2차</t>
        </is>
      </c>
      <c r="B43" s="76" t="inlineStr">
        <is>
          <t>18.08.</t>
        </is>
      </c>
      <c r="C43" s="130" t="n">
        <v>1116</v>
      </c>
      <c r="D43" s="131" t="n">
        <v>84.59999999999999</v>
      </c>
      <c r="E43" s="132" t="n">
        <v>26</v>
      </c>
      <c r="F43" s="131" t="n">
        <v>60</v>
      </c>
      <c r="G43" s="17" t="n">
        <v>18</v>
      </c>
      <c r="H43" s="133" t="n">
        <v>571</v>
      </c>
      <c r="I43" s="134" t="n">
        <v>30000</v>
      </c>
      <c r="J43" s="134" t="inlineStr">
        <is>
          <t>15</t>
        </is>
      </c>
      <c r="K43" s="134" t="n">
        <v>21000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계</t>
        </is>
      </c>
      <c r="T43" s="5" t="inlineStr">
        <is>
          <t>40B</t>
        </is>
      </c>
      <c r="U43" s="9" t="n"/>
    </row>
    <row r="44" ht="12" customFormat="1" customHeight="1" s="37">
      <c r="A44" s="75" t="inlineStr">
        <is>
          <t>우산동 한라비발디2차</t>
        </is>
      </c>
      <c r="B44" s="76" t="inlineStr">
        <is>
          <t>14.09.</t>
        </is>
      </c>
      <c r="C44" s="130" t="n">
        <v>717</v>
      </c>
      <c r="D44" s="131" t="n">
        <v>110.4</v>
      </c>
      <c r="E44" s="132" t="n">
        <v>33</v>
      </c>
      <c r="F44" s="131" t="n">
        <v>84.5</v>
      </c>
      <c r="G44" s="17" t="n">
        <v>26</v>
      </c>
      <c r="H44" s="133" t="n">
        <v>236</v>
      </c>
      <c r="I44" s="134" t="n">
        <v>30000</v>
      </c>
      <c r="J44" s="134" t="inlineStr">
        <is>
          <t>10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126</v>
      </c>
      <c r="U44" s="9" t="n"/>
    </row>
    <row r="45" ht="12" customFormat="1" customHeight="1" s="37">
      <c r="A45" s="75" t="inlineStr">
        <is>
          <t>태장동 e편한세상원주태장</t>
        </is>
      </c>
      <c r="B45" s="76" t="inlineStr">
        <is>
          <t>18.12.</t>
        </is>
      </c>
      <c r="C45" s="130" t="n">
        <v>703</v>
      </c>
      <c r="D45" s="131" t="n">
        <v>103.5</v>
      </c>
      <c r="E45" s="132" t="n">
        <v>31</v>
      </c>
      <c r="F45" s="131" t="n">
        <v>75</v>
      </c>
      <c r="G45" s="17" t="n">
        <v>23</v>
      </c>
      <c r="H45" s="133" t="n">
        <v>308</v>
      </c>
      <c r="I45" s="134" t="n">
        <v>29000</v>
      </c>
      <c r="J45" s="134" t="inlineStr">
        <is>
          <t>5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106B</t>
        </is>
      </c>
      <c r="U45" s="9" t="n"/>
    </row>
    <row r="46" ht="12" customFormat="1" customHeight="1" s="37">
      <c r="A46" s="75" t="inlineStr">
        <is>
          <t>지정면 원주기업도시유보라아이비파크2단지</t>
        </is>
      </c>
      <c r="B46" s="76" t="inlineStr">
        <is>
          <t>20.01.</t>
        </is>
      </c>
      <c r="C46" s="130" t="n">
        <v>794</v>
      </c>
      <c r="D46" s="131" t="n">
        <v>80.5</v>
      </c>
      <c r="E46" s="132" t="n">
        <v>24</v>
      </c>
      <c r="F46" s="131" t="n">
        <v>60</v>
      </c>
      <c r="G46" s="17" t="n">
        <v>18</v>
      </c>
      <c r="H46" s="133" t="n">
        <v>34</v>
      </c>
      <c r="I46" s="134" t="n">
        <v>29000</v>
      </c>
      <c r="J46" s="134" t="inlineStr">
        <is>
          <t>16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135</v>
      </c>
      <c r="U46" s="9" t="n"/>
    </row>
    <row r="47" ht="12" customFormat="1" customHeight="1" s="37">
      <c r="A47" s="75" t="inlineStr">
        <is>
          <t>지정면 원주기업도시호반베르디움8단지</t>
        </is>
      </c>
      <c r="B47" s="76" t="inlineStr">
        <is>
          <t>18.08.</t>
        </is>
      </c>
      <c r="C47" s="130" t="n">
        <v>882</v>
      </c>
      <c r="D47" s="131" t="n">
        <v>85.7</v>
      </c>
      <c r="E47" s="132" t="n">
        <v>26</v>
      </c>
      <c r="F47" s="131" t="n">
        <v>59.9</v>
      </c>
      <c r="G47" s="17" t="n">
        <v>18</v>
      </c>
      <c r="H47" s="133" t="n">
        <v>337</v>
      </c>
      <c r="I47" s="134" t="n">
        <v>29000</v>
      </c>
      <c r="J47" s="134" t="inlineStr">
        <is>
          <t>10</t>
        </is>
      </c>
      <c r="K47" s="134" t="n">
        <v>20000</v>
      </c>
      <c r="L47" s="134" t="inlineStr">
        <is>
          <t>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1</v>
      </c>
      <c r="R47" s="121" t="n">
        <v>1</v>
      </c>
      <c r="S47" s="121" t="inlineStr">
        <is>
          <t>계</t>
        </is>
      </c>
      <c r="T47" s="5" t="inlineStr">
        <is>
          <t>34B</t>
        </is>
      </c>
      <c r="U47" s="9" t="n"/>
    </row>
    <row r="48" ht="12" customFormat="1" customHeight="1" s="37">
      <c r="A48" s="75" t="inlineStr">
        <is>
          <t>지정면 원주롯데캐슬더퍼스트</t>
        </is>
      </c>
      <c r="B48" s="76" t="inlineStr">
        <is>
          <t>18.06.</t>
        </is>
      </c>
      <c r="C48" s="130" t="n">
        <v>1243</v>
      </c>
      <c r="D48" s="131" t="n">
        <v>85.09999999999999</v>
      </c>
      <c r="E48" s="132" t="n">
        <v>26</v>
      </c>
      <c r="F48" s="131" t="n">
        <v>60</v>
      </c>
      <c r="G48" s="17" t="n">
        <v>18</v>
      </c>
      <c r="H48" s="133" t="n">
        <v>532</v>
      </c>
      <c r="I48" s="134" t="n">
        <v>29000</v>
      </c>
      <c r="J48" s="134" t="inlineStr">
        <is>
          <t>고</t>
        </is>
      </c>
      <c r="K48" s="134" t="n">
        <v>20000</v>
      </c>
      <c r="L48" s="134" t="inlineStr">
        <is>
          <t>17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156</v>
      </c>
      <c r="U48" s="9" t="n"/>
    </row>
    <row r="49" ht="12" customFormat="1" customHeight="1" s="37">
      <c r="A49" s="75" t="inlineStr">
        <is>
          <t>단계동 원주봉화산푸르지오</t>
        </is>
      </c>
      <c r="B49" s="76" t="inlineStr">
        <is>
          <t>17.11.</t>
        </is>
      </c>
      <c r="C49" s="130" t="n">
        <v>996</v>
      </c>
      <c r="D49" s="131" t="n">
        <v>85</v>
      </c>
      <c r="E49" s="132" t="n">
        <v>26</v>
      </c>
      <c r="F49" s="131" t="n">
        <v>60.8</v>
      </c>
      <c r="G49" s="17" t="n">
        <v>18</v>
      </c>
      <c r="H49" s="133" t="n">
        <v>337</v>
      </c>
      <c r="I49" s="134" t="n">
        <v>29000</v>
      </c>
      <c r="J49" s="134" t="inlineStr">
        <is>
          <t>13</t>
        </is>
      </c>
      <c r="K49" s="134" t="n">
        <v>22000</v>
      </c>
      <c r="L49" s="134" t="inlineStr">
        <is>
          <t>9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계</t>
        </is>
      </c>
      <c r="T49" s="5" t="inlineStr">
        <is>
          <t>78A</t>
        </is>
      </c>
      <c r="U49" s="9" t="n"/>
    </row>
    <row r="50" ht="24" customFormat="1" customHeight="1" s="37">
      <c r="A50" s="75" t="inlineStr">
        <is>
          <t>반곡동 e편한세상반곡</t>
        </is>
      </c>
      <c r="B50" s="76" t="inlineStr">
        <is>
          <t>18.11.</t>
        </is>
      </c>
      <c r="C50" s="130" t="n">
        <v>508</v>
      </c>
      <c r="D50" s="131" t="n">
        <v>84.5</v>
      </c>
      <c r="E50" s="132" t="n">
        <v>26</v>
      </c>
      <c r="F50" s="131" t="n">
        <v>59.8</v>
      </c>
      <c r="G50" s="17" t="n">
        <v>18</v>
      </c>
      <c r="H50" s="133" t="n">
        <v>164</v>
      </c>
      <c r="I50" s="134" t="n">
        <v>28900</v>
      </c>
      <c r="J50" s="134" t="inlineStr">
        <is>
          <t>8</t>
        </is>
      </c>
      <c r="K50" s="134" t="n">
        <v>23000</v>
      </c>
      <c r="L50" s="134" t="inlineStr">
        <is>
          <t>10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107A</t>
        </is>
      </c>
      <c r="U50" s="9" t="n"/>
    </row>
    <row r="51" ht="24" customFormat="1" customHeight="1" s="37">
      <c r="A51" s="75" t="inlineStr">
        <is>
          <t>지정면 이지더원더그레이스</t>
        </is>
      </c>
      <c r="B51" s="76" t="inlineStr">
        <is>
          <t>20.06.</t>
        </is>
      </c>
      <c r="C51" s="130" t="n">
        <v>776</v>
      </c>
      <c r="D51" s="131" t="n">
        <v>82</v>
      </c>
      <c r="E51" s="132" t="n">
        <v>25</v>
      </c>
      <c r="F51" s="131" t="n">
        <v>60</v>
      </c>
      <c r="G51" s="17" t="n">
        <v>18</v>
      </c>
      <c r="H51" s="133" t="n">
        <v>172</v>
      </c>
      <c r="I51" s="134" t="n">
        <v>28500</v>
      </c>
      <c r="J51" s="134" t="inlineStr">
        <is>
          <t>중</t>
        </is>
      </c>
      <c r="K51" s="134" t="n">
        <v>22000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102</v>
      </c>
      <c r="U51" s="9" t="n"/>
    </row>
    <row r="52" ht="12" customFormat="1" customHeight="1" s="37">
      <c r="A52" s="75" t="inlineStr">
        <is>
          <t>지정면 원주기업도시호반베르디움(3-2블록)</t>
        </is>
      </c>
      <c r="B52" s="76" t="inlineStr">
        <is>
          <t>19.05.</t>
        </is>
      </c>
      <c r="C52" s="130" t="n">
        <v>824</v>
      </c>
      <c r="D52" s="131" t="n">
        <v>83.09999999999999</v>
      </c>
      <c r="E52" s="132" t="n">
        <v>25</v>
      </c>
      <c r="F52" s="131" t="n">
        <v>60</v>
      </c>
      <c r="G52" s="17" t="n">
        <v>18</v>
      </c>
      <c r="H52" s="133" t="n">
        <v>244</v>
      </c>
      <c r="I52" s="134" t="n">
        <v>28000</v>
      </c>
      <c r="J52" s="134" t="inlineStr">
        <is>
          <t>중</t>
        </is>
      </c>
      <c r="K52" s="134" t="n">
        <v>20000</v>
      </c>
      <c r="L52" s="134" t="inlineStr">
        <is>
          <t>8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87A</t>
        </is>
      </c>
      <c r="U52" s="9" t="n"/>
    </row>
    <row r="53" ht="12" customFormat="1" customHeight="1" s="37">
      <c r="A53" s="75" t="inlineStr">
        <is>
          <t>단계동 봉화산벨라시티</t>
        </is>
      </c>
      <c r="B53" s="76" t="inlineStr">
        <is>
          <t>16.10.</t>
        </is>
      </c>
      <c r="C53" s="130" t="n">
        <v>566</v>
      </c>
      <c r="D53" s="131" t="n">
        <v>87.90000000000001</v>
      </c>
      <c r="E53" s="132" t="n">
        <v>27</v>
      </c>
      <c r="F53" s="131" t="n">
        <v>59.9</v>
      </c>
      <c r="G53" s="17" t="n">
        <v>18</v>
      </c>
      <c r="H53" s="133" t="n">
        <v>164</v>
      </c>
      <c r="I53" s="134" t="n">
        <v>28000</v>
      </c>
      <c r="J53" s="134" t="inlineStr">
        <is>
          <t>중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복</t>
        </is>
      </c>
      <c r="T53" s="5" t="inlineStr">
        <is>
          <t>115A</t>
        </is>
      </c>
      <c r="U53" s="9" t="n"/>
    </row>
    <row r="54" ht="12" customFormat="1" customHeight="1" s="37">
      <c r="A54" s="75" t="inlineStr">
        <is>
          <t>지정면 원주기업도시유보라아이비파크1단지</t>
        </is>
      </c>
      <c r="B54" s="76" t="inlineStr">
        <is>
          <t>20.01.</t>
        </is>
      </c>
      <c r="C54" s="130" t="n">
        <v>548</v>
      </c>
      <c r="D54" s="131" t="n">
        <v>81.3</v>
      </c>
      <c r="E54" s="132" t="n">
        <v>25</v>
      </c>
      <c r="F54" s="131" t="n">
        <v>60</v>
      </c>
      <c r="G54" s="17" t="n">
        <v>18</v>
      </c>
      <c r="H54" s="133" t="n">
        <v>178</v>
      </c>
      <c r="I54" s="134" t="n">
        <v>27000</v>
      </c>
      <c r="J54" s="134" t="inlineStr">
        <is>
          <t>중</t>
        </is>
      </c>
      <c r="K54" s="134" t="n">
        <v>22000</v>
      </c>
      <c r="L54" s="134" t="inlineStr">
        <is>
          <t>고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107D</t>
        </is>
      </c>
      <c r="U54" s="9" t="n"/>
    </row>
    <row r="55" ht="12" customFormat="1" customHeight="1" s="37">
      <c r="A55" s="75" t="inlineStr">
        <is>
          <t>지정면 원주기업도시라온프라이빗</t>
        </is>
      </c>
      <c r="B55" s="76" t="inlineStr">
        <is>
          <t>18.12.</t>
        </is>
      </c>
      <c r="C55" s="130" t="n">
        <v>713</v>
      </c>
      <c r="D55" s="131" t="n">
        <v>81.40000000000001</v>
      </c>
      <c r="E55" s="132" t="n">
        <v>25</v>
      </c>
      <c r="F55" s="131" t="n">
        <v>59.8</v>
      </c>
      <c r="G55" s="17" t="n">
        <v>18</v>
      </c>
      <c r="H55" s="133" t="n">
        <v>280</v>
      </c>
      <c r="I55" s="134" t="n">
        <v>27000</v>
      </c>
      <c r="J55" s="134" t="inlineStr">
        <is>
          <t>5</t>
        </is>
      </c>
      <c r="K55" s="134" t="n">
        <v>20000</v>
      </c>
      <c r="L55" s="134" t="inlineStr">
        <is>
          <t>22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105</v>
      </c>
      <c r="U55" s="9" t="n"/>
    </row>
    <row r="56" ht="12" customFormat="1" customHeight="1" s="37">
      <c r="A56" s="75" t="inlineStr">
        <is>
          <t>지정면 원주기업도시호반베르디움(3-1블록)</t>
        </is>
      </c>
      <c r="B56" s="76" t="inlineStr">
        <is>
          <t>19.05.</t>
        </is>
      </c>
      <c r="C56" s="130" t="n">
        <v>892</v>
      </c>
      <c r="D56" s="131" t="n">
        <v>83.09999999999999</v>
      </c>
      <c r="E56" s="132" t="n">
        <v>25</v>
      </c>
      <c r="F56" s="131" t="n">
        <v>60</v>
      </c>
      <c r="G56" s="17" t="n">
        <v>18</v>
      </c>
      <c r="H56" s="133" t="n">
        <v>270</v>
      </c>
      <c r="I56" s="134" t="n">
        <v>26500</v>
      </c>
      <c r="J56" s="134" t="inlineStr">
        <is>
          <t>7</t>
        </is>
      </c>
      <c r="K56" s="134" t="n">
        <v>20000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126</v>
      </c>
      <c r="U56" s="9" t="n"/>
    </row>
    <row r="57" ht="12" customFormat="1" customHeight="1" s="37">
      <c r="A57" s="75" t="inlineStr">
        <is>
          <t>지정면 이지더원1차</t>
        </is>
      </c>
      <c r="B57" s="76" t="inlineStr">
        <is>
          <t>19.01.</t>
        </is>
      </c>
      <c r="C57" s="130" t="n">
        <v>1430</v>
      </c>
      <c r="D57" s="131" t="n">
        <v>79.59999999999999</v>
      </c>
      <c r="E57" s="132" t="n">
        <v>24</v>
      </c>
      <c r="F57" s="131" t="n">
        <v>59.9</v>
      </c>
      <c r="G57" s="17" t="n">
        <v>18</v>
      </c>
      <c r="H57" s="133" t="n">
        <v>470</v>
      </c>
      <c r="I57" s="134" t="n">
        <v>26000</v>
      </c>
      <c r="J57" s="134" t="inlineStr">
        <is>
          <t>고</t>
        </is>
      </c>
      <c r="K57" s="134" t="n">
        <v>19000</v>
      </c>
      <c r="L57" s="134" t="inlineStr">
        <is>
          <t>고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61</v>
      </c>
      <c r="U57" s="9" t="n"/>
    </row>
    <row r="58" ht="12" customFormat="1" customHeight="1" s="37">
      <c r="A58" s="75" t="inlineStr">
        <is>
          <t>태장동 이안원주태장</t>
        </is>
      </c>
      <c r="B58" s="76" t="inlineStr">
        <is>
          <t>19.08.</t>
        </is>
      </c>
      <c r="C58" s="130" t="n">
        <v>920</v>
      </c>
      <c r="D58" s="131" t="n">
        <v>82.40000000000001</v>
      </c>
      <c r="E58" s="132" t="n">
        <v>25</v>
      </c>
      <c r="F58" s="131" t="n">
        <v>60</v>
      </c>
      <c r="G58" s="17" t="n">
        <v>18</v>
      </c>
      <c r="H58" s="133" t="n">
        <v>372</v>
      </c>
      <c r="I58" s="134" t="n">
        <v>21000</v>
      </c>
      <c r="J58" s="134" t="inlineStr">
        <is>
          <t>고</t>
        </is>
      </c>
      <c r="K58" s="134" t="n">
        <v>20000</v>
      </c>
      <c r="L58" s="134" t="inlineStr">
        <is>
          <t>17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5</v>
      </c>
      <c r="R58" s="121" t="n">
        <v>3</v>
      </c>
      <c r="S58" s="121" t="inlineStr">
        <is>
          <t>계</t>
        </is>
      </c>
      <c r="T58" s="5" t="inlineStr">
        <is>
          <t>204A</t>
        </is>
      </c>
      <c r="U58" s="9" t="n"/>
    </row>
    <row r="59" ht="12" customFormat="1" customHeight="1" s="37">
      <c r="A59" s="75" t="inlineStr">
        <is>
          <t>문막읍 서원주코아루아너스</t>
        </is>
      </c>
      <c r="B59" s="76" t="inlineStr">
        <is>
          <t>18.04.</t>
        </is>
      </c>
      <c r="C59" s="130" t="n">
        <v>842</v>
      </c>
      <c r="D59" s="131" t="n">
        <v>117.4</v>
      </c>
      <c r="E59" s="132" t="n">
        <v>35</v>
      </c>
      <c r="F59" s="131" t="n">
        <v>84.59999999999999</v>
      </c>
      <c r="G59" s="17" t="n">
        <v>26</v>
      </c>
      <c r="H59" s="133" t="n">
        <v>376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103</v>
      </c>
      <c r="U59" s="9" t="n"/>
    </row>
    <row r="60" ht="12" customFormat="1" customHeight="1" s="37">
      <c r="A60" s="75" t="inlineStr">
        <is>
          <t>무실동 더샵원주센트럴파크1단지</t>
        </is>
      </c>
      <c r="B60" s="76" t="inlineStr">
        <is>
          <t>21.11.</t>
        </is>
      </c>
      <c r="C60" s="130" t="n">
        <v>936</v>
      </c>
      <c r="D60" s="131" t="n">
        <v>80</v>
      </c>
      <c r="E60" s="132" t="n">
        <v>24</v>
      </c>
      <c r="F60" s="131" t="n">
        <v>60</v>
      </c>
      <c r="G60" s="17" t="n">
        <v>18</v>
      </c>
      <c r="H60" s="133" t="n">
        <v>312</v>
      </c>
      <c r="I60" s="134" t="n"/>
      <c r="J60" s="134" t="n"/>
      <c r="K60" s="134" t="n">
        <v>26000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85B</t>
        </is>
      </c>
      <c r="U60" s="9" t="n"/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115.4</v>
      </c>
      <c r="E61" s="132" t="n">
        <v>35</v>
      </c>
      <c r="F61" s="131" t="n">
        <v>85</v>
      </c>
      <c r="G61" s="17" t="n">
        <v>26</v>
      </c>
      <c r="H61" s="133" t="n">
        <v>121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164C</t>
        </is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6422" operator="greaterThan" dxfId="17">
      <formula>0.9</formula>
    </cfRule>
    <cfRule type="cellIs" priority="36423" operator="greaterThan" dxfId="16">
      <formula>0.85</formula>
    </cfRule>
  </conditionalFormatting>
  <conditionalFormatting sqref="N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6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61">
    <cfRule type="expression" priority="72934" dxfId="3">
      <formula>AND(IF(OR($Q4=1,$Q4=2),1,0),IF(#REF!&lt;=20,1,0))</formula>
    </cfRule>
    <cfRule type="expression" priority="72935" dxfId="2">
      <formula>AND(IF($Q4=2,1,0),IF(#REF!&lt;30,1,0))</formula>
    </cfRule>
    <cfRule type="expression" priority="72936" dxfId="1">
      <formula>AND(IF($Q4=3,1,0),IF(#REF!&lt;30,1,0))</formula>
    </cfRule>
    <cfRule type="expression" priority="7293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무실동</t>
        </is>
      </c>
      <c r="E4" s="120" t="inlineStr">
        <is>
          <t>지정면</t>
        </is>
      </c>
      <c r="F4" s="120" t="inlineStr">
        <is>
          <t>반곡동</t>
        </is>
      </c>
      <c r="G4" s="120" t="inlineStr">
        <is>
          <t>단계동</t>
        </is>
      </c>
      <c r="H4" s="120" t="inlineStr">
        <is>
          <t>단구동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더샵원주센트럴파크1단지(34평/5.6)_x000D_
무실우미린(34평/5.0)</t>
        </is>
      </c>
      <c r="E11" s="56" t="inlineStr">
        <is>
          <t>원주롯데캐슬골드파크1차(33평/5.3)_x000D_
원주롯데캐슬골드파크2차(34평/5.0)</t>
        </is>
      </c>
      <c r="F11" s="56" t="inlineStr">
        <is>
          <t>힐데스하임5단지(35평/5.0)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원주무실세영리첼1차(33평/4.8)_x000D_
원주무실세영리첼2차(33평/4.7)_x000D_
무실우미린(30평/4.2)</t>
        </is>
      </c>
      <c r="E12" s="56" t="inlineStr">
        <is>
          <t>이지더원더그레이스(35평/4.3)_x000D_
원주기업도시호반베르디움8단지(34평/4.1)_x000D_
원주기업도시유보라아이비파크2단지(34평/4.0)_x000D_
원주기업도시라온프라이빗(34평/4.0)</t>
        </is>
      </c>
      <c r="F12" s="56" t="inlineStr">
        <is>
          <t>중흥에스-클래스프라디움(34평/4.7)_x000D_
반곡모아엘가(33평/4.0)</t>
        </is>
      </c>
      <c r="G12" s="56" t="inlineStr">
        <is>
          <t>원주봉화산푸르지오(33평/4.2)_x000D_
원주봉화산벨라시티2차(35평/4.0)</t>
        </is>
      </c>
      <c r="H12" s="56" t="inlineStr">
        <is>
          <t>원주단구내안애카운티에듀파크2단지(33평/4.0)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사랑으로부영(27평/3.2)</t>
        </is>
      </c>
      <c r="E13" s="61" t="inlineStr">
        <is>
          <t>원주기업도시호반베르디움(3-1블록)(34평/4.0)_x000D_
원주기업도시호반베르디움(3-2블록)(34평/4.0)_x000D_
원주기업도시유보라아이비파크1단지(33평/3.8)_x000D_
원주롯데캐슬더퍼스트2차(34평/3.7)_x000D_
이지더원1차(34평/3.6)_x000D_
원주롯데캐슬골드파크2차(25평/3.5)_x000D_
원주롯데캐슬골드파크1차(25평/3.3)_x000D_
원주롯데캐슬더퍼스트2차(26평/3.0)</t>
        </is>
      </c>
      <c r="F13" s="61" t="inlineStr">
        <is>
          <t>e편한세상반곡(34평/4.0)_x000D_
LH센트럴파크(34평/3.8)_x000D_
푸른숨LH3단지(33평/3.7)_x000D_
푸른숨휴브레스(33평/3.7)_x000D_
반곡퍼스트힐(33평/3.2)</t>
        </is>
      </c>
      <c r="G13" s="61" t="inlineStr">
        <is>
          <t>봉화산벨라시티(34평/3.7)_x000D_
원주봉화산푸르지오(30평/3.6)_x000D_
원주봉화산벨라시티3차(25평/3.2)_x000D_
원주봉화산벨라시티2차(25평/3.2)</t>
        </is>
      </c>
      <c r="H13" s="61" t="inlineStr">
        <is>
          <t>원주단구내안애카운티에듀파크1단지(32평/3.7)_x000D_
단구한신더휴(35평/3.6)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원주기업도시유보라아이비파크2단지(24평/2.9)_x000D_
원주기업도시호반베르디움8단지(26평/2.9)_x000D_
원주롯데캐슬더퍼스트(26평/2.9)_x000D_
이지더원더그레이스(25평/2.9)_x000D_
원주기업도시호반베르디움(3-2블록)(25평/2.8)_x000D_
원주기업도시유보라아이비파크1단지(25평/2.7)_x000D_
원주기업도시라온프라이빗(25평/2.7)_x000D_
원주기업도시호반베르디움(3-1블록)(25평/2.7)_x000D_
이지더원1차(24평/2.6)</t>
        </is>
      </c>
      <c r="F14" s="61" t="inlineStr">
        <is>
          <t>e편한세상반곡(26평/2.9)</t>
        </is>
      </c>
      <c r="G14" s="61" t="inlineStr">
        <is>
          <t>원주봉화산푸르지오(26평/2.9)_x000D_
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더샵원주센트럴파크1단지('21/5.6)_x000D_
무실우미린('14/5.0)</t>
        </is>
      </c>
      <c r="E24" s="56" t="inlineStr">
        <is>
          <t>원주롯데캐슬골드파크1차('19/5.3)_x000D_
원주롯데캐슬골드파크2차('19/5.0)</t>
        </is>
      </c>
      <c r="F24" s="56" t="inlineStr">
        <is>
          <t>힐데스하임5단지('15/5.0)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원주무실세영리첼1차('14/4.8)_x000D_
원주무실세영리첼2차('15/4.7)_x000D_
무실우미린('14/4.2)</t>
        </is>
      </c>
      <c r="E25" s="56" t="inlineStr">
        <is>
          <t>이지더원더그레이스('20/4.3)_x000D_
원주기업도시호반베르디움8단지('18/4.1)_x000D_
원주기업도시유보라아이비파크2단지('20/4.0)_x000D_
원주기업도시라온프라이빗('18/4.0)</t>
        </is>
      </c>
      <c r="F25" s="56" t="inlineStr">
        <is>
          <t>중흥에스-클래스프라디움('16/4.7)_x000D_
반곡모아엘가('17/4.0)</t>
        </is>
      </c>
      <c r="G25" s="56" t="inlineStr">
        <is>
          <t>원주봉화산푸르지오('17/4.2)_x000D_
원주봉화산벨라시티2차('18/4.0)</t>
        </is>
      </c>
      <c r="H25" s="56" t="inlineStr">
        <is>
          <t>원주단구내안애카운티에듀파크2단지('20/4.0)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원주기업도시호반베르디움(3-1블록)('19/4.0)_x000D_
원주기업도시호반베르디움(3-2블록)('19/4.0)_x000D_
원주기업도시유보라아이비파크1단지('20/3.8)_x000D_
원주롯데캐슬더퍼스트2차('18/3.7)_x000D_
이지더원1차('19/3.6)</t>
        </is>
      </c>
      <c r="F26" s="61" t="inlineStr">
        <is>
          <t>e편한세상반곡('18/4.0)_x000D_
LH센트럴파크('19/3.8)_x000D_
푸른숨LH3단지('15/3.7)_x000D_
푸른숨휴브레스('13/3.7)_x000D_
반곡퍼스트힐('14/3.2)</t>
        </is>
      </c>
      <c r="G26" s="61" t="inlineStr">
        <is>
          <t>봉화산벨라시티('16/3.7)_x000D_
원주봉화산푸르지오('17/3.6)</t>
        </is>
      </c>
      <c r="H26" s="61" t="inlineStr">
        <is>
          <t>원주단구내안애카운티에듀파크1단지('20/3.7)_x000D_
단구한신더휴('17/3.6)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사랑으로부영('12/3.2)</t>
        </is>
      </c>
      <c r="E39" s="61" t="inlineStr">
        <is>
          <t>원주롯데캐슬골드파크2차('19/3.5)_x000D_
원주롯데캐슬골드파크1차('19/3.3)</t>
        </is>
      </c>
      <c r="F39" s="61" t="n"/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이지더원더그레이스('20/2.9)_x000D_
원주기업도시호반베르디움(3-2블록)('19/2.8)_x000D_
원주기업도시유보라아이비파크1단지('20/2.7)_x000D_
원주기업도시라온프라이빗('18/2.7)_x000D_
원주기업도시호반베르디움(3-1블록)('19/2.7)</t>
        </is>
      </c>
      <c r="F40" s="61" t="inlineStr">
        <is>
          <t>e편한세상반곡('18/2.9)</t>
        </is>
      </c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inlineStr">
        <is>
          <t>이지더원1차('19/2.6)</t>
        </is>
      </c>
      <c r="F53" s="61" t="n"/>
      <c r="G53" s="61" t="inlineStr">
        <is>
          <t>원주봉화산푸르지오('17/2.9)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3" t="n">
        <v>359</v>
      </c>
      <c r="D6" s="131" t="n">
        <v>110</v>
      </c>
      <c r="E6" s="132" t="n">
        <v>33</v>
      </c>
      <c r="F6" s="131" t="n">
        <v>80</v>
      </c>
      <c r="G6" s="17" t="n">
        <v>24</v>
      </c>
      <c r="H6" s="133" t="n">
        <v>157</v>
      </c>
      <c r="I6" s="134" t="n">
        <v>33000</v>
      </c>
      <c r="J6" s="134" t="inlineStr">
        <is>
          <t>15</t>
        </is>
      </c>
      <c r="K6" s="134" t="n">
        <v>26000</v>
      </c>
      <c r="L6" s="134" t="inlineStr">
        <is>
          <t>13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77B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3" t="n">
        <v>359</v>
      </c>
      <c r="D7" s="131" t="n">
        <v>82.40000000000001</v>
      </c>
      <c r="E7" s="132" t="n">
        <v>25</v>
      </c>
      <c r="F7" s="131" t="n">
        <v>60</v>
      </c>
      <c r="G7" s="17" t="n">
        <v>18</v>
      </c>
      <c r="H7" s="133" t="n">
        <v>126</v>
      </c>
      <c r="I7" s="134" t="n">
        <v>27000</v>
      </c>
      <c r="J7" s="134" t="inlineStr">
        <is>
          <t>12</t>
        </is>
      </c>
      <c r="K7" s="134" t="n">
        <v>23000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70C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이안원주태장</t>
        </is>
      </c>
      <c r="B6" s="10" t="inlineStr">
        <is>
          <t>'19.08.</t>
        </is>
      </c>
      <c r="C6" s="133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중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e편한세상원주태장</t>
        </is>
      </c>
      <c r="B8" s="10" t="inlineStr">
        <is>
          <t>'18.12.</t>
        </is>
      </c>
      <c r="C8" s="133" t="n">
        <v>703</v>
      </c>
      <c r="D8" s="131" t="n">
        <v>103.5</v>
      </c>
      <c r="E8" s="132" t="n">
        <v>31</v>
      </c>
      <c r="F8" s="131" t="n">
        <v>75</v>
      </c>
      <c r="G8" s="17" t="n">
        <v>23</v>
      </c>
      <c r="H8" s="133" t="n">
        <v>308</v>
      </c>
      <c r="I8" s="134" t="n">
        <v>30000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3" t="n">
        <v>703</v>
      </c>
      <c r="D9" s="131" t="n">
        <v>83.8</v>
      </c>
      <c r="E9" s="132" t="n">
        <v>25</v>
      </c>
      <c r="F9" s="131" t="n">
        <v>60</v>
      </c>
      <c r="G9" s="17" t="n">
        <v>18</v>
      </c>
      <c r="H9" s="133" t="n">
        <v>227</v>
      </c>
      <c r="I9" s="134" t="n">
        <v>23000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54S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이안원주태장</t>
        </is>
      </c>
      <c r="B11" s="10" t="inlineStr">
        <is>
          <t>'19.08.</t>
        </is>
      </c>
      <c r="C11" s="133" t="n">
        <v>920</v>
      </c>
      <c r="D11" s="131" t="n">
        <v>82.40000000000001</v>
      </c>
      <c r="E11" s="132" t="n">
        <v>25</v>
      </c>
      <c r="F11" s="131" t="n">
        <v>60</v>
      </c>
      <c r="G11" s="17" t="n">
        <v>18</v>
      </c>
      <c r="H11" s="133" t="n">
        <v>372</v>
      </c>
      <c r="I11" s="134" t="n">
        <v>21000</v>
      </c>
      <c r="J11" s="134" t="inlineStr">
        <is>
          <t>고</t>
        </is>
      </c>
      <c r="K11" s="134" t="n">
        <v>20000</v>
      </c>
      <c r="L11" s="134" t="inlineStr">
        <is>
          <t>17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3</v>
      </c>
      <c r="S11" s="121" t="inlineStr">
        <is>
          <t>계</t>
        </is>
      </c>
      <c r="T11" s="5" t="inlineStr">
        <is>
          <t>204A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23">
      <formula>AV10="X"</formula>
    </cfRule>
    <cfRule type="expression" priority="24" dxfId="22">
      <formula>AV10="후보"</formula>
    </cfRule>
  </conditionalFormatting>
  <conditionalFormatting sqref="AC10 N1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3" t="n">
        <v>536</v>
      </c>
      <c r="D6" s="131" t="n">
        <v>111</v>
      </c>
      <c r="E6" s="132" t="n">
        <v>34</v>
      </c>
      <c r="F6" s="131" t="n">
        <v>85</v>
      </c>
      <c r="G6" s="17" t="n">
        <v>26</v>
      </c>
      <c r="H6" s="133" t="n">
        <v>243</v>
      </c>
      <c r="I6" s="134" t="n">
        <v>48000</v>
      </c>
      <c r="J6" s="134" t="inlineStr">
        <is>
          <t>10</t>
        </is>
      </c>
      <c r="K6" s="134" t="n">
        <v>30000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3" t="n">
        <v>624</v>
      </c>
      <c r="D8" s="131" t="n">
        <v>110.3</v>
      </c>
      <c r="E8" s="132" t="n">
        <v>33</v>
      </c>
      <c r="F8" s="131" t="n">
        <v>85</v>
      </c>
      <c r="G8" s="17" t="n">
        <v>26</v>
      </c>
      <c r="H8" s="133" t="n">
        <v>266</v>
      </c>
      <c r="I8" s="134" t="n">
        <v>51000</v>
      </c>
      <c r="J8" s="134" t="inlineStr">
        <is>
          <t>6</t>
        </is>
      </c>
      <c r="K8" s="134" t="n">
        <v>30000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127A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3" t="n">
        <v>776</v>
      </c>
      <c r="D10" s="131" t="n">
        <v>114.7</v>
      </c>
      <c r="E10" s="132" t="n">
        <v>35</v>
      </c>
      <c r="F10" s="131" t="n">
        <v>85</v>
      </c>
      <c r="G10" s="17" t="n">
        <v>26</v>
      </c>
      <c r="H10" s="133" t="n">
        <v>428</v>
      </c>
      <c r="I10" s="134" t="n">
        <v>42000</v>
      </c>
      <c r="J10" s="134" t="inlineStr">
        <is>
          <t>고</t>
        </is>
      </c>
      <c r="K10" s="134" t="n">
        <v>24000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3" t="n">
        <v>1116</v>
      </c>
      <c r="D12" s="131" t="n">
        <v>113.4</v>
      </c>
      <c r="E12" s="132" t="n">
        <v>34</v>
      </c>
      <c r="F12" s="131" t="n">
        <v>85</v>
      </c>
      <c r="G12" s="17" t="n">
        <v>26</v>
      </c>
      <c r="H12" s="133" t="n">
        <v>472</v>
      </c>
      <c r="I12" s="134" t="n">
        <v>44000</v>
      </c>
      <c r="J12" s="134" t="inlineStr">
        <is>
          <t>중</t>
        </is>
      </c>
      <c r="K12" s="134" t="n">
        <v>25000</v>
      </c>
      <c r="L12" s="134" t="inlineStr">
        <is>
          <t>21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계</t>
        </is>
      </c>
      <c r="T12" s="5" t="inlineStr">
        <is>
          <t>45B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 ht="24" customHeight="1" s="124">
      <c r="A14" s="9" t="inlineStr">
        <is>
          <t>원주기업도시유보라아이비파크2단지</t>
        </is>
      </c>
      <c r="B14" s="10" t="inlineStr">
        <is>
          <t>'20.01.</t>
        </is>
      </c>
      <c r="C14" s="133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37000</v>
      </c>
      <c r="J14" s="134" t="inlineStr">
        <is>
          <t>9</t>
        </is>
      </c>
      <c r="K14" s="134" t="n">
        <v>22000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3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41000</v>
      </c>
      <c r="J16" s="134" t="inlineStr">
        <is>
          <t>16</t>
        </is>
      </c>
      <c r="K16" s="134" t="n">
        <v>26000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3" t="n">
        <v>1243</v>
      </c>
      <c r="D18" s="131" t="n">
        <v>113.2</v>
      </c>
      <c r="E18" s="132" t="n">
        <v>34</v>
      </c>
      <c r="F18" s="131" t="n">
        <v>85</v>
      </c>
      <c r="G18" s="17" t="n">
        <v>26</v>
      </c>
      <c r="H18" s="133" t="n">
        <v>24</v>
      </c>
      <c r="I18" s="134" t="n">
        <v>43000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102A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 ht="24" customHeight="1" s="124">
      <c r="A20" s="9" t="inlineStr">
        <is>
          <t>원주기업도시유보라아이비파크1단지</t>
        </is>
      </c>
      <c r="B20" s="10" t="inlineStr">
        <is>
          <t>'20.01.</t>
        </is>
      </c>
      <c r="C20" s="133" t="n">
        <v>548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180</v>
      </c>
      <c r="I20" s="134" t="n">
        <v>37000</v>
      </c>
      <c r="J20" s="134" t="inlineStr">
        <is>
          <t>중</t>
        </is>
      </c>
      <c r="K20" s="134" t="n">
        <v>22000</v>
      </c>
      <c r="L20" s="134" t="inlineStr">
        <is>
          <t>27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107A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 ht="24" customHeight="1" s="124">
      <c r="A22" s="9" t="inlineStr">
        <is>
          <t>원주기업도시호반베르디움(3-1블록)</t>
        </is>
      </c>
      <c r="B22" s="10" t="inlineStr">
        <is>
          <t>'19.05.</t>
        </is>
      </c>
      <c r="C22" s="133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39500</v>
      </c>
      <c r="J22" s="134" t="inlineStr">
        <is>
          <t>고</t>
        </is>
      </c>
      <c r="K22" s="134" t="n">
        <v>27000</v>
      </c>
      <c r="L22" s="134" t="inlineStr">
        <is>
          <t>18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원주기업도시호반베르디움(3-2블록)</t>
        </is>
      </c>
      <c r="B24" s="10" t="inlineStr">
        <is>
          <t>'19.05.</t>
        </is>
      </c>
      <c r="C24" s="133" t="n">
        <v>824</v>
      </c>
      <c r="D24" s="131" t="n">
        <v>110.9</v>
      </c>
      <c r="E24" s="132" t="n">
        <v>34</v>
      </c>
      <c r="F24" s="131" t="n">
        <v>84.90000000000001</v>
      </c>
      <c r="G24" s="17" t="n">
        <v>26</v>
      </c>
      <c r="H24" s="133" t="n">
        <v>494</v>
      </c>
      <c r="I24" s="134" t="n">
        <v>38500</v>
      </c>
      <c r="J24" s="134" t="inlineStr">
        <is>
          <t>중</t>
        </is>
      </c>
      <c r="K24" s="134" t="n">
        <v>24000</v>
      </c>
      <c r="L24" s="134" t="inlineStr">
        <is>
          <t>중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87B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3" t="n">
        <v>713</v>
      </c>
      <c r="D26" s="131" t="n">
        <v>113.4</v>
      </c>
      <c r="E26" s="132" t="n">
        <v>34</v>
      </c>
      <c r="F26" s="131" t="n">
        <v>84.7</v>
      </c>
      <c r="G26" s="17" t="n">
        <v>26</v>
      </c>
      <c r="H26" s="133" t="n">
        <v>178</v>
      </c>
      <c r="I26" s="134" t="n">
        <v>40000</v>
      </c>
      <c r="J26" s="134" t="inlineStr">
        <is>
          <t>5</t>
        </is>
      </c>
      <c r="K26" s="134" t="n">
        <v>27000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137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3" t="n">
        <v>776</v>
      </c>
      <c r="D28" s="131" t="n">
        <v>82</v>
      </c>
      <c r="E28" s="132" t="n">
        <v>25</v>
      </c>
      <c r="F28" s="131" t="n">
        <v>60</v>
      </c>
      <c r="G28" s="17" t="n">
        <v>18</v>
      </c>
      <c r="H28" s="133" t="n">
        <v>172</v>
      </c>
      <c r="I28" s="134" t="n">
        <v>28000</v>
      </c>
      <c r="J28" s="134" t="inlineStr">
        <is>
          <t>19</t>
        </is>
      </c>
      <c r="K28" s="134" t="n">
        <v>20000</v>
      </c>
      <c r="L28" s="134" t="inlineStr">
        <is>
          <t>11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102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3" t="n">
        <v>536</v>
      </c>
      <c r="D30" s="131" t="n">
        <v>81.2</v>
      </c>
      <c r="E30" s="132" t="n">
        <v>25</v>
      </c>
      <c r="F30" s="131" t="n">
        <v>60</v>
      </c>
      <c r="G30" s="17" t="n">
        <v>18</v>
      </c>
      <c r="H30" s="133" t="n">
        <v>128</v>
      </c>
      <c r="I30" s="134" t="n">
        <v>35000</v>
      </c>
      <c r="J30" s="134" t="inlineStr">
        <is>
          <t>중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이지더원1차</t>
        </is>
      </c>
      <c r="B32" s="10" t="inlineStr">
        <is>
          <t>'19.01.</t>
        </is>
      </c>
      <c r="C32" s="133" t="n">
        <v>1430</v>
      </c>
      <c r="D32" s="131" t="n">
        <v>110.8</v>
      </c>
      <c r="E32" s="132" t="n">
        <v>34</v>
      </c>
      <c r="F32" s="131" t="n">
        <v>85</v>
      </c>
      <c r="G32" s="17" t="n">
        <v>26</v>
      </c>
      <c r="H32" s="133" t="n">
        <v>880</v>
      </c>
      <c r="I32" s="134" t="n">
        <v>35000</v>
      </c>
      <c r="J32" s="134" t="inlineStr">
        <is>
          <t>13</t>
        </is>
      </c>
      <c r="K32" s="134" t="n">
        <v>24000</v>
      </c>
      <c r="L32" s="134" t="inlineStr">
        <is>
          <t>14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3" t="n">
        <v>624</v>
      </c>
      <c r="D34" s="131" t="n">
        <v>81.59999999999999</v>
      </c>
      <c r="E34" s="132" t="n">
        <v>25</v>
      </c>
      <c r="F34" s="131" t="n">
        <v>60</v>
      </c>
      <c r="G34" s="17" t="n">
        <v>18</v>
      </c>
      <c r="H34" s="133" t="n">
        <v>157</v>
      </c>
      <c r="I34" s="134" t="n">
        <v>33000</v>
      </c>
      <c r="J34" s="134" t="inlineStr">
        <is>
          <t>7</t>
        </is>
      </c>
      <c r="K34" s="134" t="n">
        <v>22000</v>
      </c>
      <c r="L34" s="134" t="inlineStr">
        <is>
          <t>18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111B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 ht="24" customHeight="1" s="124">
      <c r="A36" s="9" t="inlineStr">
        <is>
          <t>원주기업도시유보라아이비파크2단지</t>
        </is>
      </c>
      <c r="B36" s="10" t="inlineStr">
        <is>
          <t>'20.01.</t>
        </is>
      </c>
      <c r="C36" s="133" t="n">
        <v>794</v>
      </c>
      <c r="D36" s="131" t="n">
        <v>80.5</v>
      </c>
      <c r="E36" s="132" t="n">
        <v>24</v>
      </c>
      <c r="F36" s="131" t="n">
        <v>60</v>
      </c>
      <c r="G36" s="17" t="n">
        <v>18</v>
      </c>
      <c r="H36" s="133" t="n">
        <v>34</v>
      </c>
      <c r="I36" s="134" t="n">
        <v>29000</v>
      </c>
      <c r="J36" s="134" t="inlineStr">
        <is>
          <t>16</t>
        </is>
      </c>
      <c r="K36" s="134" t="n">
        <v>20000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135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 ht="24" customHeight="1" s="124">
      <c r="A38" s="9" t="inlineStr">
        <is>
          <t>원주기업도시호반베르디움(3-2블록)</t>
        </is>
      </c>
      <c r="B38" s="10" t="inlineStr">
        <is>
          <t>'19.05.</t>
        </is>
      </c>
      <c r="C38" s="133" t="n">
        <v>824</v>
      </c>
      <c r="D38" s="131" t="n">
        <v>83.09999999999999</v>
      </c>
      <c r="E38" s="132" t="n">
        <v>25</v>
      </c>
      <c r="F38" s="131" t="n">
        <v>60</v>
      </c>
      <c r="G38" s="17" t="n">
        <v>18</v>
      </c>
      <c r="H38" s="133" t="n">
        <v>244</v>
      </c>
      <c r="I38" s="134" t="n">
        <v>28500</v>
      </c>
      <c r="J38" s="134" t="inlineStr">
        <is>
          <t>중</t>
        </is>
      </c>
      <c r="K38" s="134" t="n">
        <v>21000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87A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3" t="n">
        <v>882</v>
      </c>
      <c r="D40" s="131" t="n">
        <v>85.7</v>
      </c>
      <c r="E40" s="132" t="n">
        <v>26</v>
      </c>
      <c r="F40" s="131" t="n">
        <v>59.9</v>
      </c>
      <c r="G40" s="17" t="n">
        <v>18</v>
      </c>
      <c r="H40" s="133" t="n">
        <v>337</v>
      </c>
      <c r="I40" s="134" t="n">
        <v>30000</v>
      </c>
      <c r="J40" s="134" t="inlineStr">
        <is>
          <t>고</t>
        </is>
      </c>
      <c r="K40" s="134" t="n">
        <v>20000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계</t>
        </is>
      </c>
      <c r="T40" s="5" t="inlineStr">
        <is>
          <t>34B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3" t="n">
        <v>1116</v>
      </c>
      <c r="D42" s="131" t="n">
        <v>84.59999999999999</v>
      </c>
      <c r="E42" s="132" t="n">
        <v>26</v>
      </c>
      <c r="F42" s="131" t="n">
        <v>60</v>
      </c>
      <c r="G42" s="17" t="n">
        <v>18</v>
      </c>
      <c r="H42" s="133" t="n">
        <v>571</v>
      </c>
      <c r="I42" s="134" t="n">
        <v>29000</v>
      </c>
      <c r="J42" s="134" t="inlineStr">
        <is>
          <t>중</t>
        </is>
      </c>
      <c r="K42" s="134" t="n">
        <v>20000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1</v>
      </c>
      <c r="R42" s="121" t="n">
        <v>1</v>
      </c>
      <c r="S42" s="121" t="inlineStr">
        <is>
          <t>계</t>
        </is>
      </c>
      <c r="T42" s="5" t="inlineStr">
        <is>
          <t>40B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3" t="n">
        <v>1243</v>
      </c>
      <c r="D44" s="131" t="n">
        <v>85.09999999999999</v>
      </c>
      <c r="E44" s="132" t="n">
        <v>26</v>
      </c>
      <c r="F44" s="131" t="n">
        <v>60</v>
      </c>
      <c r="G44" s="17" t="n">
        <v>18</v>
      </c>
      <c r="H44" s="133" t="n">
        <v>532</v>
      </c>
      <c r="I44" s="134" t="n">
        <v>28000</v>
      </c>
      <c r="J44" s="134" t="inlineStr">
        <is>
          <t>26</t>
        </is>
      </c>
      <c r="K44" s="134" t="n">
        <v>19500</v>
      </c>
      <c r="L44" s="134" t="inlineStr">
        <is>
          <t>26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156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 ht="24" customHeight="1" s="124">
      <c r="A46" s="9" t="inlineStr">
        <is>
          <t>원주기업도시호반베르디움(3-1블록)</t>
        </is>
      </c>
      <c r="B46" s="10" t="inlineStr">
        <is>
          <t>'19.05.</t>
        </is>
      </c>
      <c r="C46" s="133" t="n">
        <v>892</v>
      </c>
      <c r="D46" s="131" t="n">
        <v>83.09999999999999</v>
      </c>
      <c r="E46" s="132" t="n">
        <v>25</v>
      </c>
      <c r="F46" s="131" t="n">
        <v>60</v>
      </c>
      <c r="G46" s="17" t="n">
        <v>18</v>
      </c>
      <c r="H46" s="133" t="n">
        <v>270</v>
      </c>
      <c r="I46" s="134" t="n">
        <v>26500</v>
      </c>
      <c r="J46" s="134" t="inlineStr">
        <is>
          <t>7</t>
        </is>
      </c>
      <c r="K46" s="134" t="n">
        <v>29500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126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 ht="24" customHeight="1" s="124">
      <c r="A48" s="9" t="inlineStr">
        <is>
          <t>원주기업도시유보라아이비파크1단지</t>
        </is>
      </c>
      <c r="B48" s="10" t="inlineStr">
        <is>
          <t>'20.01.</t>
        </is>
      </c>
      <c r="C48" s="133" t="n">
        <v>548</v>
      </c>
      <c r="D48" s="131" t="n">
        <v>81.3</v>
      </c>
      <c r="E48" s="132" t="n">
        <v>25</v>
      </c>
      <c r="F48" s="131" t="n">
        <v>60</v>
      </c>
      <c r="G48" s="17" t="n">
        <v>18</v>
      </c>
      <c r="H48" s="133" t="n">
        <v>178</v>
      </c>
      <c r="I48" s="134" t="n">
        <v>27000</v>
      </c>
      <c r="J48" s="134" t="inlineStr">
        <is>
          <t>중</t>
        </is>
      </c>
      <c r="K48" s="134" t="n">
        <v>20000</v>
      </c>
      <c r="L48" s="134" t="inlineStr">
        <is>
          <t>8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107D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3" t="n">
        <v>713</v>
      </c>
      <c r="D50" s="131" t="n">
        <v>81.40000000000001</v>
      </c>
      <c r="E50" s="132" t="n">
        <v>25</v>
      </c>
      <c r="F50" s="131" t="n">
        <v>59.8</v>
      </c>
      <c r="G50" s="17" t="n">
        <v>18</v>
      </c>
      <c r="H50" s="133" t="n">
        <v>280</v>
      </c>
      <c r="I50" s="134" t="n">
        <v>27000</v>
      </c>
      <c r="J50" s="134" t="inlineStr">
        <is>
          <t>8</t>
        </is>
      </c>
      <c r="K50" s="134" t="n">
        <v>20000</v>
      </c>
      <c r="L50" s="134" t="inlineStr">
        <is>
          <t>22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이지더원1차</t>
        </is>
      </c>
      <c r="B52" s="10" t="inlineStr">
        <is>
          <t>'19.01.</t>
        </is>
      </c>
      <c r="C52" s="133" t="n">
        <v>1430</v>
      </c>
      <c r="D52" s="131" t="n">
        <v>79.59999999999999</v>
      </c>
      <c r="E52" s="132" t="n">
        <v>24</v>
      </c>
      <c r="F52" s="131" t="n">
        <v>59.9</v>
      </c>
      <c r="G52" s="17" t="n">
        <v>18</v>
      </c>
      <c r="H52" s="133" t="n">
        <v>470</v>
      </c>
      <c r="I52" s="134" t="n">
        <v>26000</v>
      </c>
      <c r="J52" s="134" t="inlineStr">
        <is>
          <t>29</t>
        </is>
      </c>
      <c r="K52" s="134" t="n">
        <v>20000</v>
      </c>
      <c r="L52" s="134" t="inlineStr">
        <is>
          <t>23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61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23">
      <formula>AV4="X"</formula>
    </cfRule>
    <cfRule type="expression" priority="573" dxfId="22">
      <formula>AV4="후보"</formula>
    </cfRule>
  </conditionalFormatting>
  <conditionalFormatting sqref="AC1:AC2 AC4:AC6 N4:N5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N1:N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23">
      <formula>AV7="X"</formula>
    </cfRule>
    <cfRule type="expression" priority="552" dxfId="22">
      <formula>AV7="후보"</formula>
    </cfRule>
  </conditionalFormatting>
  <conditionalFormatting sqref="AC7 N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8">
    <cfRule type="expression" priority="546" dxfId="23">
      <formula>AV8="X"</formula>
    </cfRule>
    <cfRule type="expression" priority="547" dxfId="22">
      <formula>AV8="후보"</formula>
    </cfRule>
  </conditionalFormatting>
  <conditionalFormatting sqref="AC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23">
      <formula>AV9="X"</formula>
    </cfRule>
    <cfRule type="expression" priority="528" dxfId="22">
      <formula>AV9="후보"</formula>
    </cfRule>
  </conditionalFormatting>
  <conditionalFormatting sqref="AC9 N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0">
    <cfRule type="expression" priority="522" dxfId="23">
      <formula>AV10="X"</formula>
    </cfRule>
    <cfRule type="expression" priority="523" dxfId="22">
      <formula>AV10="후보"</formula>
    </cfRule>
  </conditionalFormatting>
  <conditionalFormatting sqref="AC1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23">
      <formula>AV11="X"</formula>
    </cfRule>
    <cfRule type="expression" priority="504" dxfId="22">
      <formula>AV11="후보"</formula>
    </cfRule>
  </conditionalFormatting>
  <conditionalFormatting sqref="AC11 N11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AV12">
    <cfRule type="expression" priority="498" dxfId="23">
      <formula>AV12="X"</formula>
    </cfRule>
    <cfRule type="expression" priority="499" dxfId="22">
      <formula>AV12="후보"</formula>
    </cfRule>
  </conditionalFormatting>
  <conditionalFormatting sqref="AC1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12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23">
      <formula>AV13="X"</formula>
    </cfRule>
    <cfRule type="expression" priority="480" dxfId="22">
      <formula>AV13="후보"</formula>
    </cfRule>
  </conditionalFormatting>
  <conditionalFormatting sqref="AC13 N13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AV14">
    <cfRule type="expression" priority="474" dxfId="23">
      <formula>AV14="X"</formula>
    </cfRule>
    <cfRule type="expression" priority="475" dxfId="22">
      <formula>AV14="후보"</formula>
    </cfRule>
  </conditionalFormatting>
  <conditionalFormatting sqref="AC14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N14">
    <cfRule type="cellIs" priority="469" operator="greaterThan" dxfId="17">
      <formula>0.9</formula>
    </cfRule>
    <cfRule type="cellIs" priority="470" operator="greaterThan" dxfId="16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23">
      <formula>AV15="X"</formula>
    </cfRule>
    <cfRule type="expression" priority="456" dxfId="22">
      <formula>AV15="후보"</formula>
    </cfRule>
  </conditionalFormatting>
  <conditionalFormatting sqref="AC15 N15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AV16">
    <cfRule type="expression" priority="450" dxfId="23">
      <formula>AV16="X"</formula>
    </cfRule>
    <cfRule type="expression" priority="451" dxfId="22">
      <formula>AV16="후보"</formula>
    </cfRule>
  </conditionalFormatting>
  <conditionalFormatting sqref="AC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23">
      <formula>AV17="X"</formula>
    </cfRule>
    <cfRule type="expression" priority="432" dxfId="22">
      <formula>AV17="후보"</formula>
    </cfRule>
  </conditionalFormatting>
  <conditionalFormatting sqref="AC17 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AV18">
    <cfRule type="expression" priority="426" dxfId="23">
      <formula>AV18="X"</formula>
    </cfRule>
    <cfRule type="expression" priority="427" dxfId="22">
      <formula>AV18="후보"</formula>
    </cfRule>
  </conditionalFormatting>
  <conditionalFormatting sqref="AC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N18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23">
      <formula>AV19="X"</formula>
    </cfRule>
    <cfRule type="expression" priority="408" dxfId="22">
      <formula>AV19="후보"</formula>
    </cfRule>
  </conditionalFormatting>
  <conditionalFormatting sqref="AC19 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AV20">
    <cfRule type="expression" priority="402" dxfId="23">
      <formula>AV20="X"</formula>
    </cfRule>
    <cfRule type="expression" priority="403" dxfId="22">
      <formula>AV20="후보"</formula>
    </cfRule>
  </conditionalFormatting>
  <conditionalFormatting sqref="AC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N2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23">
      <formula>AV21="X"</formula>
    </cfRule>
    <cfRule type="expression" priority="384" dxfId="22">
      <formula>AV21="후보"</formula>
    </cfRule>
  </conditionalFormatting>
  <conditionalFormatting sqref="AC21 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AV22">
    <cfRule type="expression" priority="378" dxfId="23">
      <formula>AV22="X"</formula>
    </cfRule>
    <cfRule type="expression" priority="379" dxfId="22">
      <formula>AV22="후보"</formula>
    </cfRule>
  </conditionalFormatting>
  <conditionalFormatting sqref="AC2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23">
      <formula>AV23="X"</formula>
    </cfRule>
    <cfRule type="expression" priority="360" dxfId="22">
      <formula>AV23="후보"</formula>
    </cfRule>
  </conditionalFormatting>
  <conditionalFormatting sqref="AC23 N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AV24">
    <cfRule type="expression" priority="354" dxfId="23">
      <formula>AV24="X"</formula>
    </cfRule>
    <cfRule type="expression" priority="355" dxfId="22">
      <formula>AV24="후보"</formula>
    </cfRule>
  </conditionalFormatting>
  <conditionalFormatting sqref="AC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N2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23">
      <formula>AV25="X"</formula>
    </cfRule>
    <cfRule type="expression" priority="336" dxfId="22">
      <formula>AV25="후보"</formula>
    </cfRule>
  </conditionalFormatting>
  <conditionalFormatting sqref="AC25 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AV26">
    <cfRule type="expression" priority="330" dxfId="23">
      <formula>AV26="X"</formula>
    </cfRule>
    <cfRule type="expression" priority="331" dxfId="22">
      <formula>AV26="후보"</formula>
    </cfRule>
  </conditionalFormatting>
  <conditionalFormatting sqref="AC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2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23">
      <formula>AV27="X"</formula>
    </cfRule>
    <cfRule type="expression" priority="312" dxfId="22">
      <formula>AV27="후보"</formula>
    </cfRule>
  </conditionalFormatting>
  <conditionalFormatting sqref="AC27 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AV28">
    <cfRule type="expression" priority="306" dxfId="23">
      <formula>AV28="X"</formula>
    </cfRule>
    <cfRule type="expression" priority="307" dxfId="22">
      <formula>AV28="후보"</formula>
    </cfRule>
  </conditionalFormatting>
  <conditionalFormatting sqref="AC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23">
      <formula>AV29="X"</formula>
    </cfRule>
    <cfRule type="expression" priority="288" dxfId="22">
      <formula>AV29="후보"</formula>
    </cfRule>
  </conditionalFormatting>
  <conditionalFormatting sqref="AC29 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AV30">
    <cfRule type="expression" priority="282" dxfId="23">
      <formula>AV30="X"</formula>
    </cfRule>
    <cfRule type="expression" priority="283" dxfId="22">
      <formula>AV30="후보"</formula>
    </cfRule>
  </conditionalFormatting>
  <conditionalFormatting sqref="AC30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23">
      <formula>AV31="X"</formula>
    </cfRule>
    <cfRule type="expression" priority="264" dxfId="22">
      <formula>AV31="후보"</formula>
    </cfRule>
  </conditionalFormatting>
  <conditionalFormatting sqref="AC31 N31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AV32">
    <cfRule type="expression" priority="258" dxfId="23">
      <formula>AV32="X"</formula>
    </cfRule>
    <cfRule type="expression" priority="259" dxfId="22">
      <formula>AV32="후보"</formula>
    </cfRule>
  </conditionalFormatting>
  <conditionalFormatting sqref="AC32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23">
      <formula>AV33="X"</formula>
    </cfRule>
    <cfRule type="expression" priority="240" dxfId="22">
      <formula>AV33="후보"</formula>
    </cfRule>
  </conditionalFormatting>
  <conditionalFormatting sqref="AC33 N33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AV34">
    <cfRule type="expression" priority="234" dxfId="23">
      <formula>AV34="X"</formula>
    </cfRule>
    <cfRule type="expression" priority="235" dxfId="22">
      <formula>AV34="후보"</formula>
    </cfRule>
  </conditionalFormatting>
  <conditionalFormatting sqref="AC3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23">
      <formula>AV35="X"</formula>
    </cfRule>
    <cfRule type="expression" priority="216" dxfId="22">
      <formula>AV35="후보"</formula>
    </cfRule>
  </conditionalFormatting>
  <conditionalFormatting sqref="AC35 N3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AV36">
    <cfRule type="expression" priority="210" dxfId="23">
      <formula>AV36="X"</formula>
    </cfRule>
    <cfRule type="expression" priority="211" dxfId="22">
      <formula>AV36="후보"</formula>
    </cfRule>
  </conditionalFormatting>
  <conditionalFormatting sqref="AC36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23">
      <formula>AV37="X"</formula>
    </cfRule>
    <cfRule type="expression" priority="192" dxfId="22">
      <formula>AV37="후보"</formula>
    </cfRule>
  </conditionalFormatting>
  <conditionalFormatting sqref="AC37 N3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38">
    <cfRule type="expression" priority="186" dxfId="23">
      <formula>AV38="X"</formula>
    </cfRule>
    <cfRule type="expression" priority="187" dxfId="22">
      <formula>AV38="후보"</formula>
    </cfRule>
  </conditionalFormatting>
  <conditionalFormatting sqref="AC3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3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23">
      <formula>AV39="X"</formula>
    </cfRule>
    <cfRule type="expression" priority="168" dxfId="22">
      <formula>AV39="후보"</formula>
    </cfRule>
  </conditionalFormatting>
  <conditionalFormatting sqref="AC39 N3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40">
    <cfRule type="expression" priority="162" dxfId="23">
      <formula>AV40="X"</formula>
    </cfRule>
    <cfRule type="expression" priority="163" dxfId="22">
      <formula>AV40="후보"</formula>
    </cfRule>
  </conditionalFormatting>
  <conditionalFormatting sqref="AC4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23">
      <formula>AV41="X"</formula>
    </cfRule>
    <cfRule type="expression" priority="144" dxfId="22">
      <formula>AV41="후보"</formula>
    </cfRule>
  </conditionalFormatting>
  <conditionalFormatting sqref="AC41 N4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42">
    <cfRule type="expression" priority="138" dxfId="23">
      <formula>AV42="X"</formula>
    </cfRule>
    <cfRule type="expression" priority="139" dxfId="22">
      <formula>AV42="후보"</formula>
    </cfRule>
  </conditionalFormatting>
  <conditionalFormatting sqref="AC4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4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23">
      <formula>AV43="X"</formula>
    </cfRule>
    <cfRule type="expression" priority="120" dxfId="22">
      <formula>AV43="후보"</formula>
    </cfRule>
  </conditionalFormatting>
  <conditionalFormatting sqref="AC43 N4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44">
    <cfRule type="expression" priority="114" dxfId="23">
      <formula>AV44="X"</formula>
    </cfRule>
    <cfRule type="expression" priority="115" dxfId="22">
      <formula>AV44="후보"</formula>
    </cfRule>
  </conditionalFormatting>
  <conditionalFormatting sqref="AC4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4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23">
      <formula>AV45="X"</formula>
    </cfRule>
    <cfRule type="expression" priority="96" dxfId="22">
      <formula>AV45="후보"</formula>
    </cfRule>
  </conditionalFormatting>
  <conditionalFormatting sqref="AC45 N4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46">
    <cfRule type="expression" priority="90" dxfId="23">
      <formula>AV46="X"</formula>
    </cfRule>
    <cfRule type="expression" priority="91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 N4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48">
    <cfRule type="expression" priority="66" dxfId="23">
      <formula>AV48="X"</formula>
    </cfRule>
    <cfRule type="expression" priority="67" dxfId="22">
      <formula>AV48="후보"</formula>
    </cfRule>
  </conditionalFormatting>
  <conditionalFormatting sqref="AC4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4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23">
      <formula>AV49="X"</formula>
    </cfRule>
    <cfRule type="expression" priority="48" dxfId="22">
      <formula>AV49="후보"</formula>
    </cfRule>
  </conditionalFormatting>
  <conditionalFormatting sqref="AC49 N4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23">
      <formula>AV51="X"</formula>
    </cfRule>
    <cfRule type="expression" priority="24" dxfId="22">
      <formula>AV51="후보"</formula>
    </cfRule>
  </conditionalFormatting>
  <conditionalFormatting sqref="AC51 N5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한라비발디2차</t>
        </is>
      </c>
      <c r="B6" s="10" t="inlineStr">
        <is>
          <t>'14.09.</t>
        </is>
      </c>
      <c r="C6" s="133" t="n">
        <v>717</v>
      </c>
      <c r="D6" s="131" t="n">
        <v>110.4</v>
      </c>
      <c r="E6" s="132" t="n">
        <v>33</v>
      </c>
      <c r="F6" s="131" t="n">
        <v>84.5</v>
      </c>
      <c r="G6" s="17" t="n">
        <v>26</v>
      </c>
      <c r="H6" s="133" t="n">
        <v>236</v>
      </c>
      <c r="I6" s="134" t="n">
        <v>30000</v>
      </c>
      <c r="J6" s="134" t="inlineStr">
        <is>
          <t>10</t>
        </is>
      </c>
      <c r="K6" s="134" t="n">
        <v>25000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3" t="n">
        <v>850</v>
      </c>
      <c r="D6" s="131" t="n">
        <v>112.6</v>
      </c>
      <c r="E6" s="132" t="n">
        <v>34</v>
      </c>
      <c r="F6" s="131" t="n">
        <v>85</v>
      </c>
      <c r="G6" s="17" t="n">
        <v>26</v>
      </c>
      <c r="H6" s="133" t="n">
        <v>246</v>
      </c>
      <c r="I6" s="134" t="n">
        <v>47000</v>
      </c>
      <c r="J6" s="134" t="inlineStr">
        <is>
          <t>중</t>
        </is>
      </c>
      <c r="K6" s="134" t="n">
        <v>32000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힐데스하임5단지</t>
        </is>
      </c>
      <c r="B8" s="10" t="inlineStr">
        <is>
          <t>'15.05.</t>
        </is>
      </c>
      <c r="C8" s="133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48000</v>
      </c>
      <c r="J8" s="134" t="inlineStr">
        <is>
          <t>중</t>
        </is>
      </c>
      <c r="K8" s="134" t="n">
        <v>35000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반곡모아엘가</t>
        </is>
      </c>
      <c r="B10" s="10" t="inlineStr">
        <is>
          <t>'17.07.</t>
        </is>
      </c>
      <c r="C10" s="133" t="n">
        <v>418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258</v>
      </c>
      <c r="I10" s="134" t="n">
        <v>40000</v>
      </c>
      <c r="J10" s="134" t="inlineStr">
        <is>
          <t>고</t>
        </is>
      </c>
      <c r="K10" s="134" t="n">
        <v>32000</v>
      </c>
      <c r="L10" s="134" t="inlineStr">
        <is>
          <t>15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79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푸른숨LH3단지</t>
        </is>
      </c>
      <c r="B12" s="10" t="inlineStr">
        <is>
          <t>'15.06.</t>
        </is>
      </c>
      <c r="C12" s="133" t="n">
        <v>728</v>
      </c>
      <c r="D12" s="131" t="n">
        <v>109.6</v>
      </c>
      <c r="E12" s="132" t="n">
        <v>33</v>
      </c>
      <c r="F12" s="131" t="n">
        <v>84.90000000000001</v>
      </c>
      <c r="G12" s="17" t="n">
        <v>26</v>
      </c>
      <c r="H12" s="133" t="n">
        <v>191</v>
      </c>
      <c r="I12" s="134" t="n">
        <v>37000</v>
      </c>
      <c r="J12" s="134" t="inlineStr">
        <is>
          <t>중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108C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e편한세상반곡</t>
        </is>
      </c>
      <c r="B14" s="10" t="inlineStr">
        <is>
          <t>'18.11.</t>
        </is>
      </c>
      <c r="C14" s="133" t="n">
        <v>508</v>
      </c>
      <c r="D14" s="131" t="n">
        <v>111.3</v>
      </c>
      <c r="E14" s="132" t="n">
        <v>34</v>
      </c>
      <c r="F14" s="131" t="n">
        <v>85</v>
      </c>
      <c r="G14" s="17" t="n">
        <v>26</v>
      </c>
      <c r="H14" s="133" t="n">
        <v>84</v>
      </c>
      <c r="I14" s="134" t="n">
        <v>39500</v>
      </c>
      <c r="J14" s="134" t="inlineStr">
        <is>
          <t>고</t>
        </is>
      </c>
      <c r="K14" s="134" t="n">
        <v>30000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inlineStr">
        <is>
          <t>33A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LH센트럴파크</t>
        </is>
      </c>
      <c r="B16" s="10" t="inlineStr">
        <is>
          <t>'19.02.</t>
        </is>
      </c>
      <c r="C16" s="133" t="n">
        <v>855</v>
      </c>
      <c r="D16" s="131" t="n">
        <v>110.9</v>
      </c>
      <c r="E16" s="132" t="n">
        <v>34</v>
      </c>
      <c r="F16" s="131" t="n">
        <v>85</v>
      </c>
      <c r="G16" s="17" t="n">
        <v>26</v>
      </c>
      <c r="H16" s="133" t="n">
        <v>601</v>
      </c>
      <c r="I16" s="134" t="n">
        <v>37000</v>
      </c>
      <c r="J16" s="134" t="inlineStr">
        <is>
          <t>9</t>
        </is>
      </c>
      <c r="K16" s="134" t="n">
        <v>30000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푸른숨휴브레스</t>
        </is>
      </c>
      <c r="B18" s="10" t="inlineStr">
        <is>
          <t>'13.12.</t>
        </is>
      </c>
      <c r="C18" s="133" t="n">
        <v>1110</v>
      </c>
      <c r="D18" s="131" t="n">
        <v>109.1</v>
      </c>
      <c r="E18" s="132" t="n">
        <v>33</v>
      </c>
      <c r="F18" s="131" t="n">
        <v>84.90000000000001</v>
      </c>
      <c r="G18" s="17" t="n">
        <v>26</v>
      </c>
      <c r="H18" s="133" t="n">
        <v>770</v>
      </c>
      <c r="I18" s="134" t="n">
        <v>37000</v>
      </c>
      <c r="J18" s="134" t="inlineStr">
        <is>
          <t>고</t>
        </is>
      </c>
      <c r="K18" s="134" t="n">
        <v>26000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반곡퍼스트힐</t>
        </is>
      </c>
      <c r="B20" s="10" t="inlineStr">
        <is>
          <t>'14.10.</t>
        </is>
      </c>
      <c r="C20" s="133" t="n">
        <v>424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251</v>
      </c>
      <c r="I20" s="134" t="n">
        <v>33000</v>
      </c>
      <c r="J20" s="134" t="inlineStr">
        <is>
          <t>18</t>
        </is>
      </c>
      <c r="K20" s="134" t="n">
        <v>27000</v>
      </c>
      <c r="L20" s="134" t="inlineStr">
        <is>
          <t>18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161A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e편한세상반곡</t>
        </is>
      </c>
      <c r="B22" s="10" t="inlineStr">
        <is>
          <t>'18.11.</t>
        </is>
      </c>
      <c r="C22" s="133" t="n">
        <v>508</v>
      </c>
      <c r="D22" s="131" t="n">
        <v>84.5</v>
      </c>
      <c r="E22" s="132" t="n">
        <v>26</v>
      </c>
      <c r="F22" s="131" t="n">
        <v>59.8</v>
      </c>
      <c r="G22" s="17" t="n">
        <v>18</v>
      </c>
      <c r="H22" s="133" t="n">
        <v>164</v>
      </c>
      <c r="I22" s="134" t="n">
        <v>30000</v>
      </c>
      <c r="J22" s="134" t="inlineStr">
        <is>
          <t>6</t>
        </is>
      </c>
      <c r="K22" s="134" t="n">
        <v>23000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서원주코아루아너스</t>
        </is>
      </c>
      <c r="B6" s="10" t="inlineStr">
        <is>
          <t>'18.04.</t>
        </is>
      </c>
      <c r="C6" s="133" t="n">
        <v>842</v>
      </c>
      <c r="D6" s="131" t="n">
        <v>117.4</v>
      </c>
      <c r="E6" s="132" t="n">
        <v>35</v>
      </c>
      <c r="F6" s="131" t="n">
        <v>84.59999999999999</v>
      </c>
      <c r="G6" s="17" t="n">
        <v>26</v>
      </c>
      <c r="H6" s="133" t="n">
        <v>376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3" t="n">
        <v>936</v>
      </c>
      <c r="D6" s="131" t="n">
        <v>111.6</v>
      </c>
      <c r="E6" s="132" t="n">
        <v>34</v>
      </c>
      <c r="F6" s="131" t="n">
        <v>85</v>
      </c>
      <c r="G6" s="17" t="n">
        <v>26</v>
      </c>
      <c r="H6" s="133" t="n">
        <v>272</v>
      </c>
      <c r="I6" s="134" t="n">
        <v>55534</v>
      </c>
      <c r="J6" s="134" t="inlineStr">
        <is>
          <t>중</t>
        </is>
      </c>
      <c r="K6" s="134" t="n">
        <v>25000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무실우미린</t>
        </is>
      </c>
      <c r="B8" s="10" t="inlineStr">
        <is>
          <t>'14.09.</t>
        </is>
      </c>
      <c r="C8" s="133" t="n">
        <v>653</v>
      </c>
      <c r="D8" s="131" t="n">
        <v>111.5</v>
      </c>
      <c r="E8" s="132" t="n">
        <v>34</v>
      </c>
      <c r="F8" s="131" t="n">
        <v>85</v>
      </c>
      <c r="G8" s="17" t="n">
        <v>26</v>
      </c>
      <c r="H8" s="133" t="n">
        <v>245</v>
      </c>
      <c r="I8" s="134" t="n">
        <v>46000</v>
      </c>
      <c r="J8" s="134" t="inlineStr">
        <is>
          <t>12</t>
        </is>
      </c>
      <c r="K8" s="134" t="n">
        <v>32000</v>
      </c>
      <c r="L8" s="134" t="inlineStr">
        <is>
          <t>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3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48000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3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47000</v>
      </c>
      <c r="J12" s="134" t="inlineStr">
        <is>
          <t>7</t>
        </is>
      </c>
      <c r="K12" s="134" t="n">
        <v>33000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무실우미린</t>
        </is>
      </c>
      <c r="B14" s="10" t="inlineStr">
        <is>
          <t>'14.09.</t>
        </is>
      </c>
      <c r="C14" s="133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40000</v>
      </c>
      <c r="J14" s="134" t="inlineStr">
        <is>
          <t>12</t>
        </is>
      </c>
      <c r="K14" s="134" t="n">
        <v>29000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3" t="n">
        <v>936</v>
      </c>
      <c r="D16" s="131" t="n">
        <v>80</v>
      </c>
      <c r="E16" s="132" t="n">
        <v>24</v>
      </c>
      <c r="F16" s="131" t="n">
        <v>60</v>
      </c>
      <c r="G16" s="17" t="n">
        <v>18</v>
      </c>
      <c r="H16" s="133" t="n">
        <v>312</v>
      </c>
      <c r="I16" s="134" t="n"/>
      <c r="J16" s="134" t="n"/>
      <c r="K16" s="134" t="n">
        <v>26000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85B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사랑으로부영</t>
        </is>
      </c>
      <c r="B18" s="10" t="inlineStr">
        <is>
          <t>'12.07.</t>
        </is>
      </c>
      <c r="C18" s="133" t="n">
        <v>639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337</v>
      </c>
      <c r="I18" s="134" t="n">
        <v>30000</v>
      </c>
      <c r="J18" s="134" t="inlineStr">
        <is>
          <t>14</t>
        </is>
      </c>
      <c r="K18" s="134" t="n">
        <v>25000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23">
      <formula>AV4="X"</formula>
    </cfRule>
    <cfRule type="expression" priority="165" dxfId="22">
      <formula>AV4="후보"</formula>
    </cfRule>
  </conditionalFormatting>
  <conditionalFormatting sqref="AC1:AC2 AC4:AC6 N4:N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N1:N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23">
      <formula>AV7="X"</formula>
    </cfRule>
    <cfRule type="expression" priority="144" dxfId="22">
      <formula>AV7="후보"</formula>
    </cfRule>
  </conditionalFormatting>
  <conditionalFormatting sqref="AC7 N7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8">
    <cfRule type="expression" priority="138" dxfId="23">
      <formula>AV8="X"</formula>
    </cfRule>
    <cfRule type="expression" priority="139" dxfId="22">
      <formula>AV8="후보"</formula>
    </cfRule>
  </conditionalFormatting>
  <conditionalFormatting sqref="AC8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8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23">
      <formula>AV9="X"</formula>
    </cfRule>
    <cfRule type="expression" priority="120" dxfId="22">
      <formula>AV9="후보"</formula>
    </cfRule>
  </conditionalFormatting>
  <conditionalFormatting sqref="AC9 N9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0">
    <cfRule type="expression" priority="114" dxfId="23">
      <formula>AV10="X"</formula>
    </cfRule>
    <cfRule type="expression" priority="115" dxfId="22">
      <formula>AV10="후보"</formula>
    </cfRule>
  </conditionalFormatting>
  <conditionalFormatting sqref="AC10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0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23">
      <formula>AV11="X"</formula>
    </cfRule>
    <cfRule type="expression" priority="96" dxfId="22">
      <formula>AV11="후보"</formula>
    </cfRule>
  </conditionalFormatting>
  <conditionalFormatting sqref="AC11 N11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2">
    <cfRule type="expression" priority="90" dxfId="23">
      <formula>AV12="X"</formula>
    </cfRule>
    <cfRule type="expression" priority="91" dxfId="22">
      <formula>AV12="후보"</formula>
    </cfRule>
  </conditionalFormatting>
  <conditionalFormatting sqref="AC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23">
      <formula>AV13="X"</formula>
    </cfRule>
    <cfRule type="expression" priority="72" dxfId="22">
      <formula>AV13="후보"</formula>
    </cfRule>
  </conditionalFormatting>
  <conditionalFormatting sqref="AC13 N13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4">
    <cfRule type="expression" priority="66" dxfId="23">
      <formula>AV14="X"</formula>
    </cfRule>
    <cfRule type="expression" priority="67" dxfId="22">
      <formula>AV14="후보"</formula>
    </cfRule>
  </conditionalFormatting>
  <conditionalFormatting sqref="AC1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4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23">
      <formula>AV15="X"</formula>
    </cfRule>
    <cfRule type="expression" priority="48" dxfId="22">
      <formula>AV15="후보"</formula>
    </cfRule>
  </conditionalFormatting>
  <conditionalFormatting sqref="AC15 N15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3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51580</v>
      </c>
      <c r="J6" s="134" t="inlineStr">
        <is>
          <t>20</t>
        </is>
      </c>
      <c r="K6" s="134" t="n">
        <v>29000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 ht="24" customHeight="1" s="124">
      <c r="A6" s="9" t="inlineStr">
        <is>
          <t>원주단구내안애카운티에듀파크2단지</t>
        </is>
      </c>
      <c r="B6" s="10" t="inlineStr">
        <is>
          <t>'20.06.</t>
        </is>
      </c>
      <c r="C6" s="133" t="n">
        <v>348</v>
      </c>
      <c r="D6" s="131" t="n">
        <v>108.3</v>
      </c>
      <c r="E6" s="132" t="n">
        <v>33</v>
      </c>
      <c r="F6" s="131" t="n">
        <v>84.90000000000001</v>
      </c>
      <c r="G6" s="17" t="n">
        <v>26</v>
      </c>
      <c r="H6" s="133" t="n">
        <v>203</v>
      </c>
      <c r="I6" s="134" t="n">
        <v>39000</v>
      </c>
      <c r="J6" s="134" t="inlineStr">
        <is>
          <t>5</t>
        </is>
      </c>
      <c r="K6" s="134" t="n">
        <v>35000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 ht="24" customHeight="1" s="124">
      <c r="A8" s="9" t="inlineStr">
        <is>
          <t>원주단구내안애카운티에듀파크1단지</t>
        </is>
      </c>
      <c r="B8" s="10" t="inlineStr">
        <is>
          <t>'20.06.</t>
        </is>
      </c>
      <c r="C8" s="133" t="n">
        <v>571</v>
      </c>
      <c r="D8" s="131" t="n">
        <v>107.3</v>
      </c>
      <c r="E8" s="132" t="n">
        <v>32</v>
      </c>
      <c r="F8" s="131" t="n">
        <v>84.90000000000001</v>
      </c>
      <c r="G8" s="17" t="n">
        <v>26</v>
      </c>
      <c r="H8" s="133" t="n">
        <v>421</v>
      </c>
      <c r="I8" s="134" t="n">
        <v>34000</v>
      </c>
      <c r="J8" s="134" t="inlineStr">
        <is>
          <t>중</t>
        </is>
      </c>
      <c r="K8" s="134" t="n">
        <v>28000</v>
      </c>
      <c r="L8" s="134" t="inlineStr">
        <is>
          <t>14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158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단구한신더휴</t>
        </is>
      </c>
      <c r="B10" s="10" t="inlineStr">
        <is>
          <t>'17.11.</t>
        </is>
      </c>
      <c r="C10" s="133" t="n">
        <v>724</v>
      </c>
      <c r="D10" s="131" t="n">
        <v>114.2</v>
      </c>
      <c r="E10" s="132" t="n">
        <v>35</v>
      </c>
      <c r="F10" s="131" t="n">
        <v>84.90000000000001</v>
      </c>
      <c r="G10" s="17" t="n">
        <v>26</v>
      </c>
      <c r="H10" s="133" t="n">
        <v>217</v>
      </c>
      <c r="I10" s="134" t="n">
        <v>37000</v>
      </c>
      <c r="J10" s="134" t="inlineStr">
        <is>
          <t>5</t>
        </is>
      </c>
      <c r="K10" s="134" t="n">
        <v>29000</v>
      </c>
      <c r="L10" s="134" t="inlineStr">
        <is>
          <t>13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23">
      <formula>AV4="X"</formula>
    </cfRule>
    <cfRule type="expression" priority="69" dxfId="22">
      <formula>AV4="후보"</formula>
    </cfRule>
  </conditionalFormatting>
  <conditionalFormatting sqref="AC1:AC2 AC4:AC6 N4:N5">
    <cfRule type="cellIs" priority="65" operator="greaterThan" dxfId="17">
      <formula>0.9</formula>
    </cfRule>
    <cfRule type="cellIs" priority="66" operator="greaterThan" dxfId="16">
      <formula>0.85</formula>
    </cfRule>
  </conditionalFormatting>
  <conditionalFormatting sqref="N1:N2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23">
      <formula>AV7="X"</formula>
    </cfRule>
    <cfRule type="expression" priority="48" dxfId="22">
      <formula>AV7="후보"</formula>
    </cfRule>
  </conditionalFormatting>
  <conditionalFormatting sqref="AC7 N7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23">
      <formula>AV9="X"</formula>
    </cfRule>
    <cfRule type="expression" priority="24" dxfId="22">
      <formula>AV9="후보"</formula>
    </cfRule>
  </conditionalFormatting>
  <conditionalFormatting sqref="AC9 N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3" t="n">
        <v>499</v>
      </c>
      <c r="D6" s="131" t="n">
        <v>115.4</v>
      </c>
      <c r="E6" s="132" t="n">
        <v>35</v>
      </c>
      <c r="F6" s="131" t="n">
        <v>85</v>
      </c>
      <c r="G6" s="17" t="n">
        <v>26</v>
      </c>
      <c r="H6" s="133" t="n">
        <v>121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원주봉화산푸르지오</t>
        </is>
      </c>
      <c r="B8" s="10" t="inlineStr">
        <is>
          <t>'17.11.</t>
        </is>
      </c>
      <c r="C8" s="133" t="n">
        <v>996</v>
      </c>
      <c r="D8" s="131" t="n">
        <v>109.8</v>
      </c>
      <c r="E8" s="132" t="n">
        <v>33</v>
      </c>
      <c r="F8" s="131" t="n">
        <v>84.90000000000001</v>
      </c>
      <c r="G8" s="17" t="n">
        <v>26</v>
      </c>
      <c r="H8" s="133" t="n">
        <v>169</v>
      </c>
      <c r="I8" s="134" t="n">
        <v>42000</v>
      </c>
      <c r="J8" s="134" t="inlineStr">
        <is>
          <t>5</t>
        </is>
      </c>
      <c r="K8" s="134" t="n">
        <v>30000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3" t="n">
        <v>839</v>
      </c>
      <c r="D10" s="131" t="n">
        <v>115.8</v>
      </c>
      <c r="E10" s="132" t="n">
        <v>35</v>
      </c>
      <c r="F10" s="131" t="n">
        <v>85</v>
      </c>
      <c r="G10" s="17" t="n">
        <v>26</v>
      </c>
      <c r="H10" s="133" t="n">
        <v>322</v>
      </c>
      <c r="I10" s="134" t="n">
        <v>41000</v>
      </c>
      <c r="J10" s="134" t="inlineStr">
        <is>
          <t>20</t>
        </is>
      </c>
      <c r="K10" s="134" t="n">
        <v>32000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봉화산벨라시티</t>
        </is>
      </c>
      <c r="B12" s="10" t="inlineStr">
        <is>
          <t>'16.10.</t>
        </is>
      </c>
      <c r="C12" s="133" t="n">
        <v>566</v>
      </c>
      <c r="D12" s="131" t="n">
        <v>110.9</v>
      </c>
      <c r="E12" s="132" t="n">
        <v>34</v>
      </c>
      <c r="F12" s="131" t="n">
        <v>85</v>
      </c>
      <c r="G12" s="17" t="n">
        <v>26</v>
      </c>
      <c r="H12" s="133" t="n">
        <v>92</v>
      </c>
      <c r="I12" s="134" t="n">
        <v>35500</v>
      </c>
      <c r="J12" s="134" t="inlineStr">
        <is>
          <t>8</t>
        </is>
      </c>
      <c r="K12" s="134" t="n">
        <v>29000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77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3" t="n">
        <v>996</v>
      </c>
      <c r="D14" s="131" t="n">
        <v>98.59999999999999</v>
      </c>
      <c r="E14" s="132" t="n">
        <v>30</v>
      </c>
      <c r="F14" s="131" t="n">
        <v>72.90000000000001</v>
      </c>
      <c r="G14" s="17" t="n">
        <v>22</v>
      </c>
      <c r="H14" s="133" t="n">
        <v>323</v>
      </c>
      <c r="I14" s="134" t="n">
        <v>35000</v>
      </c>
      <c r="J14" s="134" t="inlineStr">
        <is>
          <t>10</t>
        </is>
      </c>
      <c r="K14" s="134" t="n">
        <v>27000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inlineStr">
        <is>
          <t>77A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3" t="n">
        <v>499</v>
      </c>
      <c r="D16" s="131" t="n">
        <v>83.09999999999999</v>
      </c>
      <c r="E16" s="132" t="n">
        <v>25</v>
      </c>
      <c r="F16" s="131" t="n">
        <v>59.9</v>
      </c>
      <c r="G16" s="17" t="n">
        <v>18</v>
      </c>
      <c r="H16" s="133" t="n">
        <v>126</v>
      </c>
      <c r="I16" s="134" t="n">
        <v>32000</v>
      </c>
      <c r="J16" s="134" t="inlineStr">
        <is>
          <t>16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163B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3" t="n">
        <v>839</v>
      </c>
      <c r="D18" s="131" t="n">
        <v>83.8</v>
      </c>
      <c r="E18" s="132" t="n">
        <v>25</v>
      </c>
      <c r="F18" s="131" t="n">
        <v>60</v>
      </c>
      <c r="G18" s="17" t="n">
        <v>18</v>
      </c>
      <c r="H18" s="133" t="n">
        <v>74</v>
      </c>
      <c r="I18" s="134" t="n">
        <v>32000</v>
      </c>
      <c r="J18" s="134" t="inlineStr">
        <is>
          <t>중</t>
        </is>
      </c>
      <c r="K18" s="134" t="n">
        <v>26000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78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3" t="n">
        <v>996</v>
      </c>
      <c r="D20" s="131" t="n">
        <v>85</v>
      </c>
      <c r="E20" s="132" t="n">
        <v>26</v>
      </c>
      <c r="F20" s="131" t="n">
        <v>60.8</v>
      </c>
      <c r="G20" s="17" t="n">
        <v>18</v>
      </c>
      <c r="H20" s="133" t="n">
        <v>337</v>
      </c>
      <c r="I20" s="134" t="n">
        <v>30000</v>
      </c>
      <c r="J20" s="134" t="inlineStr">
        <is>
          <t>중</t>
        </is>
      </c>
      <c r="K20" s="134" t="n">
        <v>24000</v>
      </c>
      <c r="L20" s="134" t="inlineStr">
        <is>
          <t>26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78A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봉화산벨라시티</t>
        </is>
      </c>
      <c r="B22" s="10" t="inlineStr">
        <is>
          <t>'16.10.</t>
        </is>
      </c>
      <c r="C22" s="133" t="n">
        <v>566</v>
      </c>
      <c r="D22" s="131" t="n">
        <v>87.90000000000001</v>
      </c>
      <c r="E22" s="132" t="n">
        <v>27</v>
      </c>
      <c r="F22" s="131" t="n">
        <v>59.9</v>
      </c>
      <c r="G22" s="17" t="n">
        <v>18</v>
      </c>
      <c r="H22" s="133" t="n">
        <v>164</v>
      </c>
      <c r="I22" s="134" t="n">
        <v>28000</v>
      </c>
      <c r="J22" s="134" t="inlineStr">
        <is>
          <t>중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115A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2022-04-04T09:58:41Z</dcterms:modified>
  <cp:lastModifiedBy>MinsuKwon</cp:lastModifiedBy>
  <cp:lastPrinted>2018-04-28T10:52:41Z</cp:lastPrinted>
</cp:coreProperties>
</file>