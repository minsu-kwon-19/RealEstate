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판부면" sheetId="6" state="visible" r:id="rId6"/>
    <sheet xmlns:r="http://schemas.openxmlformats.org/officeDocument/2006/relationships" name="태장동" sheetId="7" state="visible" r:id="rId7"/>
    <sheet xmlns:r="http://schemas.openxmlformats.org/officeDocument/2006/relationships" name="지정면" sheetId="8" state="visible" r:id="rId8"/>
    <sheet xmlns:r="http://schemas.openxmlformats.org/officeDocument/2006/relationships" name="우산동" sheetId="9" state="visible" r:id="rId9"/>
    <sheet xmlns:r="http://schemas.openxmlformats.org/officeDocument/2006/relationships" name="반곡동" sheetId="10" state="visible" r:id="rId10"/>
    <sheet xmlns:r="http://schemas.openxmlformats.org/officeDocument/2006/relationships" name="문막읍" sheetId="11" state="visible" r:id="rId11"/>
    <sheet xmlns:r="http://schemas.openxmlformats.org/officeDocument/2006/relationships" name="무실동" sheetId="12" state="visible" r:id="rId12"/>
    <sheet xmlns:r="http://schemas.openxmlformats.org/officeDocument/2006/relationships" name="명륜동" sheetId="13" state="visible" r:id="rId13"/>
    <sheet xmlns:r="http://schemas.openxmlformats.org/officeDocument/2006/relationships" name="단구동" sheetId="14" state="visible" r:id="rId14"/>
    <sheet xmlns:r="http://schemas.openxmlformats.org/officeDocument/2006/relationships" name="단계동" sheetId="15" state="visible" r:id="rId15"/>
    <sheet xmlns:r="http://schemas.openxmlformats.org/officeDocument/2006/relationships" name="양식" sheetId="16" state="visible" r:id="rId1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'단지추출_가격표용'!$A$3:$U$61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'판부면'!$1:$3</definedName>
    <definedName name="_xlnm.Print_Area" localSheetId="5">'판부면'!$A$1:$U$6</definedName>
    <definedName name="_xlnm.Print_Titles" localSheetId="6">'태장동'!$1:$3</definedName>
    <definedName name="_xlnm.Print_Area" localSheetId="6">'태장동'!$A$1:$U$6</definedName>
    <definedName name="_xlnm.Print_Titles" localSheetId="7">'지정면'!$1:$3</definedName>
    <definedName name="_xlnm.Print_Area" localSheetId="7">'지정면'!$A$1:$U$6</definedName>
    <definedName name="_xlnm.Print_Titles" localSheetId="8">'우산동'!$1:$3</definedName>
    <definedName name="_xlnm.Print_Area" localSheetId="8">'우산동'!$A$1:$U$6</definedName>
    <definedName name="_xlnm.Print_Titles" localSheetId="9">'반곡동'!$1:$3</definedName>
    <definedName name="_xlnm.Print_Area" localSheetId="9">'반곡동'!$A$1:$U$6</definedName>
    <definedName name="_xlnm.Print_Titles" localSheetId="10">'문막읍'!$1:$3</definedName>
    <definedName name="_xlnm.Print_Area" localSheetId="10">'문막읍'!$A$1:$U$6</definedName>
    <definedName name="_xlnm.Print_Titles" localSheetId="11">'무실동'!$1:$3</definedName>
    <definedName name="_xlnm.Print_Area" localSheetId="11">'무실동'!$A$1:$U$6</definedName>
    <definedName name="_xlnm.Print_Titles" localSheetId="12">'명륜동'!$1:$3</definedName>
    <definedName name="_xlnm.Print_Area" localSheetId="12">'명륜동'!$A$1:$U$6</definedName>
    <definedName name="_xlnm.Print_Titles" localSheetId="13">'단구동'!$1:$3</definedName>
    <definedName name="_xlnm.Print_Area" localSheetId="13">'단구동'!$A$1:$U$6</definedName>
    <definedName name="_xlnm.Print_Titles" localSheetId="14">'단계동'!$1:$3</definedName>
    <definedName name="_xlnm.Print_Area" localSheetId="14">'단계동'!$A$1:$U$6</definedName>
    <definedName name="_xlnm.Print_Titles" localSheetId="15">'양식'!$1:$3</definedName>
    <definedName name="_xlnm.Print_Area" localSheetId="1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56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64" sqref="A64:XFD64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24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0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1500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판부면 남원주코아루미소지움</t>
        </is>
      </c>
      <c r="B4" s="76" t="inlineStr">
        <is>
          <t>18.03.</t>
        </is>
      </c>
      <c r="C4" s="130" t="n">
        <v>359</v>
      </c>
      <c r="D4" s="131" t="n">
        <v>110</v>
      </c>
      <c r="E4" s="132" t="n">
        <v>33</v>
      </c>
      <c r="F4" s="131" t="n">
        <v>80</v>
      </c>
      <c r="G4" s="17" t="n">
        <v>24</v>
      </c>
      <c r="H4" s="133" t="n">
        <v>157</v>
      </c>
      <c r="I4" s="134" t="n">
        <v>34500</v>
      </c>
      <c r="J4" s="134" t="inlineStr">
        <is>
          <t>6</t>
        </is>
      </c>
      <c r="K4" s="134" t="n"/>
      <c r="L4" s="134" t="n"/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2</v>
      </c>
      <c r="R4" s="121" t="n">
        <v>1</v>
      </c>
      <c r="S4" s="121" t="inlineStr">
        <is>
          <t>계</t>
        </is>
      </c>
      <c r="T4" s="5" t="inlineStr">
        <is>
          <t>77B</t>
        </is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판부면 남원주코아루미소지움</t>
        </is>
      </c>
      <c r="B5" s="76" t="inlineStr">
        <is>
          <t>18.03.</t>
        </is>
      </c>
      <c r="C5" s="130" t="n">
        <v>359</v>
      </c>
      <c r="D5" s="131" t="n">
        <v>82.40000000000001</v>
      </c>
      <c r="E5" s="132" t="n">
        <v>25</v>
      </c>
      <c r="F5" s="131" t="n">
        <v>60</v>
      </c>
      <c r="G5" s="17" t="n">
        <v>18</v>
      </c>
      <c r="H5" s="133" t="n">
        <v>126</v>
      </c>
      <c r="I5" s="134" t="n">
        <v>28500</v>
      </c>
      <c r="J5" s="134" t="inlineStr">
        <is>
          <t>14</t>
        </is>
      </c>
      <c r="K5" s="134" t="n">
        <v>22000</v>
      </c>
      <c r="L5" s="134" t="inlineStr">
        <is>
          <t>19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2</v>
      </c>
      <c r="R5" s="121" t="n">
        <v>1</v>
      </c>
      <c r="S5" s="121" t="inlineStr">
        <is>
          <t>계</t>
        </is>
      </c>
      <c r="T5" s="5" t="inlineStr">
        <is>
          <t>70C</t>
        </is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태장동 이안원주태장</t>
        </is>
      </c>
      <c r="B6" s="76" t="inlineStr">
        <is>
          <t>19.08.</t>
        </is>
      </c>
      <c r="C6" s="130" t="n">
        <v>920</v>
      </c>
      <c r="D6" s="131" t="n">
        <v>116.9</v>
      </c>
      <c r="E6" s="132" t="n">
        <v>35</v>
      </c>
      <c r="F6" s="131" t="n">
        <v>84.90000000000001</v>
      </c>
      <c r="G6" s="17" t="n">
        <v>26</v>
      </c>
      <c r="H6" s="133" t="n">
        <v>62</v>
      </c>
      <c r="I6" s="134" t="n">
        <v>32000</v>
      </c>
      <c r="J6" s="134" t="inlineStr">
        <is>
          <t>중</t>
        </is>
      </c>
      <c r="K6" s="134" t="n">
        <v>27000</v>
      </c>
      <c r="L6" s="134" t="inlineStr">
        <is>
          <t>20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115C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태장동 e편한세상원주태장</t>
        </is>
      </c>
      <c r="B7" s="76" t="inlineStr">
        <is>
          <t>18.12.</t>
        </is>
      </c>
      <c r="C7" s="130" t="n">
        <v>703</v>
      </c>
      <c r="D7" s="131" t="n">
        <v>103.5</v>
      </c>
      <c r="E7" s="132" t="n">
        <v>31</v>
      </c>
      <c r="F7" s="131" t="n">
        <v>75</v>
      </c>
      <c r="G7" s="17" t="n">
        <v>23</v>
      </c>
      <c r="H7" s="133" t="n">
        <v>308</v>
      </c>
      <c r="I7" s="134" t="n">
        <v>29000</v>
      </c>
      <c r="J7" s="134" t="inlineStr">
        <is>
          <t>5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106B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태장동 e편한세상원주태장</t>
        </is>
      </c>
      <c r="B8" s="76" t="inlineStr">
        <is>
          <t>18.12.</t>
        </is>
      </c>
      <c r="C8" s="130" t="n">
        <v>703</v>
      </c>
      <c r="D8" s="131" t="n">
        <v>83.8</v>
      </c>
      <c r="E8" s="132" t="n">
        <v>25</v>
      </c>
      <c r="F8" s="131" t="n">
        <v>60</v>
      </c>
      <c r="G8" s="17" t="n">
        <v>18</v>
      </c>
      <c r="H8" s="133" t="n">
        <v>227</v>
      </c>
      <c r="I8" s="134" t="n">
        <v>23000</v>
      </c>
      <c r="J8" s="134" t="inlineStr">
        <is>
          <t>고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54S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태장동 이안원주태장</t>
        </is>
      </c>
      <c r="B9" s="76" t="inlineStr">
        <is>
          <t>19.08.</t>
        </is>
      </c>
      <c r="C9" s="130" t="n">
        <v>920</v>
      </c>
      <c r="D9" s="131" t="n">
        <v>82.40000000000001</v>
      </c>
      <c r="E9" s="132" t="n">
        <v>25</v>
      </c>
      <c r="F9" s="131" t="n">
        <v>60</v>
      </c>
      <c r="G9" s="17" t="n">
        <v>18</v>
      </c>
      <c r="H9" s="133" t="n">
        <v>372</v>
      </c>
      <c r="I9" s="134" t="n">
        <v>21000</v>
      </c>
      <c r="J9" s="134" t="inlineStr">
        <is>
          <t>고</t>
        </is>
      </c>
      <c r="K9" s="134" t="n">
        <v>20000</v>
      </c>
      <c r="L9" s="134" t="inlineStr">
        <is>
          <t>17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5</v>
      </c>
      <c r="R9" s="121" t="n">
        <v>3</v>
      </c>
      <c r="S9" s="121" t="inlineStr">
        <is>
          <t>계</t>
        </is>
      </c>
      <c r="T9" s="5" t="inlineStr">
        <is>
          <t>204A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지정면 원주롯데캐슬골드파크2차</t>
        </is>
      </c>
      <c r="B10" s="76" t="inlineStr">
        <is>
          <t>19.12.</t>
        </is>
      </c>
      <c r="C10" s="130" t="n">
        <v>536</v>
      </c>
      <c r="D10" s="131" t="n">
        <v>111</v>
      </c>
      <c r="E10" s="132" t="n">
        <v>34</v>
      </c>
      <c r="F10" s="131" t="n">
        <v>85</v>
      </c>
      <c r="G10" s="17" t="n">
        <v>26</v>
      </c>
      <c r="H10" s="133" t="n">
        <v>243</v>
      </c>
      <c r="I10" s="134" t="n">
        <v>50000</v>
      </c>
      <c r="J10" s="134" t="inlineStr">
        <is>
          <t>10</t>
        </is>
      </c>
      <c r="K10" s="134" t="n">
        <v>25000</v>
      </c>
      <c r="L10" s="134" t="inlineStr">
        <is>
          <t>10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113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지정면 원주롯데캐슬골드파크1차</t>
        </is>
      </c>
      <c r="B11" s="76" t="inlineStr">
        <is>
          <t>19.12.</t>
        </is>
      </c>
      <c r="C11" s="130" t="n">
        <v>624</v>
      </c>
      <c r="D11" s="131" t="n">
        <v>110.3</v>
      </c>
      <c r="E11" s="132" t="n">
        <v>33</v>
      </c>
      <c r="F11" s="131" t="n">
        <v>85</v>
      </c>
      <c r="G11" s="17" t="n">
        <v>26</v>
      </c>
      <c r="H11" s="133" t="n">
        <v>266</v>
      </c>
      <c r="I11" s="134" t="n">
        <v>53000</v>
      </c>
      <c r="J11" s="134" t="inlineStr">
        <is>
          <t>14</t>
        </is>
      </c>
      <c r="K11" s="134" t="n">
        <v>28000</v>
      </c>
      <c r="L11" s="134" t="inlineStr">
        <is>
          <t>18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127A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지정면 이지더원더그레이스</t>
        </is>
      </c>
      <c r="B12" s="76" t="inlineStr">
        <is>
          <t>20.06.</t>
        </is>
      </c>
      <c r="C12" s="130" t="n">
        <v>776</v>
      </c>
      <c r="D12" s="131" t="n">
        <v>114.7</v>
      </c>
      <c r="E12" s="132" t="n">
        <v>35</v>
      </c>
      <c r="F12" s="131" t="n">
        <v>85</v>
      </c>
      <c r="G12" s="17" t="n">
        <v>26</v>
      </c>
      <c r="H12" s="133" t="n">
        <v>428</v>
      </c>
      <c r="I12" s="134" t="n">
        <v>42500</v>
      </c>
      <c r="J12" s="134" t="inlineStr">
        <is>
          <t>고</t>
        </is>
      </c>
      <c r="K12" s="134" t="n">
        <v>25000</v>
      </c>
      <c r="L12" s="134" t="inlineStr">
        <is>
          <t>고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107B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지정면 원주롯데캐슬더퍼스트2차</t>
        </is>
      </c>
      <c r="B13" s="76" t="inlineStr">
        <is>
          <t>18.08.</t>
        </is>
      </c>
      <c r="C13" s="130" t="n">
        <v>1116</v>
      </c>
      <c r="D13" s="131" t="n">
        <v>113.4</v>
      </c>
      <c r="E13" s="132" t="n">
        <v>34</v>
      </c>
      <c r="F13" s="131" t="n">
        <v>85</v>
      </c>
      <c r="G13" s="17" t="n">
        <v>26</v>
      </c>
      <c r="H13" s="133" t="n">
        <v>472</v>
      </c>
      <c r="I13" s="134" t="n">
        <v>37000</v>
      </c>
      <c r="J13" s="134" t="inlineStr">
        <is>
          <t>6</t>
        </is>
      </c>
      <c r="K13" s="134" t="n">
        <v>25000</v>
      </c>
      <c r="L13" s="134" t="inlineStr">
        <is>
          <t>21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계</t>
        </is>
      </c>
      <c r="T13" s="5" t="inlineStr">
        <is>
          <t>45B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24" customFormat="1" customHeight="1" s="37">
      <c r="A14" s="75" t="inlineStr">
        <is>
          <t>지정면 원주기업도시유보라아이비파크2단지</t>
        </is>
      </c>
      <c r="B14" s="76" t="inlineStr">
        <is>
          <t>20.01.</t>
        </is>
      </c>
      <c r="C14" s="130" t="n">
        <v>794</v>
      </c>
      <c r="D14" s="131" t="n">
        <v>111.9</v>
      </c>
      <c r="E14" s="132" t="n">
        <v>34</v>
      </c>
      <c r="F14" s="131" t="n">
        <v>85</v>
      </c>
      <c r="G14" s="17" t="n">
        <v>26</v>
      </c>
      <c r="H14" s="133" t="n">
        <v>263</v>
      </c>
      <c r="I14" s="134" t="n">
        <v>40000</v>
      </c>
      <c r="J14" s="134" t="inlineStr">
        <is>
          <t>9</t>
        </is>
      </c>
      <c r="K14" s="134" t="n">
        <v>25000</v>
      </c>
      <c r="L14" s="134" t="inlineStr">
        <is>
          <t>고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n">
        <v>77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지정면 원주기업도시호반베르디움8단지</t>
        </is>
      </c>
      <c r="B15" s="76" t="inlineStr">
        <is>
          <t>18.08.</t>
        </is>
      </c>
      <c r="C15" s="130" t="n">
        <v>882</v>
      </c>
      <c r="D15" s="131" t="n">
        <v>113.5</v>
      </c>
      <c r="E15" s="132" t="n">
        <v>34</v>
      </c>
      <c r="F15" s="131" t="n">
        <v>85</v>
      </c>
      <c r="G15" s="17" t="n">
        <v>26</v>
      </c>
      <c r="H15" s="133" t="n">
        <v>407</v>
      </c>
      <c r="I15" s="134" t="n">
        <v>41000</v>
      </c>
      <c r="J15" s="134" t="inlineStr">
        <is>
          <t>16</t>
        </is>
      </c>
      <c r="K15" s="134" t="n">
        <v>24000</v>
      </c>
      <c r="L15" s="134" t="inlineStr">
        <is>
          <t>중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1</v>
      </c>
      <c r="R15" s="121" t="n">
        <v>1</v>
      </c>
      <c r="S15" s="121" t="inlineStr">
        <is>
          <t>계</t>
        </is>
      </c>
      <c r="T15" s="5" t="inlineStr">
        <is>
          <t>34C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지정면 원주롯데캐슬더퍼스트</t>
        </is>
      </c>
      <c r="B16" s="76" t="inlineStr">
        <is>
          <t>18.06.</t>
        </is>
      </c>
      <c r="C16" s="130" t="n">
        <v>1243</v>
      </c>
      <c r="D16" s="131" t="n">
        <v>113.2</v>
      </c>
      <c r="E16" s="132" t="n">
        <v>34</v>
      </c>
      <c r="F16" s="131" t="n">
        <v>85</v>
      </c>
      <c r="G16" s="17" t="n">
        <v>26</v>
      </c>
      <c r="H16" s="133" t="n">
        <v>24</v>
      </c>
      <c r="I16" s="134" t="n">
        <v>42000</v>
      </c>
      <c r="J16" s="134" t="inlineStr">
        <is>
          <t>15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102A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24" customFormat="1" customHeight="1" s="37">
      <c r="A17" s="75" t="inlineStr">
        <is>
          <t>지정면 원주기업도시유보라아이비파크1단지</t>
        </is>
      </c>
      <c r="B17" s="76" t="inlineStr">
        <is>
          <t>20.01.</t>
        </is>
      </c>
      <c r="C17" s="130" t="n">
        <v>548</v>
      </c>
      <c r="D17" s="131" t="n">
        <v>109.7</v>
      </c>
      <c r="E17" s="132" t="n">
        <v>33</v>
      </c>
      <c r="F17" s="131" t="n">
        <v>85</v>
      </c>
      <c r="G17" s="17" t="n">
        <v>26</v>
      </c>
      <c r="H17" s="133" t="n">
        <v>180</v>
      </c>
      <c r="I17" s="134" t="n">
        <v>38000</v>
      </c>
      <c r="J17" s="134" t="inlineStr">
        <is>
          <t>고</t>
        </is>
      </c>
      <c r="K17" s="134" t="n">
        <v>24000</v>
      </c>
      <c r="L17" s="134" t="inlineStr">
        <is>
          <t>27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107A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24" customFormat="1" customHeight="1" s="37">
      <c r="A18" s="75" t="inlineStr">
        <is>
          <t>지정면 원주기업도시호반베르디움(3-1블록)</t>
        </is>
      </c>
      <c r="B18" s="76" t="inlineStr">
        <is>
          <t>19.05.</t>
        </is>
      </c>
      <c r="C18" s="130" t="n">
        <v>892</v>
      </c>
      <c r="D18" s="131" t="n">
        <v>111</v>
      </c>
      <c r="E18" s="132" t="n">
        <v>34</v>
      </c>
      <c r="F18" s="131" t="n">
        <v>84.90000000000001</v>
      </c>
      <c r="G18" s="17" t="n">
        <v>26</v>
      </c>
      <c r="H18" s="133" t="n">
        <v>532</v>
      </c>
      <c r="I18" s="134" t="n">
        <v>39500</v>
      </c>
      <c r="J18" s="134" t="inlineStr">
        <is>
          <t>5</t>
        </is>
      </c>
      <c r="K18" s="134" t="n">
        <v>26000</v>
      </c>
      <c r="L18" s="134" t="inlineStr">
        <is>
          <t>18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n">
        <v>146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24" customFormat="1" customHeight="1" s="37">
      <c r="A19" s="75" t="inlineStr">
        <is>
          <t>지정면 원주기업도시호반베르디움(3-2블록)</t>
        </is>
      </c>
      <c r="B19" s="76" t="inlineStr">
        <is>
          <t>19.05.</t>
        </is>
      </c>
      <c r="C19" s="130" t="n">
        <v>824</v>
      </c>
      <c r="D19" s="131" t="n">
        <v>110.9</v>
      </c>
      <c r="E19" s="132" t="n">
        <v>34</v>
      </c>
      <c r="F19" s="131" t="n">
        <v>84.90000000000001</v>
      </c>
      <c r="G19" s="17" t="n">
        <v>26</v>
      </c>
      <c r="H19" s="133" t="n">
        <v>494</v>
      </c>
      <c r="I19" s="134" t="n">
        <v>39500</v>
      </c>
      <c r="J19" s="134" t="inlineStr">
        <is>
          <t>10</t>
        </is>
      </c>
      <c r="K19" s="134" t="n">
        <v>23000</v>
      </c>
      <c r="L19" s="134" t="inlineStr">
        <is>
          <t>고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87B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지정면 원주기업도시라온프라이빗</t>
        </is>
      </c>
      <c r="B20" s="76" t="inlineStr">
        <is>
          <t>18.12.</t>
        </is>
      </c>
      <c r="C20" s="130" t="n">
        <v>713</v>
      </c>
      <c r="D20" s="131" t="n">
        <v>113.4</v>
      </c>
      <c r="E20" s="132" t="n">
        <v>34</v>
      </c>
      <c r="F20" s="131" t="n">
        <v>84.7</v>
      </c>
      <c r="G20" s="17" t="n">
        <v>26</v>
      </c>
      <c r="H20" s="133" t="n">
        <v>178</v>
      </c>
      <c r="I20" s="134" t="n">
        <v>40000</v>
      </c>
      <c r="J20" s="134" t="inlineStr">
        <is>
          <t>5</t>
        </is>
      </c>
      <c r="K20" s="134" t="n">
        <v>29000</v>
      </c>
      <c r="L20" s="134" t="inlineStr">
        <is>
          <t>5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137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지정면 이지더원더그레이스</t>
        </is>
      </c>
      <c r="B21" s="76" t="inlineStr">
        <is>
          <t>20.06.</t>
        </is>
      </c>
      <c r="C21" s="130" t="n">
        <v>776</v>
      </c>
      <c r="D21" s="131" t="n">
        <v>82</v>
      </c>
      <c r="E21" s="132" t="n">
        <v>25</v>
      </c>
      <c r="F21" s="131" t="n">
        <v>60</v>
      </c>
      <c r="G21" s="17" t="n">
        <v>18</v>
      </c>
      <c r="H21" s="133" t="n">
        <v>172</v>
      </c>
      <c r="I21" s="134" t="n">
        <v>28500</v>
      </c>
      <c r="J21" s="134" t="inlineStr">
        <is>
          <t>중</t>
        </is>
      </c>
      <c r="K21" s="134" t="n">
        <v>22000</v>
      </c>
      <c r="L21" s="134" t="inlineStr">
        <is>
          <t>11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102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지정면 원주롯데캐슬골드파크2차</t>
        </is>
      </c>
      <c r="B22" s="76" t="inlineStr">
        <is>
          <t>19.12.</t>
        </is>
      </c>
      <c r="C22" s="130" t="n">
        <v>536</v>
      </c>
      <c r="D22" s="131" t="n">
        <v>81.2</v>
      </c>
      <c r="E22" s="132" t="n">
        <v>25</v>
      </c>
      <c r="F22" s="131" t="n">
        <v>60</v>
      </c>
      <c r="G22" s="17" t="n">
        <v>18</v>
      </c>
      <c r="H22" s="133" t="n">
        <v>128</v>
      </c>
      <c r="I22" s="134" t="n">
        <v>34500</v>
      </c>
      <c r="J22" s="134" t="inlineStr">
        <is>
          <t>중</t>
        </is>
      </c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n">
        <v>104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지정면 이지더원1차</t>
        </is>
      </c>
      <c r="B23" s="76" t="inlineStr">
        <is>
          <t>19.01.</t>
        </is>
      </c>
      <c r="C23" s="130" t="n">
        <v>1430</v>
      </c>
      <c r="D23" s="131" t="n">
        <v>110.8</v>
      </c>
      <c r="E23" s="132" t="n">
        <v>34</v>
      </c>
      <c r="F23" s="131" t="n">
        <v>85</v>
      </c>
      <c r="G23" s="17" t="n">
        <v>26</v>
      </c>
      <c r="H23" s="133" t="n">
        <v>880</v>
      </c>
      <c r="I23" s="134" t="n">
        <v>35500</v>
      </c>
      <c r="J23" s="134" t="inlineStr">
        <is>
          <t>고</t>
        </is>
      </c>
      <c r="K23" s="134" t="n">
        <v>23000</v>
      </c>
      <c r="L23" s="134" t="inlineStr">
        <is>
          <t>6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n">
        <v>73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지정면 원주롯데캐슬골드파크1차</t>
        </is>
      </c>
      <c r="B24" s="76" t="inlineStr">
        <is>
          <t>19.12.</t>
        </is>
      </c>
      <c r="C24" s="130" t="n">
        <v>624</v>
      </c>
      <c r="D24" s="131" t="n">
        <v>81.59999999999999</v>
      </c>
      <c r="E24" s="132" t="n">
        <v>25</v>
      </c>
      <c r="F24" s="131" t="n">
        <v>60</v>
      </c>
      <c r="G24" s="17" t="n">
        <v>18</v>
      </c>
      <c r="H24" s="133" t="n">
        <v>157</v>
      </c>
      <c r="I24" s="134" t="n">
        <v>33000</v>
      </c>
      <c r="J24" s="134" t="inlineStr">
        <is>
          <t>7</t>
        </is>
      </c>
      <c r="K24" s="134" t="n">
        <v>22000</v>
      </c>
      <c r="L24" s="134" t="inlineStr">
        <is>
          <t>18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111B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24" customFormat="1" customHeight="1" s="37">
      <c r="A25" s="75" t="inlineStr">
        <is>
          <t>지정면 원주기업도시유보라아이비파크2단지</t>
        </is>
      </c>
      <c r="B25" s="76" t="inlineStr">
        <is>
          <t>20.01.</t>
        </is>
      </c>
      <c r="C25" s="130" t="n">
        <v>794</v>
      </c>
      <c r="D25" s="131" t="n">
        <v>80.5</v>
      </c>
      <c r="E25" s="132" t="n">
        <v>24</v>
      </c>
      <c r="F25" s="131" t="n">
        <v>60</v>
      </c>
      <c r="G25" s="17" t="n">
        <v>18</v>
      </c>
      <c r="H25" s="133" t="n">
        <v>34</v>
      </c>
      <c r="I25" s="134" t="n">
        <v>29000</v>
      </c>
      <c r="J25" s="134" t="inlineStr">
        <is>
          <t>16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135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24" customFormat="1" customHeight="1" s="37">
      <c r="A26" s="75" t="inlineStr">
        <is>
          <t>지정면 원주기업도시호반베르디움(3-2블록)</t>
        </is>
      </c>
      <c r="B26" s="76" t="inlineStr">
        <is>
          <t>19.05.</t>
        </is>
      </c>
      <c r="C26" s="130" t="n">
        <v>824</v>
      </c>
      <c r="D26" s="131" t="n">
        <v>83.09999999999999</v>
      </c>
      <c r="E26" s="132" t="n">
        <v>25</v>
      </c>
      <c r="F26" s="131" t="n">
        <v>60</v>
      </c>
      <c r="G26" s="17" t="n">
        <v>18</v>
      </c>
      <c r="H26" s="133" t="n">
        <v>244</v>
      </c>
      <c r="I26" s="134" t="n">
        <v>28000</v>
      </c>
      <c r="J26" s="134" t="inlineStr">
        <is>
          <t>중</t>
        </is>
      </c>
      <c r="K26" s="134" t="n">
        <v>20000</v>
      </c>
      <c r="L26" s="134" t="inlineStr">
        <is>
          <t>8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inlineStr">
        <is>
          <t>87A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지정면 원주기업도시호반베르디움8단지</t>
        </is>
      </c>
      <c r="B27" s="76" t="inlineStr">
        <is>
          <t>18.08.</t>
        </is>
      </c>
      <c r="C27" s="130" t="n">
        <v>882</v>
      </c>
      <c r="D27" s="131" t="n">
        <v>85.7</v>
      </c>
      <c r="E27" s="132" t="n">
        <v>26</v>
      </c>
      <c r="F27" s="131" t="n">
        <v>59.9</v>
      </c>
      <c r="G27" s="17" t="n">
        <v>18</v>
      </c>
      <c r="H27" s="133" t="n">
        <v>337</v>
      </c>
      <c r="I27" s="134" t="n">
        <v>29000</v>
      </c>
      <c r="J27" s="134" t="inlineStr">
        <is>
          <t>10</t>
        </is>
      </c>
      <c r="K27" s="134" t="n">
        <v>20000</v>
      </c>
      <c r="L27" s="134" t="inlineStr">
        <is>
          <t>7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1</v>
      </c>
      <c r="R27" s="121" t="n">
        <v>1</v>
      </c>
      <c r="S27" s="121" t="inlineStr">
        <is>
          <t>계</t>
        </is>
      </c>
      <c r="T27" s="5" t="inlineStr">
        <is>
          <t>34B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지정면 원주롯데캐슬더퍼스트2차</t>
        </is>
      </c>
      <c r="B28" s="76" t="inlineStr">
        <is>
          <t>18.08.</t>
        </is>
      </c>
      <c r="C28" s="130" t="n">
        <v>1116</v>
      </c>
      <c r="D28" s="131" t="n">
        <v>84.59999999999999</v>
      </c>
      <c r="E28" s="132" t="n">
        <v>26</v>
      </c>
      <c r="F28" s="131" t="n">
        <v>60</v>
      </c>
      <c r="G28" s="17" t="n">
        <v>18</v>
      </c>
      <c r="H28" s="133" t="n">
        <v>571</v>
      </c>
      <c r="I28" s="134" t="n">
        <v>30000</v>
      </c>
      <c r="J28" s="134" t="inlineStr">
        <is>
          <t>15</t>
        </is>
      </c>
      <c r="K28" s="134" t="n">
        <v>21000</v>
      </c>
      <c r="L28" s="134" t="inlineStr">
        <is>
          <t>고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1</v>
      </c>
      <c r="R28" s="121" t="n">
        <v>1</v>
      </c>
      <c r="S28" s="121" t="inlineStr">
        <is>
          <t>계</t>
        </is>
      </c>
      <c r="T28" s="5" t="inlineStr">
        <is>
          <t>40B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지정면 원주롯데캐슬더퍼스트</t>
        </is>
      </c>
      <c r="B29" s="76" t="inlineStr">
        <is>
          <t>18.06.</t>
        </is>
      </c>
      <c r="C29" s="130" t="n">
        <v>1243</v>
      </c>
      <c r="D29" s="131" t="n">
        <v>85.09999999999999</v>
      </c>
      <c r="E29" s="132" t="n">
        <v>26</v>
      </c>
      <c r="F29" s="131" t="n">
        <v>60</v>
      </c>
      <c r="G29" s="17" t="n">
        <v>18</v>
      </c>
      <c r="H29" s="133" t="n">
        <v>532</v>
      </c>
      <c r="I29" s="134" t="n">
        <v>29000</v>
      </c>
      <c r="J29" s="134" t="inlineStr">
        <is>
          <t>고</t>
        </is>
      </c>
      <c r="K29" s="134" t="n">
        <v>20000</v>
      </c>
      <c r="L29" s="134" t="inlineStr">
        <is>
          <t>17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156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24" customFormat="1" customHeight="1" s="37">
      <c r="A30" s="75" t="inlineStr">
        <is>
          <t>지정면 원주기업도시호반베르디움(3-1블록)</t>
        </is>
      </c>
      <c r="B30" s="76" t="inlineStr">
        <is>
          <t>19.05.</t>
        </is>
      </c>
      <c r="C30" s="130" t="n">
        <v>892</v>
      </c>
      <c r="D30" s="131" t="n">
        <v>83.09999999999999</v>
      </c>
      <c r="E30" s="132" t="n">
        <v>25</v>
      </c>
      <c r="F30" s="131" t="n">
        <v>60</v>
      </c>
      <c r="G30" s="17" t="n">
        <v>18</v>
      </c>
      <c r="H30" s="133" t="n">
        <v>270</v>
      </c>
      <c r="I30" s="134" t="n">
        <v>26500</v>
      </c>
      <c r="J30" s="134" t="inlineStr">
        <is>
          <t>7</t>
        </is>
      </c>
      <c r="K30" s="134" t="n">
        <v>20000</v>
      </c>
      <c r="L30" s="134" t="inlineStr">
        <is>
          <t>고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126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24" customFormat="1" customHeight="1" s="37">
      <c r="A31" s="75" t="inlineStr">
        <is>
          <t>지정면 원주기업도시유보라아이비파크1단지</t>
        </is>
      </c>
      <c r="B31" s="76" t="inlineStr">
        <is>
          <t>20.01.</t>
        </is>
      </c>
      <c r="C31" s="130" t="n">
        <v>548</v>
      </c>
      <c r="D31" s="131" t="n">
        <v>81.3</v>
      </c>
      <c r="E31" s="132" t="n">
        <v>25</v>
      </c>
      <c r="F31" s="131" t="n">
        <v>60</v>
      </c>
      <c r="G31" s="17" t="n">
        <v>18</v>
      </c>
      <c r="H31" s="133" t="n">
        <v>178</v>
      </c>
      <c r="I31" s="134" t="n">
        <v>27000</v>
      </c>
      <c r="J31" s="134" t="inlineStr">
        <is>
          <t>중</t>
        </is>
      </c>
      <c r="K31" s="134" t="n">
        <v>22000</v>
      </c>
      <c r="L31" s="134" t="inlineStr">
        <is>
          <t>고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107D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지정면 원주기업도시라온프라이빗</t>
        </is>
      </c>
      <c r="B32" s="76" t="inlineStr">
        <is>
          <t>18.12.</t>
        </is>
      </c>
      <c r="C32" s="130" t="n">
        <v>713</v>
      </c>
      <c r="D32" s="131" t="n">
        <v>81.40000000000001</v>
      </c>
      <c r="E32" s="132" t="n">
        <v>25</v>
      </c>
      <c r="F32" s="131" t="n">
        <v>59.8</v>
      </c>
      <c r="G32" s="17" t="n">
        <v>18</v>
      </c>
      <c r="H32" s="133" t="n">
        <v>280</v>
      </c>
      <c r="I32" s="134" t="n">
        <v>27000</v>
      </c>
      <c r="J32" s="134" t="inlineStr">
        <is>
          <t>5</t>
        </is>
      </c>
      <c r="K32" s="134" t="n">
        <v>20000</v>
      </c>
      <c r="L32" s="134" t="inlineStr">
        <is>
          <t>22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105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지정면 이지더원1차</t>
        </is>
      </c>
      <c r="B33" s="76" t="inlineStr">
        <is>
          <t>19.01.</t>
        </is>
      </c>
      <c r="C33" s="130" t="n">
        <v>1430</v>
      </c>
      <c r="D33" s="131" t="n">
        <v>79.59999999999999</v>
      </c>
      <c r="E33" s="132" t="n">
        <v>24</v>
      </c>
      <c r="F33" s="131" t="n">
        <v>59.9</v>
      </c>
      <c r="G33" s="17" t="n">
        <v>18</v>
      </c>
      <c r="H33" s="133" t="n">
        <v>470</v>
      </c>
      <c r="I33" s="134" t="n">
        <v>26000</v>
      </c>
      <c r="J33" s="134" t="inlineStr">
        <is>
          <t>고</t>
        </is>
      </c>
      <c r="K33" s="134" t="n">
        <v>19000</v>
      </c>
      <c r="L33" s="134" t="inlineStr">
        <is>
          <t>고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복</t>
        </is>
      </c>
      <c r="T33" s="5" t="n">
        <v>61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우산동 한라비발디2차</t>
        </is>
      </c>
      <c r="B34" s="76" t="inlineStr">
        <is>
          <t>14.09.</t>
        </is>
      </c>
      <c r="C34" s="130" t="n">
        <v>717</v>
      </c>
      <c r="D34" s="131" t="n">
        <v>110.4</v>
      </c>
      <c r="E34" s="132" t="n">
        <v>33</v>
      </c>
      <c r="F34" s="131" t="n">
        <v>84.5</v>
      </c>
      <c r="G34" s="17" t="n">
        <v>26</v>
      </c>
      <c r="H34" s="133" t="n">
        <v>236</v>
      </c>
      <c r="I34" s="134" t="n">
        <v>30000</v>
      </c>
      <c r="J34" s="134" t="inlineStr">
        <is>
          <t>10</t>
        </is>
      </c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126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반곡동 중흥에스-클래스프라디움</t>
        </is>
      </c>
      <c r="B35" s="76" t="inlineStr">
        <is>
          <t>16.10.</t>
        </is>
      </c>
      <c r="C35" s="130" t="n">
        <v>850</v>
      </c>
      <c r="D35" s="131" t="n">
        <v>112.6</v>
      </c>
      <c r="E35" s="132" t="n">
        <v>34</v>
      </c>
      <c r="F35" s="131" t="n">
        <v>85</v>
      </c>
      <c r="G35" s="17" t="n">
        <v>26</v>
      </c>
      <c r="H35" s="133" t="n">
        <v>246</v>
      </c>
      <c r="I35" s="134" t="n">
        <v>47000</v>
      </c>
      <c r="J35" s="134" t="inlineStr">
        <is>
          <t>중</t>
        </is>
      </c>
      <c r="K35" s="134" t="n">
        <v>34000</v>
      </c>
      <c r="L35" s="134" t="inlineStr">
        <is>
          <t>중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2</v>
      </c>
      <c r="R35" s="121" t="n">
        <v>1</v>
      </c>
      <c r="S35" s="121" t="inlineStr">
        <is>
          <t>계</t>
        </is>
      </c>
      <c r="T35" s="5" t="n">
        <v>57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반곡동 힐데스하임5단지</t>
        </is>
      </c>
      <c r="B36" s="76" t="inlineStr">
        <is>
          <t>15.05.</t>
        </is>
      </c>
      <c r="C36" s="130" t="n">
        <v>682</v>
      </c>
      <c r="D36" s="131" t="n">
        <v>114.8</v>
      </c>
      <c r="E36" s="132" t="n">
        <v>35</v>
      </c>
      <c r="F36" s="131" t="n">
        <v>85</v>
      </c>
      <c r="G36" s="17" t="n">
        <v>26</v>
      </c>
      <c r="H36" s="133" t="n">
        <v>216</v>
      </c>
      <c r="I36" s="134" t="n">
        <v>50000</v>
      </c>
      <c r="J36" s="134" t="inlineStr">
        <is>
          <t>17</t>
        </is>
      </c>
      <c r="K36" s="134" t="n">
        <v>35000</v>
      </c>
      <c r="L36" s="134" t="inlineStr">
        <is>
          <t>18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1</v>
      </c>
      <c r="S36" s="121" t="inlineStr">
        <is>
          <t>복</t>
        </is>
      </c>
      <c r="T36" s="5" t="n">
        <v>95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반곡동 반곡모아엘가</t>
        </is>
      </c>
      <c r="B37" s="76" t="inlineStr">
        <is>
          <t>17.07.</t>
        </is>
      </c>
      <c r="C37" s="130" t="n">
        <v>418</v>
      </c>
      <c r="D37" s="131" t="n">
        <v>109.6</v>
      </c>
      <c r="E37" s="132" t="n">
        <v>33</v>
      </c>
      <c r="F37" s="131" t="n">
        <v>84.90000000000001</v>
      </c>
      <c r="G37" s="17" t="n">
        <v>26</v>
      </c>
      <c r="H37" s="133" t="n">
        <v>258</v>
      </c>
      <c r="I37" s="134" t="n">
        <v>40000</v>
      </c>
      <c r="J37" s="134" t="inlineStr">
        <is>
          <t>고</t>
        </is>
      </c>
      <c r="K37" s="134" t="n">
        <v>32000</v>
      </c>
      <c r="L37" s="134" t="inlineStr">
        <is>
          <t>15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계</t>
        </is>
      </c>
      <c r="T37" s="5" t="n">
        <v>79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반곡동 푸른숨LH3단지</t>
        </is>
      </c>
      <c r="B38" s="76" t="inlineStr">
        <is>
          <t>15.06.</t>
        </is>
      </c>
      <c r="C38" s="130" t="n">
        <v>728</v>
      </c>
      <c r="D38" s="131" t="n">
        <v>109.6</v>
      </c>
      <c r="E38" s="132" t="n">
        <v>33</v>
      </c>
      <c r="F38" s="131" t="n">
        <v>84.90000000000001</v>
      </c>
      <c r="G38" s="17" t="n">
        <v>26</v>
      </c>
      <c r="H38" s="133" t="n">
        <v>191</v>
      </c>
      <c r="I38" s="134" t="n">
        <v>37000</v>
      </c>
      <c r="J38" s="134" t="inlineStr">
        <is>
          <t>중</t>
        </is>
      </c>
      <c r="K38" s="134" t="n">
        <v>30000</v>
      </c>
      <c r="L38" s="134" t="inlineStr">
        <is>
          <t>중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108C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반곡동 e편한세상반곡</t>
        </is>
      </c>
      <c r="B39" s="76" t="inlineStr">
        <is>
          <t>18.11.</t>
        </is>
      </c>
      <c r="C39" s="130" t="n">
        <v>508</v>
      </c>
      <c r="D39" s="131" t="n">
        <v>111.3</v>
      </c>
      <c r="E39" s="132" t="n">
        <v>34</v>
      </c>
      <c r="F39" s="131" t="n">
        <v>85</v>
      </c>
      <c r="G39" s="17" t="n">
        <v>26</v>
      </c>
      <c r="H39" s="133" t="n">
        <v>84</v>
      </c>
      <c r="I39" s="134" t="n">
        <v>39500</v>
      </c>
      <c r="J39" s="134" t="inlineStr">
        <is>
          <t>고</t>
        </is>
      </c>
      <c r="K39" s="134" t="n">
        <v>30000</v>
      </c>
      <c r="L39" s="134" t="inlineStr">
        <is>
          <t>고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1</v>
      </c>
      <c r="R39" s="121" t="n">
        <v>1</v>
      </c>
      <c r="S39" s="121" t="inlineStr">
        <is>
          <t>계</t>
        </is>
      </c>
      <c r="T39" s="5" t="inlineStr">
        <is>
          <t>33A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반곡동 LH센트럴파크</t>
        </is>
      </c>
      <c r="B40" s="76" t="inlineStr">
        <is>
          <t>19.02.</t>
        </is>
      </c>
      <c r="C40" s="130" t="n">
        <v>855</v>
      </c>
      <c r="D40" s="131" t="n">
        <v>110.9</v>
      </c>
      <c r="E40" s="132" t="n">
        <v>34</v>
      </c>
      <c r="F40" s="131" t="n">
        <v>85</v>
      </c>
      <c r="G40" s="17" t="n">
        <v>26</v>
      </c>
      <c r="H40" s="133" t="n">
        <v>601</v>
      </c>
      <c r="I40" s="134" t="n">
        <v>38000</v>
      </c>
      <c r="J40" s="134" t="inlineStr">
        <is>
          <t>고</t>
        </is>
      </c>
      <c r="K40" s="134" t="n">
        <v>29000</v>
      </c>
      <c r="L40" s="134" t="inlineStr">
        <is>
          <t>7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1</v>
      </c>
      <c r="S40" s="121" t="inlineStr">
        <is>
          <t>계</t>
        </is>
      </c>
      <c r="T40" s="5" t="n">
        <v>80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반곡동 푸른숨휴브레스</t>
        </is>
      </c>
      <c r="B41" s="76" t="inlineStr">
        <is>
          <t>13.12.</t>
        </is>
      </c>
      <c r="C41" s="130" t="n">
        <v>1110</v>
      </c>
      <c r="D41" s="131" t="n">
        <v>109.1</v>
      </c>
      <c r="E41" s="132" t="n">
        <v>33</v>
      </c>
      <c r="F41" s="131" t="n">
        <v>84.90000000000001</v>
      </c>
      <c r="G41" s="17" t="n">
        <v>26</v>
      </c>
      <c r="H41" s="133" t="n">
        <v>770</v>
      </c>
      <c r="I41" s="134" t="n">
        <v>37000</v>
      </c>
      <c r="J41" s="134" t="inlineStr">
        <is>
          <t>고</t>
        </is>
      </c>
      <c r="K41" s="134" t="n">
        <v>27000</v>
      </c>
      <c r="L41" s="134" t="inlineStr">
        <is>
          <t>6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복</t>
        </is>
      </c>
      <c r="T41" s="5" t="n">
        <v>79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반곡동 반곡퍼스트힐</t>
        </is>
      </c>
      <c r="B42" s="76" t="inlineStr">
        <is>
          <t>14.10.</t>
        </is>
      </c>
      <c r="C42" s="130" t="n">
        <v>424</v>
      </c>
      <c r="D42" s="131" t="n">
        <v>109.7</v>
      </c>
      <c r="E42" s="132" t="n">
        <v>33</v>
      </c>
      <c r="F42" s="131" t="n">
        <v>85</v>
      </c>
      <c r="G42" s="17" t="n">
        <v>26</v>
      </c>
      <c r="H42" s="133" t="n">
        <v>251</v>
      </c>
      <c r="I42" s="134" t="n">
        <v>31500</v>
      </c>
      <c r="J42" s="134" t="inlineStr">
        <is>
          <t>6</t>
        </is>
      </c>
      <c r="K42" s="134" t="n">
        <v>25000</v>
      </c>
      <c r="L42" s="134" t="inlineStr">
        <is>
          <t>14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inlineStr">
        <is>
          <t>161A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반곡동 e편한세상반곡</t>
        </is>
      </c>
      <c r="B43" s="76" t="inlineStr">
        <is>
          <t>18.11.</t>
        </is>
      </c>
      <c r="C43" s="130" t="n">
        <v>508</v>
      </c>
      <c r="D43" s="131" t="n">
        <v>84.5</v>
      </c>
      <c r="E43" s="132" t="n">
        <v>26</v>
      </c>
      <c r="F43" s="131" t="n">
        <v>59.8</v>
      </c>
      <c r="G43" s="17" t="n">
        <v>18</v>
      </c>
      <c r="H43" s="133" t="n">
        <v>164</v>
      </c>
      <c r="I43" s="134" t="n">
        <v>28900</v>
      </c>
      <c r="J43" s="134" t="inlineStr">
        <is>
          <t>8</t>
        </is>
      </c>
      <c r="K43" s="134" t="n">
        <v>23000</v>
      </c>
      <c r="L43" s="134" t="inlineStr">
        <is>
          <t>10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107A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문막읍 서원주코아루아너스</t>
        </is>
      </c>
      <c r="B44" s="76" t="inlineStr">
        <is>
          <t>18.04.</t>
        </is>
      </c>
      <c r="C44" s="130" t="n">
        <v>842</v>
      </c>
      <c r="D44" s="131" t="n">
        <v>117.4</v>
      </c>
      <c r="E44" s="132" t="n">
        <v>35</v>
      </c>
      <c r="F44" s="131" t="n">
        <v>84.59999999999999</v>
      </c>
      <c r="G44" s="17" t="n">
        <v>26</v>
      </c>
      <c r="H44" s="133" t="n">
        <v>376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n">
        <v>103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무실동 더샵원주센트럴파크1단지</t>
        </is>
      </c>
      <c r="B45" s="76" t="inlineStr">
        <is>
          <t>21.11.</t>
        </is>
      </c>
      <c r="C45" s="130" t="n">
        <v>936</v>
      </c>
      <c r="D45" s="131" t="n">
        <v>111.6</v>
      </c>
      <c r="E45" s="132" t="n">
        <v>34</v>
      </c>
      <c r="F45" s="131" t="n">
        <v>85</v>
      </c>
      <c r="G45" s="17" t="n">
        <v>26</v>
      </c>
      <c r="H45" s="133" t="n">
        <v>272</v>
      </c>
      <c r="I45" s="134" t="n">
        <v>55534</v>
      </c>
      <c r="J45" s="134" t="inlineStr">
        <is>
          <t>중</t>
        </is>
      </c>
      <c r="K45" s="134" t="n">
        <v>29500</v>
      </c>
      <c r="L45" s="134" t="inlineStr">
        <is>
          <t>8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115B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무실동 무실우미린</t>
        </is>
      </c>
      <c r="B46" s="76" t="inlineStr">
        <is>
          <t>14.09.</t>
        </is>
      </c>
      <c r="C46" s="130" t="n">
        <v>653</v>
      </c>
      <c r="D46" s="131" t="n">
        <v>111.5</v>
      </c>
      <c r="E46" s="132" t="n">
        <v>34</v>
      </c>
      <c r="F46" s="131" t="n">
        <v>85</v>
      </c>
      <c r="G46" s="17" t="n">
        <v>26</v>
      </c>
      <c r="H46" s="133" t="n">
        <v>245</v>
      </c>
      <c r="I46" s="134" t="n">
        <v>50000</v>
      </c>
      <c r="J46" s="134" t="inlineStr">
        <is>
          <t>12</t>
        </is>
      </c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1</v>
      </c>
      <c r="S46" s="121" t="inlineStr">
        <is>
          <t>복</t>
        </is>
      </c>
      <c r="T46" s="5" t="n">
        <v>94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무실동 원주무실세영리첼1차</t>
        </is>
      </c>
      <c r="B47" s="76" t="inlineStr">
        <is>
          <t>14.06.</t>
        </is>
      </c>
      <c r="C47" s="130" t="n">
        <v>482</v>
      </c>
      <c r="D47" s="131" t="n">
        <v>108.4</v>
      </c>
      <c r="E47" s="132" t="n">
        <v>33</v>
      </c>
      <c r="F47" s="131" t="n">
        <v>84.90000000000001</v>
      </c>
      <c r="G47" s="17" t="n">
        <v>26</v>
      </c>
      <c r="H47" s="133" t="n">
        <v>72</v>
      </c>
      <c r="I47" s="134" t="n">
        <v>48000</v>
      </c>
      <c r="J47" s="134" t="inlineStr">
        <is>
          <t>중</t>
        </is>
      </c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inlineStr">
        <is>
          <t>194A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무실동 원주무실세영리첼2차</t>
        </is>
      </c>
      <c r="B48" s="76" t="inlineStr">
        <is>
          <t>15.04.</t>
        </is>
      </c>
      <c r="C48" s="130" t="n">
        <v>526</v>
      </c>
      <c r="D48" s="131" t="n">
        <v>110.4</v>
      </c>
      <c r="E48" s="132" t="n">
        <v>33</v>
      </c>
      <c r="F48" s="131" t="n">
        <v>85</v>
      </c>
      <c r="G48" s="17" t="n">
        <v>26</v>
      </c>
      <c r="H48" s="133" t="n">
        <v>129</v>
      </c>
      <c r="I48" s="134" t="n">
        <v>47000</v>
      </c>
      <c r="J48" s="134" t="inlineStr">
        <is>
          <t>7</t>
        </is>
      </c>
      <c r="K48" s="134" t="n">
        <v>35000</v>
      </c>
      <c r="L48" s="134" t="inlineStr">
        <is>
          <t>고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116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무실동 무실우미린</t>
        </is>
      </c>
      <c r="B49" s="76" t="inlineStr">
        <is>
          <t>14.09.</t>
        </is>
      </c>
      <c r="C49" s="130" t="n">
        <v>653</v>
      </c>
      <c r="D49" s="131" t="n">
        <v>98.2</v>
      </c>
      <c r="E49" s="132" t="n">
        <v>30</v>
      </c>
      <c r="F49" s="131" t="n">
        <v>75.3</v>
      </c>
      <c r="G49" s="17" t="n">
        <v>23</v>
      </c>
      <c r="H49" s="133" t="n">
        <v>221</v>
      </c>
      <c r="I49" s="134" t="n">
        <v>42000</v>
      </c>
      <c r="J49" s="134" t="inlineStr">
        <is>
          <t>10</t>
        </is>
      </c>
      <c r="K49" s="134" t="n">
        <v>29000</v>
      </c>
      <c r="L49" s="134" t="inlineStr">
        <is>
          <t>12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복</t>
        </is>
      </c>
      <c r="T49" s="5" t="inlineStr">
        <is>
          <t>79B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무실동 더샵원주센트럴파크1단지</t>
        </is>
      </c>
      <c r="B50" s="76" t="inlineStr">
        <is>
          <t>21.11.</t>
        </is>
      </c>
      <c r="C50" s="130" t="n">
        <v>936</v>
      </c>
      <c r="D50" s="131" t="n">
        <v>80</v>
      </c>
      <c r="E50" s="132" t="n">
        <v>24</v>
      </c>
      <c r="F50" s="131" t="n">
        <v>60</v>
      </c>
      <c r="G50" s="17" t="n">
        <v>18</v>
      </c>
      <c r="H50" s="133" t="n">
        <v>312</v>
      </c>
      <c r="I50" s="134" t="n"/>
      <c r="J50" s="134" t="n"/>
      <c r="K50" s="134" t="n">
        <v>26000</v>
      </c>
      <c r="L50" s="134" t="inlineStr">
        <is>
          <t>중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85B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무실동 사랑으로부영</t>
        </is>
      </c>
      <c r="B51" s="76" t="inlineStr">
        <is>
          <t>12.07.</t>
        </is>
      </c>
      <c r="C51" s="130" t="n">
        <v>639</v>
      </c>
      <c r="D51" s="131" t="n">
        <v>88.59999999999999</v>
      </c>
      <c r="E51" s="132" t="n">
        <v>27</v>
      </c>
      <c r="F51" s="131" t="n">
        <v>59.9</v>
      </c>
      <c r="G51" s="17" t="n">
        <v>18</v>
      </c>
      <c r="H51" s="133" t="n">
        <v>337</v>
      </c>
      <c r="I51" s="134" t="n">
        <v>32000</v>
      </c>
      <c r="J51" s="134" t="inlineStr">
        <is>
          <t>중</t>
        </is>
      </c>
      <c r="K51" s="134" t="n">
        <v>25000</v>
      </c>
      <c r="L51" s="134" t="inlineStr">
        <is>
          <t>중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107C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명륜동 원주더샵센트럴파크2단지</t>
        </is>
      </c>
      <c r="B52" s="76" t="inlineStr">
        <is>
          <t>22.01.</t>
        </is>
      </c>
      <c r="C52" s="130" t="n">
        <v>838</v>
      </c>
      <c r="D52" s="131" t="n">
        <v>109</v>
      </c>
      <c r="E52" s="132" t="n">
        <v>33</v>
      </c>
      <c r="F52" s="131" t="n">
        <v>85</v>
      </c>
      <c r="G52" s="17" t="n">
        <v>26</v>
      </c>
      <c r="H52" s="133" t="n">
        <v>483</v>
      </c>
      <c r="I52" s="134" t="n">
        <v>51000</v>
      </c>
      <c r="J52" s="134" t="inlineStr">
        <is>
          <t>20</t>
        </is>
      </c>
      <c r="K52" s="134" t="n">
        <v>27000</v>
      </c>
      <c r="L52" s="134" t="inlineStr">
        <is>
          <t>중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n">
        <v>51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24" customFormat="1" customHeight="1" s="37">
      <c r="A53" s="75" t="inlineStr">
        <is>
          <t>단구동 원주단구내안애카운티에듀파크2단지</t>
        </is>
      </c>
      <c r="B53" s="76" t="inlineStr">
        <is>
          <t>20.06.</t>
        </is>
      </c>
      <c r="C53" s="130" t="n">
        <v>348</v>
      </c>
      <c r="D53" s="131" t="n">
        <v>108.3</v>
      </c>
      <c r="E53" s="132" t="n">
        <v>33</v>
      </c>
      <c r="F53" s="131" t="n">
        <v>84.90000000000001</v>
      </c>
      <c r="G53" s="17" t="n">
        <v>26</v>
      </c>
      <c r="H53" s="133" t="n">
        <v>203</v>
      </c>
      <c r="I53" s="134" t="n">
        <v>40000</v>
      </c>
      <c r="J53" s="134" t="inlineStr">
        <is>
          <t>13</t>
        </is>
      </c>
      <c r="K53" s="134" t="n">
        <v>30000</v>
      </c>
      <c r="L53" s="134" t="inlineStr">
        <is>
          <t>6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1</v>
      </c>
      <c r="S53" s="121" t="inlineStr">
        <is>
          <t>계</t>
        </is>
      </c>
      <c r="T53" s="5" t="n">
        <v>61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24" customFormat="1" customHeight="1" s="37">
      <c r="A54" s="75" t="inlineStr">
        <is>
          <t>단구동 원주단구내안애카운티에듀파크1단지</t>
        </is>
      </c>
      <c r="B54" s="76" t="inlineStr">
        <is>
          <t>20.06.</t>
        </is>
      </c>
      <c r="C54" s="130" t="n">
        <v>571</v>
      </c>
      <c r="D54" s="131" t="n">
        <v>107.3</v>
      </c>
      <c r="E54" s="132" t="n">
        <v>32</v>
      </c>
      <c r="F54" s="131" t="n">
        <v>84.90000000000001</v>
      </c>
      <c r="G54" s="17" t="n">
        <v>26</v>
      </c>
      <c r="H54" s="133" t="n">
        <v>421</v>
      </c>
      <c r="I54" s="134" t="n">
        <v>37000</v>
      </c>
      <c r="J54" s="134" t="inlineStr">
        <is>
          <t>12</t>
        </is>
      </c>
      <c r="K54" s="134" t="n">
        <v>29000</v>
      </c>
      <c r="L54" s="134" t="inlineStr">
        <is>
          <t>12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158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단구동 단구한신더휴</t>
        </is>
      </c>
      <c r="B55" s="76" t="inlineStr">
        <is>
          <t>17.11.</t>
        </is>
      </c>
      <c r="C55" s="130" t="n">
        <v>724</v>
      </c>
      <c r="D55" s="131" t="n">
        <v>114.2</v>
      </c>
      <c r="E55" s="132" t="n">
        <v>35</v>
      </c>
      <c r="F55" s="131" t="n">
        <v>84.90000000000001</v>
      </c>
      <c r="G55" s="17" t="n">
        <v>26</v>
      </c>
      <c r="H55" s="133" t="n">
        <v>217</v>
      </c>
      <c r="I55" s="134" t="n">
        <v>36000</v>
      </c>
      <c r="J55" s="134" t="inlineStr">
        <is>
          <t>6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inlineStr">
        <is>
          <t>109A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단계동 원주봉화산벨라시티3차</t>
        </is>
      </c>
      <c r="B56" s="76" t="inlineStr">
        <is>
          <t>20.11.</t>
        </is>
      </c>
      <c r="C56" s="130" t="n">
        <v>499</v>
      </c>
      <c r="D56" s="131" t="n">
        <v>115.4</v>
      </c>
      <c r="E56" s="132" t="n">
        <v>35</v>
      </c>
      <c r="F56" s="131" t="n">
        <v>85</v>
      </c>
      <c r="G56" s="17" t="n">
        <v>26</v>
      </c>
      <c r="H56" s="133" t="n">
        <v>121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4</v>
      </c>
      <c r="R56" s="121" t="n">
        <v>2</v>
      </c>
      <c r="S56" s="121" t="inlineStr">
        <is>
          <t>계</t>
        </is>
      </c>
      <c r="T56" s="5" t="inlineStr">
        <is>
          <t>164C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단계동 원주봉화산푸르지오</t>
        </is>
      </c>
      <c r="B57" s="76" t="inlineStr">
        <is>
          <t>17.11.</t>
        </is>
      </c>
      <c r="C57" s="130" t="n">
        <v>996</v>
      </c>
      <c r="D57" s="131" t="n">
        <v>109.8</v>
      </c>
      <c r="E57" s="132" t="n">
        <v>33</v>
      </c>
      <c r="F57" s="131" t="n">
        <v>84.90000000000001</v>
      </c>
      <c r="G57" s="17" t="n">
        <v>26</v>
      </c>
      <c r="H57" s="133" t="n">
        <v>169</v>
      </c>
      <c r="I57" s="134" t="n">
        <v>42000</v>
      </c>
      <c r="J57" s="134" t="inlineStr">
        <is>
          <t>5</t>
        </is>
      </c>
      <c r="K57" s="134" t="n">
        <v>27000</v>
      </c>
      <c r="L57" s="134" t="inlineStr">
        <is>
          <t>11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1</v>
      </c>
      <c r="S57" s="121" t="inlineStr">
        <is>
          <t>계</t>
        </is>
      </c>
      <c r="T57" s="5" t="inlineStr">
        <is>
          <t>77B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단계동 원주봉화산벨라시티2차</t>
        </is>
      </c>
      <c r="B58" s="76" t="inlineStr">
        <is>
          <t>18.12.</t>
        </is>
      </c>
      <c r="C58" s="130" t="n">
        <v>839</v>
      </c>
      <c r="D58" s="131" t="n">
        <v>115.8</v>
      </c>
      <c r="E58" s="132" t="n">
        <v>35</v>
      </c>
      <c r="F58" s="131" t="n">
        <v>85</v>
      </c>
      <c r="G58" s="17" t="n">
        <v>26</v>
      </c>
      <c r="H58" s="133" t="n">
        <v>322</v>
      </c>
      <c r="I58" s="134" t="n">
        <v>40000</v>
      </c>
      <c r="J58" s="134" t="inlineStr">
        <is>
          <t>8</t>
        </is>
      </c>
      <c r="K58" s="134" t="n">
        <v>32000</v>
      </c>
      <c r="L58" s="134" t="inlineStr">
        <is>
          <t>14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115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단계동 봉화산벨라시티</t>
        </is>
      </c>
      <c r="B59" s="76" t="inlineStr">
        <is>
          <t>16.10.</t>
        </is>
      </c>
      <c r="C59" s="130" t="n">
        <v>566</v>
      </c>
      <c r="D59" s="131" t="n">
        <v>110.9</v>
      </c>
      <c r="E59" s="132" t="n">
        <v>34</v>
      </c>
      <c r="F59" s="131" t="n">
        <v>85</v>
      </c>
      <c r="G59" s="17" t="n">
        <v>26</v>
      </c>
      <c r="H59" s="133" t="n">
        <v>92</v>
      </c>
      <c r="I59" s="134" t="n">
        <v>37000</v>
      </c>
      <c r="J59" s="134" t="inlineStr">
        <is>
          <t>8</t>
        </is>
      </c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1</v>
      </c>
      <c r="S59" s="121" t="inlineStr">
        <is>
          <t>계</t>
        </is>
      </c>
      <c r="T59" s="5" t="n">
        <v>77</v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단계동 원주봉화산푸르지오</t>
        </is>
      </c>
      <c r="B60" s="76" t="inlineStr">
        <is>
          <t>17.11.</t>
        </is>
      </c>
      <c r="C60" s="130" t="n">
        <v>996</v>
      </c>
      <c r="D60" s="131" t="n">
        <v>98.59999999999999</v>
      </c>
      <c r="E60" s="132" t="n">
        <v>30</v>
      </c>
      <c r="F60" s="131" t="n">
        <v>72.90000000000001</v>
      </c>
      <c r="G60" s="17" t="n">
        <v>22</v>
      </c>
      <c r="H60" s="133" t="n">
        <v>323</v>
      </c>
      <c r="I60" s="134" t="n">
        <v>35500</v>
      </c>
      <c r="J60" s="134" t="inlineStr">
        <is>
          <t>10</t>
        </is>
      </c>
      <c r="K60" s="134" t="n">
        <v>26000</v>
      </c>
      <c r="L60" s="134" t="inlineStr">
        <is>
          <t>22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1</v>
      </c>
      <c r="S60" s="121" t="inlineStr">
        <is>
          <t>계</t>
        </is>
      </c>
      <c r="T60" s="5" t="inlineStr">
        <is>
          <t>77A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단계동 원주봉화산벨라시티3차</t>
        </is>
      </c>
      <c r="B61" s="76" t="inlineStr">
        <is>
          <t>20.11.</t>
        </is>
      </c>
      <c r="C61" s="130" t="n">
        <v>499</v>
      </c>
      <c r="D61" s="131" t="n">
        <v>83.09999999999999</v>
      </c>
      <c r="E61" s="132" t="n">
        <v>25</v>
      </c>
      <c r="F61" s="131" t="n">
        <v>59.9</v>
      </c>
      <c r="G61" s="17" t="n">
        <v>18</v>
      </c>
      <c r="H61" s="133" t="n">
        <v>126</v>
      </c>
      <c r="I61" s="134" t="n">
        <v>32000</v>
      </c>
      <c r="J61" s="134" t="inlineStr">
        <is>
          <t>16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4</v>
      </c>
      <c r="R61" s="121" t="n">
        <v>2</v>
      </c>
      <c r="S61" s="121" t="inlineStr">
        <is>
          <t>계</t>
        </is>
      </c>
      <c r="T61" s="5" t="inlineStr">
        <is>
          <t>163B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단계동 원주봉화산벨라시티2차</t>
        </is>
      </c>
      <c r="B62" s="76" t="inlineStr">
        <is>
          <t>18.12.</t>
        </is>
      </c>
      <c r="C62" s="130" t="n">
        <v>839</v>
      </c>
      <c r="D62" s="131" t="n">
        <v>83.8</v>
      </c>
      <c r="E62" s="132" t="n">
        <v>25</v>
      </c>
      <c r="F62" s="131" t="n">
        <v>60</v>
      </c>
      <c r="G62" s="17" t="n">
        <v>18</v>
      </c>
      <c r="H62" s="133" t="n">
        <v>74</v>
      </c>
      <c r="I62" s="134" t="n">
        <v>32000</v>
      </c>
      <c r="J62" s="134" t="inlineStr">
        <is>
          <t>중</t>
        </is>
      </c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계</t>
        </is>
      </c>
      <c r="T62" s="5" t="n">
        <v>78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단계동 원주봉화산푸르지오</t>
        </is>
      </c>
      <c r="B63" s="76" t="inlineStr">
        <is>
          <t>17.11.</t>
        </is>
      </c>
      <c r="C63" s="130" t="n">
        <v>996</v>
      </c>
      <c r="D63" s="131" t="n">
        <v>85</v>
      </c>
      <c r="E63" s="132" t="n">
        <v>26</v>
      </c>
      <c r="F63" s="131" t="n">
        <v>60.8</v>
      </c>
      <c r="G63" s="17" t="n">
        <v>18</v>
      </c>
      <c r="H63" s="133" t="n">
        <v>337</v>
      </c>
      <c r="I63" s="134" t="n">
        <v>29000</v>
      </c>
      <c r="J63" s="134" t="inlineStr">
        <is>
          <t>13</t>
        </is>
      </c>
      <c r="K63" s="134" t="n">
        <v>22000</v>
      </c>
      <c r="L63" s="134" t="inlineStr">
        <is>
          <t>9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2</v>
      </c>
      <c r="R63" s="121" t="n">
        <v>1</v>
      </c>
      <c r="S63" s="121" t="inlineStr">
        <is>
          <t>계</t>
        </is>
      </c>
      <c r="T63" s="5" t="inlineStr">
        <is>
          <t>78A</t>
        </is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단계동 봉화산벨라시티</t>
        </is>
      </c>
      <c r="B64" s="76" t="inlineStr">
        <is>
          <t>16.10.</t>
        </is>
      </c>
      <c r="C64" s="130" t="n">
        <v>566</v>
      </c>
      <c r="D64" s="131" t="n">
        <v>87.90000000000001</v>
      </c>
      <c r="E64" s="132" t="n">
        <v>27</v>
      </c>
      <c r="F64" s="131" t="n">
        <v>59.9</v>
      </c>
      <c r="G64" s="17" t="n">
        <v>18</v>
      </c>
      <c r="H64" s="133" t="n">
        <v>164</v>
      </c>
      <c r="I64" s="134" t="n">
        <v>28000</v>
      </c>
      <c r="J64" s="134" t="inlineStr">
        <is>
          <t>중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복</t>
        </is>
      </c>
      <c r="T64" s="5" t="inlineStr">
        <is>
          <t>115A</t>
        </is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6.5" customFormat="1" customHeight="1" s="37">
      <c r="A65" s="74" t="n"/>
      <c r="B65" s="74" t="n"/>
      <c r="C65" s="74" t="n"/>
      <c r="D65" s="74" t="n"/>
      <c r="E65" s="74" t="n"/>
      <c r="F65" s="74" t="n"/>
      <c r="G65" s="74" t="n"/>
      <c r="H65" s="74" t="n"/>
      <c r="I65" s="74" t="n"/>
      <c r="J65" s="74" t="n"/>
      <c r="K65" s="74" t="n"/>
      <c r="L65" s="74" t="n"/>
      <c r="M65" s="74" t="n"/>
      <c r="N65" s="74" t="n"/>
      <c r="O65" s="74" t="n"/>
      <c r="P65" s="74" t="n"/>
      <c r="Q65" s="74" t="n"/>
      <c r="R65" s="74" t="n"/>
      <c r="S65" s="74" t="n"/>
      <c r="T65" s="74" t="n"/>
      <c r="U65" s="74" t="n"/>
      <c r="V65" s="74" t="n"/>
      <c r="W65" s="74" t="n"/>
      <c r="X65" s="74" t="n"/>
      <c r="Y65" s="74" t="n"/>
      <c r="Z65" s="74" t="n"/>
      <c r="AA65" s="74" t="n"/>
      <c r="AB65" s="74" t="n"/>
      <c r="AC65" s="74" t="n"/>
      <c r="AD65" s="74" t="n"/>
      <c r="AE65" s="74" t="n"/>
      <c r="AF65" s="74" t="n"/>
      <c r="AG65" s="74" t="n"/>
      <c r="AH65" s="74" t="n"/>
      <c r="AI65" s="74" t="n"/>
      <c r="AJ65" s="74" t="n"/>
      <c r="AK65" s="74" t="n"/>
      <c r="AL65" s="74" t="n"/>
      <c r="AM65" s="74" t="n"/>
      <c r="AN65" s="74" t="n"/>
      <c r="AO65" s="74" t="n"/>
      <c r="AP65" s="74" t="n"/>
      <c r="AQ65" s="74" t="n"/>
      <c r="AR65" s="74" t="n"/>
      <c r="AS65" s="74" t="n"/>
      <c r="AT65" s="74" t="n"/>
      <c r="AU65" s="74" t="n"/>
      <c r="AV65" s="74" t="n"/>
      <c r="AX65" s="138" t="n">
        <v>2005</v>
      </c>
      <c r="AY65" s="138" t="n">
        <v>3</v>
      </c>
      <c r="AZ65" s="64" t="n"/>
    </row>
    <row r="66" ht="16.5" customFormat="1" customHeight="1" s="37">
      <c r="A66" s="74" t="n"/>
      <c r="B66" s="74" t="n"/>
      <c r="C66" s="74" t="n"/>
      <c r="D66" s="74" t="n"/>
      <c r="E66" s="74" t="n"/>
      <c r="F66" s="74" t="n"/>
      <c r="G66" s="74" t="n"/>
      <c r="H66" s="74" t="n"/>
      <c r="I66" s="74" t="n"/>
      <c r="J66" s="74" t="n"/>
      <c r="K66" s="74" t="n"/>
      <c r="L66" s="74" t="n"/>
      <c r="M66" s="74" t="n"/>
      <c r="N66" s="74" t="n"/>
      <c r="O66" s="74" t="n"/>
      <c r="P66" s="74" t="n"/>
      <c r="Q66" s="74" t="n"/>
      <c r="R66" s="74" t="n"/>
      <c r="S66" s="74" t="n"/>
      <c r="T66" s="74" t="n"/>
      <c r="U66" s="74" t="n"/>
      <c r="V66" s="74" t="n"/>
      <c r="W66" s="74" t="n"/>
      <c r="X66" s="74" t="n"/>
      <c r="Y66" s="74" t="n"/>
      <c r="Z66" s="74" t="n"/>
      <c r="AA66" s="74" t="n"/>
      <c r="AB66" s="74" t="n"/>
      <c r="AC66" s="74" t="n"/>
      <c r="AD66" s="74" t="n"/>
      <c r="AE66" s="74" t="n"/>
      <c r="AF66" s="74" t="n"/>
      <c r="AG66" s="74" t="n"/>
      <c r="AH66" s="74" t="n"/>
      <c r="AI66" s="74" t="n"/>
      <c r="AJ66" s="74" t="n"/>
      <c r="AK66" s="74" t="n"/>
      <c r="AL66" s="74" t="n"/>
      <c r="AM66" s="74" t="n"/>
      <c r="AN66" s="74" t="n"/>
      <c r="AO66" s="74" t="n"/>
      <c r="AP66" s="74" t="n"/>
      <c r="AQ66" s="74" t="n"/>
      <c r="AR66" s="74" t="n"/>
      <c r="AS66" s="74" t="n"/>
      <c r="AT66" s="74" t="n"/>
      <c r="AU66" s="74" t="n"/>
      <c r="AV66" s="74" t="n"/>
      <c r="AX66" s="138" t="n">
        <v>2005</v>
      </c>
      <c r="AY66" s="138" t="n">
        <v>3</v>
      </c>
      <c r="AZ66" s="64" t="n"/>
    </row>
    <row r="67" ht="16.5" customFormat="1" customHeight="1" s="37">
      <c r="A67" s="74" t="n"/>
      <c r="B67" s="74" t="n"/>
      <c r="C67" s="74" t="n"/>
      <c r="D67" s="74" t="n"/>
      <c r="E67" s="74" t="n"/>
      <c r="F67" s="74" t="n"/>
      <c r="G67" s="74" t="n"/>
      <c r="H67" s="74" t="n"/>
      <c r="I67" s="74" t="n"/>
      <c r="J67" s="74" t="n"/>
      <c r="K67" s="74" t="n"/>
      <c r="L67" s="74" t="n"/>
      <c r="M67" s="74" t="n"/>
      <c r="N67" s="74" t="n"/>
      <c r="O67" s="74" t="n"/>
      <c r="P67" s="74" t="n"/>
      <c r="Q67" s="74" t="n"/>
      <c r="R67" s="74" t="n"/>
      <c r="S67" s="74" t="n"/>
      <c r="T67" s="74" t="n"/>
      <c r="U67" s="74" t="n"/>
      <c r="V67" s="74" t="n"/>
      <c r="W67" s="74" t="n"/>
      <c r="X67" s="74" t="n"/>
      <c r="Y67" s="74" t="n"/>
      <c r="Z67" s="74" t="n"/>
      <c r="AA67" s="74" t="n"/>
      <c r="AB67" s="74" t="n"/>
      <c r="AC67" s="74" t="n"/>
      <c r="AD67" s="74" t="n"/>
      <c r="AE67" s="74" t="n"/>
      <c r="AF67" s="74" t="n"/>
      <c r="AG67" s="74" t="n"/>
      <c r="AH67" s="74" t="n"/>
      <c r="AI67" s="74" t="n"/>
      <c r="AJ67" s="74" t="n"/>
      <c r="AK67" s="74" t="n"/>
      <c r="AL67" s="74" t="n"/>
      <c r="AM67" s="74" t="n"/>
      <c r="AN67" s="74" t="n"/>
      <c r="AO67" s="74" t="n"/>
      <c r="AP67" s="74" t="n"/>
      <c r="AQ67" s="74" t="n"/>
      <c r="AR67" s="74" t="n"/>
      <c r="AS67" s="74" t="n"/>
      <c r="AT67" s="74" t="n"/>
      <c r="AU67" s="74" t="n"/>
      <c r="AV67" s="74" t="n"/>
      <c r="AX67" s="138" t="n">
        <v>2005</v>
      </c>
      <c r="AY67" s="138" t="n">
        <v>3</v>
      </c>
      <c r="AZ67" s="64" t="n"/>
    </row>
    <row r="68" ht="16.5" customFormat="1" customHeight="1" s="37">
      <c r="A68" s="74" t="n"/>
      <c r="B68" s="74" t="n"/>
      <c r="C68" s="74" t="n"/>
      <c r="D68" s="74" t="n"/>
      <c r="E68" s="74" t="n"/>
      <c r="F68" s="74" t="n"/>
      <c r="G68" s="74" t="n"/>
      <c r="H68" s="74" t="n"/>
      <c r="I68" s="74" t="n"/>
      <c r="J68" s="74" t="n"/>
      <c r="K68" s="74" t="n"/>
      <c r="L68" s="74" t="n"/>
      <c r="M68" s="74" t="n"/>
      <c r="N68" s="74" t="n"/>
      <c r="O68" s="74" t="n"/>
      <c r="P68" s="74" t="n"/>
      <c r="Q68" s="74" t="n"/>
      <c r="R68" s="74" t="n"/>
      <c r="S68" s="74" t="n"/>
      <c r="T68" s="74" t="n"/>
      <c r="U68" s="74" t="n"/>
      <c r="V68" s="74" t="n"/>
      <c r="W68" s="74" t="n"/>
      <c r="X68" s="74" t="n"/>
      <c r="Y68" s="74" t="n"/>
      <c r="Z68" s="74" t="n"/>
      <c r="AA68" s="74" t="n"/>
      <c r="AB68" s="74" t="n"/>
      <c r="AC68" s="74" t="n"/>
      <c r="AD68" s="74" t="n"/>
      <c r="AE68" s="74" t="n"/>
      <c r="AF68" s="74" t="n"/>
      <c r="AG68" s="74" t="n"/>
      <c r="AH68" s="74" t="n"/>
      <c r="AI68" s="74" t="n"/>
      <c r="AJ68" s="74" t="n"/>
      <c r="AK68" s="74" t="n"/>
      <c r="AL68" s="74" t="n"/>
      <c r="AM68" s="74" t="n"/>
      <c r="AN68" s="74" t="n"/>
      <c r="AO68" s="74" t="n"/>
      <c r="AP68" s="74" t="n"/>
      <c r="AQ68" s="74" t="n"/>
      <c r="AR68" s="74" t="n"/>
      <c r="AS68" s="74" t="n"/>
      <c r="AT68" s="74" t="n"/>
      <c r="AU68" s="74" t="n"/>
      <c r="AV68" s="74" t="n"/>
      <c r="AX68" s="138" t="n">
        <v>1994</v>
      </c>
      <c r="AY68" s="138" t="n">
        <v>5</v>
      </c>
      <c r="AZ68" s="138" t="n"/>
      <c r="BA68" s="121" t="inlineStr">
        <is>
          <t>20평대</t>
        </is>
      </c>
      <c r="BB68" s="139" t="n">
        <v>0</v>
      </c>
      <c r="BC68" s="139" t="n">
        <v>0</v>
      </c>
      <c r="BD68" s="139" t="n">
        <v>0</v>
      </c>
      <c r="BE68" s="139" t="n">
        <v>0</v>
      </c>
      <c r="BF68" s="139" t="n">
        <v>0</v>
      </c>
    </row>
    <row r="69" ht="16.5" customFormat="1" customHeight="1" s="37">
      <c r="A69" s="74" t="n"/>
      <c r="B69" s="74" t="n"/>
      <c r="C69" s="74" t="n"/>
      <c r="D69" s="74" t="n"/>
      <c r="E69" s="74" t="n"/>
      <c r="F69" s="74" t="n"/>
      <c r="G69" s="74" t="n"/>
      <c r="H69" s="74" t="n"/>
      <c r="I69" s="74" t="n"/>
      <c r="J69" s="74" t="n"/>
      <c r="K69" s="74" t="n"/>
      <c r="L69" s="74" t="n"/>
      <c r="M69" s="74" t="n"/>
      <c r="N69" s="74" t="n"/>
      <c r="O69" s="74" t="n"/>
      <c r="P69" s="74" t="n"/>
      <c r="Q69" s="74" t="n"/>
      <c r="R69" s="74" t="n"/>
      <c r="S69" s="74" t="n"/>
      <c r="T69" s="74" t="n"/>
      <c r="U69" s="74" t="n"/>
      <c r="V69" s="74" t="n"/>
      <c r="W69" s="74" t="n"/>
      <c r="X69" s="74" t="n"/>
      <c r="Y69" s="74" t="n"/>
      <c r="Z69" s="74" t="n"/>
      <c r="AA69" s="74" t="n"/>
      <c r="AB69" s="74" t="n"/>
      <c r="AC69" s="74" t="n"/>
      <c r="AD69" s="74" t="n"/>
      <c r="AE69" s="74" t="n"/>
      <c r="AF69" s="74" t="n"/>
      <c r="AG69" s="74" t="n"/>
      <c r="AH69" s="74" t="n"/>
      <c r="AI69" s="74" t="n"/>
      <c r="AJ69" s="74" t="n"/>
      <c r="AK69" s="74" t="n"/>
      <c r="AL69" s="74" t="n"/>
      <c r="AM69" s="74" t="n"/>
      <c r="AN69" s="74" t="n"/>
      <c r="AO69" s="74" t="n"/>
      <c r="AP69" s="74" t="n"/>
      <c r="AQ69" s="74" t="n"/>
      <c r="AR69" s="74" t="n"/>
      <c r="AS69" s="74" t="n"/>
      <c r="AT69" s="74" t="n"/>
      <c r="AU69" s="74" t="n"/>
      <c r="AV69" s="74" t="n"/>
      <c r="AX69" s="138" t="n">
        <v>1994</v>
      </c>
      <c r="AY69" s="138" t="n">
        <v>5</v>
      </c>
      <c r="AZ69" s="138" t="n"/>
      <c r="BA69" s="121" t="inlineStr">
        <is>
          <t>30평대</t>
        </is>
      </c>
      <c r="BB69" s="139" t="n">
        <v>0</v>
      </c>
      <c r="BC69" s="139" t="n">
        <v>0</v>
      </c>
      <c r="BD69" s="139" t="n">
        <v>0</v>
      </c>
      <c r="BE69" s="139" t="n">
        <v>0</v>
      </c>
      <c r="BF69" s="139" t="n">
        <v>0</v>
      </c>
    </row>
    <row r="70" ht="16.5" customFormat="1" customHeight="1" s="37">
      <c r="A70" s="74" t="n"/>
      <c r="B70" s="74" t="n"/>
      <c r="C70" s="74" t="n"/>
      <c r="D70" s="74" t="n"/>
      <c r="E70" s="74" t="n"/>
      <c r="F70" s="74" t="n"/>
      <c r="G70" s="74" t="n"/>
      <c r="H70" s="74" t="n"/>
      <c r="I70" s="74" t="n"/>
      <c r="J70" s="74" t="n"/>
      <c r="K70" s="74" t="n"/>
      <c r="L70" s="74" t="n"/>
      <c r="M70" s="74" t="n"/>
      <c r="N70" s="74" t="n"/>
      <c r="O70" s="74" t="n"/>
      <c r="P70" s="74" t="n"/>
      <c r="Q70" s="74" t="n"/>
      <c r="R70" s="74" t="n"/>
      <c r="S70" s="74" t="n"/>
      <c r="T70" s="74" t="n"/>
      <c r="U70" s="74" t="n"/>
      <c r="V70" s="74" t="n"/>
      <c r="W70" s="74" t="n"/>
      <c r="X70" s="74" t="n"/>
      <c r="Y70" s="74" t="n"/>
      <c r="Z70" s="74" t="n"/>
      <c r="AA70" s="74" t="n"/>
      <c r="AB70" s="74" t="n"/>
      <c r="AC70" s="74" t="n"/>
      <c r="AD70" s="74" t="n"/>
      <c r="AE70" s="74" t="n"/>
      <c r="AF70" s="74" t="n"/>
      <c r="AG70" s="74" t="n"/>
      <c r="AH70" s="74" t="n"/>
      <c r="AI70" s="74" t="n"/>
      <c r="AJ70" s="74" t="n"/>
      <c r="AK70" s="74" t="n"/>
      <c r="AL70" s="74" t="n"/>
      <c r="AM70" s="74" t="n"/>
      <c r="AN70" s="74" t="n"/>
      <c r="AO70" s="74" t="n"/>
      <c r="AP70" s="74" t="n"/>
      <c r="AQ70" s="74" t="n"/>
      <c r="AR70" s="74" t="n"/>
      <c r="AS70" s="74" t="n"/>
      <c r="AT70" s="74" t="n"/>
      <c r="AU70" s="74" t="n"/>
      <c r="AV70" s="74" t="n"/>
      <c r="AX70" s="138" t="n">
        <v>1994</v>
      </c>
      <c r="AY70" s="138" t="n">
        <v>5</v>
      </c>
      <c r="AZ70" s="138" t="n"/>
      <c r="BA70" s="73" t="inlineStr">
        <is>
          <t>40평대↑</t>
        </is>
      </c>
      <c r="BB70" s="140" t="n">
        <v>0</v>
      </c>
      <c r="BC70" s="140" t="n">
        <v>0</v>
      </c>
      <c r="BD70" s="140" t="n">
        <v>0</v>
      </c>
      <c r="BE70" s="140" t="n">
        <v>0</v>
      </c>
      <c r="BF70" s="140" t="n">
        <v>0</v>
      </c>
    </row>
    <row r="71" ht="16.5" customFormat="1" customHeight="1" s="37">
      <c r="A71" s="74" t="n"/>
      <c r="B71" s="74" t="n"/>
      <c r="C71" s="74" t="n"/>
      <c r="D71" s="74" t="n"/>
      <c r="E71" s="74" t="n"/>
      <c r="F71" s="74" t="n"/>
      <c r="G71" s="74" t="n"/>
      <c r="H71" s="74" t="n"/>
      <c r="I71" s="74" t="n"/>
      <c r="J71" s="74" t="n"/>
      <c r="K71" s="74" t="n"/>
      <c r="L71" s="74" t="n"/>
      <c r="M71" s="74" t="n"/>
      <c r="N71" s="74" t="n"/>
      <c r="O71" s="74" t="n"/>
      <c r="P71" s="74" t="n"/>
      <c r="Q71" s="74" t="n"/>
      <c r="R71" s="74" t="n"/>
      <c r="S71" s="74" t="n"/>
      <c r="T71" s="74" t="n"/>
      <c r="U71" s="74" t="n"/>
      <c r="V71" s="74" t="n"/>
      <c r="W71" s="74" t="n"/>
      <c r="X71" s="74" t="n"/>
      <c r="Y71" s="74" t="n"/>
      <c r="Z71" s="74" t="n"/>
      <c r="AA71" s="74" t="n"/>
      <c r="AB71" s="74" t="n"/>
      <c r="AC71" s="74" t="n"/>
      <c r="AD71" s="74" t="n"/>
      <c r="AE71" s="74" t="n"/>
      <c r="AF71" s="74" t="n"/>
      <c r="AG71" s="74" t="n"/>
      <c r="AH71" s="74" t="n"/>
      <c r="AI71" s="74" t="n"/>
      <c r="AJ71" s="74" t="n"/>
      <c r="AK71" s="74" t="n"/>
      <c r="AL71" s="74" t="n"/>
      <c r="AM71" s="74" t="n"/>
      <c r="AN71" s="74" t="n"/>
      <c r="AO71" s="74" t="n"/>
      <c r="AP71" s="74" t="n"/>
      <c r="AQ71" s="74" t="n"/>
      <c r="AR71" s="74" t="n"/>
      <c r="AS71" s="74" t="n"/>
      <c r="AT71" s="74" t="n"/>
      <c r="AU71" s="74" t="n"/>
      <c r="AV71" s="74" t="n"/>
      <c r="AX71" s="138" t="n">
        <v>1995</v>
      </c>
      <c r="AY71" s="138" t="n">
        <v>8</v>
      </c>
      <c r="AZ71" s="138" t="n"/>
      <c r="BA71" s="2" t="n"/>
    </row>
    <row r="72" ht="16.5" customFormat="1" customHeight="1" s="37">
      <c r="A72" s="74" t="n"/>
      <c r="B72" s="74" t="n"/>
      <c r="C72" s="74" t="n"/>
      <c r="D72" s="74" t="n"/>
      <c r="E72" s="74" t="n"/>
      <c r="F72" s="74" t="n"/>
      <c r="G72" s="74" t="n"/>
      <c r="H72" s="74" t="n"/>
      <c r="I72" s="74" t="n"/>
      <c r="J72" s="74" t="n"/>
      <c r="K72" s="74" t="n"/>
      <c r="L72" s="74" t="n"/>
      <c r="M72" s="74" t="n"/>
      <c r="N72" s="74" t="n"/>
      <c r="O72" s="74" t="n"/>
      <c r="P72" s="74" t="n"/>
      <c r="Q72" s="74" t="n"/>
      <c r="R72" s="74" t="n"/>
      <c r="S72" s="74" t="n"/>
      <c r="T72" s="74" t="n"/>
      <c r="U72" s="74" t="n"/>
      <c r="V72" s="74" t="n"/>
      <c r="W72" s="74" t="n"/>
      <c r="X72" s="74" t="n"/>
      <c r="Y72" s="74" t="n"/>
      <c r="Z72" s="74" t="n"/>
      <c r="AA72" s="74" t="n"/>
      <c r="AB72" s="74" t="n"/>
      <c r="AC72" s="74" t="n"/>
      <c r="AD72" s="74" t="n"/>
      <c r="AE72" s="74" t="n"/>
      <c r="AF72" s="74" t="n"/>
      <c r="AG72" s="74" t="n"/>
      <c r="AH72" s="74" t="n"/>
      <c r="AI72" s="74" t="n"/>
      <c r="AJ72" s="74" t="n"/>
      <c r="AK72" s="74" t="n"/>
      <c r="AL72" s="74" t="n"/>
      <c r="AM72" s="74" t="n"/>
      <c r="AN72" s="74" t="n"/>
      <c r="AO72" s="74" t="n"/>
      <c r="AP72" s="74" t="n"/>
      <c r="AQ72" s="74" t="n"/>
      <c r="AR72" s="74" t="n"/>
      <c r="AS72" s="74" t="n"/>
      <c r="AT72" s="74" t="n"/>
      <c r="AU72" s="74" t="n"/>
      <c r="AV72" s="74" t="n"/>
      <c r="AX72" s="138" t="n">
        <v>1995</v>
      </c>
      <c r="AY72" s="138" t="n">
        <v>8</v>
      </c>
      <c r="AZ72" s="138" t="n"/>
      <c r="BA72" s="121" t="n"/>
      <c r="BB72" s="121" t="inlineStr">
        <is>
          <t>10년 이하</t>
        </is>
      </c>
      <c r="BC72" s="121" t="inlineStr">
        <is>
          <t>10~20년</t>
        </is>
      </c>
      <c r="BD72" s="121" t="inlineStr">
        <is>
          <t>20~30년</t>
        </is>
      </c>
      <c r="BE72" s="121" t="inlineStr">
        <is>
          <t>30년 이상</t>
        </is>
      </c>
      <c r="BF72" s="121" t="inlineStr">
        <is>
          <t>합계</t>
        </is>
      </c>
    </row>
    <row r="73" ht="16.5" customFormat="1" customHeight="1" s="37">
      <c r="A73" s="74" t="n"/>
      <c r="B73" s="74" t="n"/>
      <c r="C73" s="74" t="n"/>
      <c r="D73" s="74" t="n"/>
      <c r="E73" s="74" t="n"/>
      <c r="F73" s="74" t="n"/>
      <c r="G73" s="74" t="n"/>
      <c r="H73" s="74" t="n"/>
      <c r="I73" s="74" t="n"/>
      <c r="J73" s="74" t="n"/>
      <c r="K73" s="74" t="n"/>
      <c r="L73" s="74" t="n"/>
      <c r="M73" s="74" t="n"/>
      <c r="N73" s="74" t="n"/>
      <c r="O73" s="74" t="n"/>
      <c r="P73" s="74" t="n"/>
      <c r="Q73" s="74" t="n"/>
      <c r="R73" s="74" t="n"/>
      <c r="S73" s="74" t="n"/>
      <c r="T73" s="74" t="n"/>
      <c r="U73" s="74" t="n"/>
      <c r="V73" s="74" t="n"/>
      <c r="W73" s="74" t="n"/>
      <c r="X73" s="74" t="n"/>
      <c r="Y73" s="74" t="n"/>
      <c r="Z73" s="74" t="n"/>
      <c r="AA73" s="74" t="n"/>
      <c r="AB73" s="74" t="n"/>
      <c r="AC73" s="74" t="n"/>
      <c r="AD73" s="74" t="n"/>
      <c r="AE73" s="74" t="n"/>
      <c r="AF73" s="74" t="n"/>
      <c r="AG73" s="74" t="n"/>
      <c r="AH73" s="74" t="n"/>
      <c r="AI73" s="74" t="n"/>
      <c r="AJ73" s="74" t="n"/>
      <c r="AK73" s="74" t="n"/>
      <c r="AL73" s="74" t="n"/>
      <c r="AM73" s="74" t="n"/>
      <c r="AN73" s="74" t="n"/>
      <c r="AO73" s="74" t="n"/>
      <c r="AP73" s="74" t="n"/>
      <c r="AQ73" s="74" t="n"/>
      <c r="AR73" s="74" t="n"/>
      <c r="AS73" s="74" t="n"/>
      <c r="AT73" s="74" t="n"/>
      <c r="AU73" s="74" t="n"/>
      <c r="AV73" s="74" t="n"/>
      <c r="AX73" s="138" t="n">
        <v>1994</v>
      </c>
      <c r="AY73" s="138" t="n">
        <v>12</v>
      </c>
      <c r="BA73" s="121" t="inlineStr">
        <is>
          <t>20평대</t>
        </is>
      </c>
      <c r="BB73" s="141" t="e">
        <v>#DIV/0!</v>
      </c>
      <c r="BC73" s="141" t="e">
        <v>#DIV/0!</v>
      </c>
      <c r="BD73" s="141" t="e">
        <v>#DIV/0!</v>
      </c>
      <c r="BE73" s="141" t="e">
        <v>#DIV/0!</v>
      </c>
      <c r="BF73" s="141" t="e">
        <v>#DIV/0!</v>
      </c>
    </row>
    <row r="74" ht="16.5" customFormat="1" customHeight="1" s="37">
      <c r="A74" s="74" t="n"/>
      <c r="B74" s="74" t="n"/>
      <c r="C74" s="74" t="n"/>
      <c r="D74" s="74" t="n"/>
      <c r="E74" s="74" t="n"/>
      <c r="F74" s="74" t="n"/>
      <c r="G74" s="74" t="n"/>
      <c r="H74" s="74" t="n"/>
      <c r="I74" s="74" t="n"/>
      <c r="J74" s="74" t="n"/>
      <c r="K74" s="74" t="n"/>
      <c r="L74" s="74" t="n"/>
      <c r="M74" s="74" t="n"/>
      <c r="N74" s="74" t="n"/>
      <c r="O74" s="74" t="n"/>
      <c r="P74" s="74" t="n"/>
      <c r="Q74" s="74" t="n"/>
      <c r="R74" s="74" t="n"/>
      <c r="S74" s="74" t="n"/>
      <c r="T74" s="74" t="n"/>
      <c r="U74" s="74" t="n"/>
      <c r="V74" s="74" t="n"/>
      <c r="W74" s="74" t="n"/>
      <c r="X74" s="74" t="n"/>
      <c r="Y74" s="74" t="n"/>
      <c r="Z74" s="74" t="n"/>
      <c r="AA74" s="74" t="n"/>
      <c r="AB74" s="74" t="n"/>
      <c r="AC74" s="74" t="n"/>
      <c r="AD74" s="74" t="n"/>
      <c r="AE74" s="74" t="n"/>
      <c r="AF74" s="74" t="n"/>
      <c r="AG74" s="74" t="n"/>
      <c r="AH74" s="74" t="n"/>
      <c r="AI74" s="74" t="n"/>
      <c r="AJ74" s="74" t="n"/>
      <c r="AK74" s="74" t="n"/>
      <c r="AL74" s="74" t="n"/>
      <c r="AM74" s="74" t="n"/>
      <c r="AN74" s="74" t="n"/>
      <c r="AO74" s="74" t="n"/>
      <c r="AP74" s="74" t="n"/>
      <c r="AQ74" s="74" t="n"/>
      <c r="AR74" s="74" t="n"/>
      <c r="AS74" s="74" t="n"/>
      <c r="AT74" s="74" t="n"/>
      <c r="AU74" s="74" t="n"/>
      <c r="AV74" s="74" t="n"/>
      <c r="AX74" s="138" t="n">
        <v>1993</v>
      </c>
      <c r="AY74" s="138" t="n">
        <v>6</v>
      </c>
      <c r="BA74" s="73" t="inlineStr">
        <is>
          <t>40평대↑</t>
        </is>
      </c>
      <c r="BB74" s="142" t="e">
        <v>#DIV/0!</v>
      </c>
      <c r="BC74" s="142" t="e">
        <v>#DIV/0!</v>
      </c>
      <c r="BD74" s="142" t="e">
        <v>#DIV/0!</v>
      </c>
      <c r="BE74" s="142" t="e">
        <v>#DIV/0!</v>
      </c>
      <c r="BF74" s="142" t="e">
        <v>#DIV/0!</v>
      </c>
    </row>
    <row r="75" ht="16.5" customFormat="1" customHeight="1" s="37">
      <c r="A75" s="74" t="n"/>
      <c r="B75" s="74" t="n"/>
      <c r="C75" s="74" t="n"/>
      <c r="D75" s="74" t="n"/>
      <c r="E75" s="74" t="n"/>
      <c r="F75" s="74" t="n"/>
      <c r="G75" s="74" t="n"/>
      <c r="H75" s="74" t="n"/>
      <c r="I75" s="74" t="n"/>
      <c r="J75" s="74" t="n"/>
      <c r="K75" s="74" t="n"/>
      <c r="L75" s="74" t="n"/>
      <c r="M75" s="74" t="n"/>
      <c r="N75" s="74" t="n"/>
      <c r="O75" s="74" t="n"/>
      <c r="P75" s="74" t="n"/>
      <c r="Q75" s="74" t="n"/>
      <c r="R75" s="74" t="n"/>
      <c r="S75" s="74" t="n"/>
      <c r="T75" s="74" t="n"/>
      <c r="U75" s="74" t="n"/>
      <c r="V75" s="74" t="n"/>
      <c r="W75" s="74" t="n"/>
      <c r="X75" s="74" t="n"/>
      <c r="Y75" s="74" t="n"/>
      <c r="Z75" s="74" t="n"/>
      <c r="AA75" s="74" t="n"/>
      <c r="AB75" s="74" t="n"/>
      <c r="AC75" s="74" t="n"/>
      <c r="AD75" s="74" t="n"/>
      <c r="AE75" s="74" t="n"/>
      <c r="AF75" s="74" t="n"/>
      <c r="AG75" s="74" t="n"/>
      <c r="AH75" s="74" t="n"/>
      <c r="AI75" s="74" t="n"/>
      <c r="AJ75" s="74" t="n"/>
      <c r="AK75" s="74" t="n"/>
      <c r="AL75" s="74" t="n"/>
      <c r="AM75" s="74" t="n"/>
      <c r="AN75" s="74" t="n"/>
      <c r="AO75" s="74" t="n"/>
      <c r="AP75" s="74" t="n"/>
      <c r="AQ75" s="74" t="n"/>
      <c r="AR75" s="74" t="n"/>
      <c r="AS75" s="74" t="n"/>
      <c r="AT75" s="74" t="n"/>
      <c r="AU75" s="74" t="n"/>
      <c r="AV75" s="74" t="n"/>
      <c r="AX75" s="138" t="n">
        <v>1993</v>
      </c>
      <c r="AY75" s="138" t="n">
        <v>6</v>
      </c>
      <c r="BA75" s="121" t="inlineStr">
        <is>
          <t>합계</t>
        </is>
      </c>
      <c r="BB75" s="141" t="e">
        <v>#DIV/0!</v>
      </c>
      <c r="BC75" s="141" t="e">
        <v>#DIV/0!</v>
      </c>
      <c r="BD75" s="141" t="e">
        <v>#DIV/0!</v>
      </c>
      <c r="BE75" s="141" t="e">
        <v>#DIV/0!</v>
      </c>
      <c r="BF75" s="141" t="e">
        <v>#DIV/0!</v>
      </c>
    </row>
    <row r="76" ht="16.5" customFormat="1" customHeight="1" s="37">
      <c r="A76" s="74" t="n"/>
      <c r="B76" s="74" t="n"/>
      <c r="C76" s="74" t="n"/>
      <c r="D76" s="74" t="n"/>
      <c r="E76" s="74" t="n"/>
      <c r="F76" s="74" t="n"/>
      <c r="G76" s="74" t="n"/>
      <c r="H76" s="74" t="n"/>
      <c r="I76" s="74" t="n"/>
      <c r="J76" s="74" t="n"/>
      <c r="K76" s="74" t="n"/>
      <c r="L76" s="74" t="n"/>
      <c r="M76" s="74" t="n"/>
      <c r="N76" s="74" t="n"/>
      <c r="O76" s="74" t="n"/>
      <c r="P76" s="74" t="n"/>
      <c r="Q76" s="74" t="n"/>
      <c r="R76" s="74" t="n"/>
      <c r="S76" s="74" t="n"/>
      <c r="T76" s="74" t="n"/>
      <c r="U76" s="74" t="n"/>
      <c r="V76" s="74" t="n"/>
      <c r="W76" s="74" t="n"/>
      <c r="X76" s="74" t="n"/>
      <c r="Y76" s="74" t="n"/>
      <c r="Z76" s="74" t="n"/>
      <c r="AA76" s="74" t="n"/>
      <c r="AB76" s="74" t="n"/>
      <c r="AC76" s="74" t="n"/>
      <c r="AD76" s="74" t="n"/>
      <c r="AE76" s="74" t="n"/>
      <c r="AF76" s="74" t="n"/>
      <c r="AG76" s="74" t="n"/>
      <c r="AH76" s="74" t="n"/>
      <c r="AI76" s="74" t="n"/>
      <c r="AJ76" s="74" t="n"/>
      <c r="AK76" s="74" t="n"/>
      <c r="AL76" s="74" t="n"/>
      <c r="AM76" s="74" t="n"/>
      <c r="AN76" s="74" t="n"/>
      <c r="AO76" s="74" t="n"/>
      <c r="AP76" s="74" t="n"/>
      <c r="AQ76" s="74" t="n"/>
      <c r="AR76" s="74" t="n"/>
      <c r="AS76" s="74" t="n"/>
      <c r="AT76" s="74" t="n"/>
      <c r="AU76" s="74" t="n"/>
      <c r="AV76" s="74" t="n"/>
      <c r="AX76" s="138" t="n">
        <v>2019</v>
      </c>
      <c r="AY76" s="138" t="n">
        <v>3</v>
      </c>
    </row>
    <row r="77" ht="16.5" customFormat="1" customHeight="1" s="37">
      <c r="A77" s="74" t="n"/>
      <c r="B77" s="74" t="n"/>
      <c r="C77" s="74" t="n"/>
      <c r="D77" s="74" t="n"/>
      <c r="E77" s="74" t="n"/>
      <c r="F77" s="74" t="n"/>
      <c r="G77" s="74" t="n"/>
      <c r="H77" s="74" t="n"/>
      <c r="I77" s="74" t="n"/>
      <c r="J77" s="74" t="n"/>
      <c r="K77" s="74" t="n"/>
      <c r="L77" s="74" t="n"/>
      <c r="M77" s="74" t="n"/>
      <c r="N77" s="74" t="n"/>
      <c r="O77" s="74" t="n"/>
      <c r="P77" s="74" t="n"/>
      <c r="Q77" s="74" t="n"/>
      <c r="R77" s="74" t="n"/>
      <c r="S77" s="74" t="n"/>
      <c r="T77" s="74" t="n"/>
      <c r="U77" s="74" t="n"/>
      <c r="V77" s="74" t="n"/>
      <c r="W77" s="74" t="n"/>
      <c r="X77" s="74" t="n"/>
      <c r="Y77" s="74" t="n"/>
      <c r="Z77" s="74" t="n"/>
      <c r="AA77" s="74" t="n"/>
      <c r="AB77" s="74" t="n"/>
      <c r="AC77" s="74" t="n"/>
      <c r="AD77" s="74" t="n"/>
      <c r="AE77" s="74" t="n"/>
      <c r="AF77" s="74" t="n"/>
      <c r="AG77" s="74" t="n"/>
      <c r="AH77" s="74" t="n"/>
      <c r="AI77" s="74" t="n"/>
      <c r="AJ77" s="74" t="n"/>
      <c r="AK77" s="74" t="n"/>
      <c r="AL77" s="74" t="n"/>
      <c r="AM77" s="74" t="n"/>
      <c r="AN77" s="74" t="n"/>
      <c r="AO77" s="74" t="n"/>
      <c r="AP77" s="74" t="n"/>
      <c r="AQ77" s="74" t="n"/>
      <c r="AR77" s="74" t="n"/>
      <c r="AS77" s="74" t="n"/>
      <c r="AT77" s="74" t="n"/>
      <c r="AU77" s="74" t="n"/>
      <c r="AV77" s="74" t="n"/>
      <c r="AX77" s="138" t="n">
        <v>2019</v>
      </c>
      <c r="AY77" s="138" t="n">
        <v>3</v>
      </c>
    </row>
    <row r="78" ht="16.5" customFormat="1" customHeight="1" s="37">
      <c r="A78" s="74" t="n"/>
      <c r="B78" s="74" t="n"/>
      <c r="C78" s="74" t="n"/>
      <c r="D78" s="74" t="n"/>
      <c r="E78" s="74" t="n"/>
      <c r="F78" s="74" t="n"/>
      <c r="G78" s="74" t="n"/>
      <c r="H78" s="74" t="n"/>
      <c r="I78" s="74" t="n"/>
      <c r="J78" s="74" t="n"/>
      <c r="K78" s="74" t="n"/>
      <c r="L78" s="74" t="n"/>
      <c r="M78" s="74" t="n"/>
      <c r="N78" s="74" t="n"/>
      <c r="O78" s="74" t="n"/>
      <c r="P78" s="74" t="n"/>
      <c r="Q78" s="74" t="n"/>
      <c r="R78" s="74" t="n"/>
      <c r="S78" s="74" t="n"/>
      <c r="T78" s="74" t="n"/>
      <c r="U78" s="74" t="n"/>
      <c r="V78" s="74" t="n"/>
      <c r="W78" s="74" t="n"/>
      <c r="X78" s="74" t="n"/>
      <c r="Y78" s="74" t="n"/>
      <c r="Z78" s="74" t="n"/>
      <c r="AA78" s="74" t="n"/>
      <c r="AB78" s="74" t="n"/>
      <c r="AC78" s="74" t="n"/>
      <c r="AD78" s="74" t="n"/>
      <c r="AE78" s="74" t="n"/>
      <c r="AF78" s="74" t="n"/>
      <c r="AG78" s="74" t="n"/>
      <c r="AH78" s="74" t="n"/>
      <c r="AI78" s="74" t="n"/>
      <c r="AJ78" s="74" t="n"/>
      <c r="AK78" s="74" t="n"/>
      <c r="AL78" s="74" t="n"/>
      <c r="AM78" s="74" t="n"/>
      <c r="AN78" s="74" t="n"/>
      <c r="AO78" s="74" t="n"/>
      <c r="AP78" s="74" t="n"/>
      <c r="AQ78" s="74" t="n"/>
      <c r="AR78" s="74" t="n"/>
      <c r="AS78" s="74" t="n"/>
      <c r="AT78" s="74" t="n"/>
      <c r="AU78" s="74" t="n"/>
      <c r="AV78" s="74" t="n"/>
      <c r="AX78" s="138" t="n">
        <v>2019</v>
      </c>
      <c r="AY78" s="138" t="n">
        <v>3</v>
      </c>
    </row>
    <row r="79" ht="16.5" customFormat="1" customHeight="1" s="37">
      <c r="A79" s="74" t="n"/>
      <c r="B79" s="74" t="n"/>
      <c r="C79" s="74" t="n"/>
      <c r="D79" s="74" t="n"/>
      <c r="E79" s="74" t="n"/>
      <c r="F79" s="74" t="n"/>
      <c r="G79" s="74" t="n"/>
      <c r="H79" s="74" t="n"/>
      <c r="I79" s="74" t="n"/>
      <c r="J79" s="74" t="n"/>
      <c r="K79" s="74" t="n"/>
      <c r="L79" s="74" t="n"/>
      <c r="M79" s="74" t="n"/>
      <c r="N79" s="74" t="n"/>
      <c r="O79" s="74" t="n"/>
      <c r="P79" s="74" t="n"/>
      <c r="Q79" s="74" t="n"/>
      <c r="R79" s="74" t="n"/>
      <c r="S79" s="74" t="n"/>
      <c r="T79" s="74" t="n"/>
      <c r="U79" s="74" t="n"/>
      <c r="V79" s="74" t="n"/>
      <c r="W79" s="74" t="n"/>
      <c r="X79" s="74" t="n"/>
      <c r="Y79" s="74" t="n"/>
      <c r="Z79" s="74" t="n"/>
      <c r="AA79" s="74" t="n"/>
      <c r="AB79" s="74" t="n"/>
      <c r="AC79" s="74" t="n"/>
      <c r="AD79" s="74" t="n"/>
      <c r="AE79" s="74" t="n"/>
      <c r="AF79" s="74" t="n"/>
      <c r="AG79" s="74" t="n"/>
      <c r="AH79" s="74" t="n"/>
      <c r="AI79" s="74" t="n"/>
      <c r="AJ79" s="74" t="n"/>
      <c r="AK79" s="74" t="n"/>
      <c r="AL79" s="74" t="n"/>
      <c r="AM79" s="74" t="n"/>
      <c r="AN79" s="74" t="n"/>
      <c r="AO79" s="74" t="n"/>
      <c r="AP79" s="74" t="n"/>
      <c r="AQ79" s="74" t="n"/>
      <c r="AR79" s="74" t="n"/>
      <c r="AS79" s="74" t="n"/>
      <c r="AT79" s="74" t="n"/>
      <c r="AU79" s="74" t="n"/>
      <c r="AV79" s="74" t="n"/>
      <c r="AX79" s="138" t="n">
        <v>2019</v>
      </c>
      <c r="AY79" s="138" t="n">
        <v>3</v>
      </c>
    </row>
    <row r="80" ht="16.5" customFormat="1" customHeight="1" s="37">
      <c r="A80" s="74" t="n"/>
      <c r="B80" s="74" t="n"/>
      <c r="C80" s="74" t="n"/>
      <c r="D80" s="74" t="n"/>
      <c r="E80" s="74" t="n"/>
      <c r="F80" s="74" t="n"/>
      <c r="G80" s="74" t="n"/>
      <c r="H80" s="74" t="n"/>
      <c r="I80" s="74" t="n"/>
      <c r="J80" s="74" t="n"/>
      <c r="K80" s="74" t="n"/>
      <c r="L80" s="74" t="n"/>
      <c r="M80" s="74" t="n"/>
      <c r="N80" s="74" t="n"/>
      <c r="O80" s="74" t="n"/>
      <c r="P80" s="74" t="n"/>
      <c r="Q80" s="74" t="n"/>
      <c r="R80" s="74" t="n"/>
      <c r="S80" s="74" t="n"/>
      <c r="T80" s="74" t="n"/>
      <c r="U80" s="74" t="n"/>
      <c r="V80" s="74" t="n"/>
      <c r="W80" s="74" t="n"/>
      <c r="X80" s="74" t="n"/>
      <c r="Y80" s="74" t="n"/>
      <c r="Z80" s="74" t="n"/>
      <c r="AA80" s="74" t="n"/>
      <c r="AB80" s="74" t="n"/>
      <c r="AC80" s="74" t="n"/>
      <c r="AD80" s="74" t="n"/>
      <c r="AE80" s="74" t="n"/>
      <c r="AF80" s="74" t="n"/>
      <c r="AG80" s="74" t="n"/>
      <c r="AH80" s="74" t="n"/>
      <c r="AI80" s="74" t="n"/>
      <c r="AJ80" s="74" t="n"/>
      <c r="AK80" s="74" t="n"/>
      <c r="AL80" s="74" t="n"/>
      <c r="AM80" s="74" t="n"/>
      <c r="AN80" s="74" t="n"/>
      <c r="AO80" s="74" t="n"/>
      <c r="AP80" s="74" t="n"/>
      <c r="AQ80" s="74" t="n"/>
      <c r="AR80" s="74" t="n"/>
      <c r="AS80" s="74" t="n"/>
      <c r="AT80" s="74" t="n"/>
      <c r="AU80" s="74" t="n"/>
      <c r="AV80" s="74" t="n"/>
      <c r="AX80" s="138" t="n">
        <v>1993</v>
      </c>
      <c r="AY80" s="138" t="n">
        <v>8</v>
      </c>
    </row>
    <row r="81" ht="16.5" customFormat="1" customHeight="1" s="37">
      <c r="A81" s="74" t="n"/>
      <c r="B81" s="74" t="n"/>
      <c r="C81" s="74" t="n"/>
      <c r="D81" s="74" t="n"/>
      <c r="E81" s="74" t="n"/>
      <c r="F81" s="74" t="n"/>
      <c r="G81" s="74" t="n"/>
      <c r="H81" s="74" t="n"/>
      <c r="I81" s="74" t="n"/>
      <c r="J81" s="74" t="n"/>
      <c r="K81" s="74" t="n"/>
      <c r="L81" s="74" t="n"/>
      <c r="M81" s="74" t="n"/>
      <c r="N81" s="74" t="n"/>
      <c r="O81" s="74" t="n"/>
      <c r="P81" s="74" t="n"/>
      <c r="Q81" s="74" t="n"/>
      <c r="R81" s="74" t="n"/>
      <c r="S81" s="74" t="n"/>
      <c r="T81" s="74" t="n"/>
      <c r="U81" s="74" t="n"/>
      <c r="V81" s="74" t="n"/>
      <c r="W81" s="74" t="n"/>
      <c r="X81" s="74" t="n"/>
      <c r="Y81" s="74" t="n"/>
      <c r="Z81" s="74" t="n"/>
      <c r="AA81" s="74" t="n"/>
      <c r="AB81" s="74" t="n"/>
      <c r="AC81" s="74" t="n"/>
      <c r="AD81" s="74" t="n"/>
      <c r="AE81" s="74" t="n"/>
      <c r="AF81" s="74" t="n"/>
      <c r="AG81" s="74" t="n"/>
      <c r="AH81" s="74" t="n"/>
      <c r="AI81" s="74" t="n"/>
      <c r="AJ81" s="74" t="n"/>
      <c r="AK81" s="74" t="n"/>
      <c r="AL81" s="74" t="n"/>
      <c r="AM81" s="74" t="n"/>
      <c r="AN81" s="74" t="n"/>
      <c r="AO81" s="74" t="n"/>
      <c r="AP81" s="74" t="n"/>
      <c r="AQ81" s="74" t="n"/>
      <c r="AR81" s="74" t="n"/>
      <c r="AS81" s="74" t="n"/>
      <c r="AT81" s="74" t="n"/>
      <c r="AU81" s="74" t="n"/>
      <c r="AV81" s="74" t="n"/>
      <c r="AX81" s="138" t="n">
        <v>1993</v>
      </c>
      <c r="AY81" s="138" t="n">
        <v>8</v>
      </c>
    </row>
    <row r="82" ht="16.5" customFormat="1" customHeight="1" s="37">
      <c r="A82" s="74" t="n"/>
      <c r="B82" s="74" t="n"/>
      <c r="C82" s="74" t="n"/>
      <c r="D82" s="74" t="n"/>
      <c r="E82" s="74" t="n"/>
      <c r="F82" s="74" t="n"/>
      <c r="G82" s="74" t="n"/>
      <c r="H82" s="74" t="n"/>
      <c r="I82" s="74" t="n"/>
      <c r="J82" s="74" t="n"/>
      <c r="K82" s="74" t="n"/>
      <c r="L82" s="74" t="n"/>
      <c r="M82" s="74" t="n"/>
      <c r="N82" s="74" t="n"/>
      <c r="O82" s="74" t="n"/>
      <c r="P82" s="74" t="n"/>
      <c r="Q82" s="74" t="n"/>
      <c r="R82" s="74" t="n"/>
      <c r="S82" s="74" t="n"/>
      <c r="T82" s="74" t="n"/>
      <c r="U82" s="74" t="n"/>
      <c r="V82" s="74" t="n"/>
      <c r="W82" s="74" t="n"/>
      <c r="X82" s="74" t="n"/>
      <c r="Y82" s="74" t="n"/>
      <c r="Z82" s="74" t="n"/>
      <c r="AA82" s="74" t="n"/>
      <c r="AB82" s="74" t="n"/>
      <c r="AC82" s="74" t="n"/>
      <c r="AD82" s="74" t="n"/>
      <c r="AE82" s="74" t="n"/>
      <c r="AF82" s="74" t="n"/>
      <c r="AG82" s="74" t="n"/>
      <c r="AH82" s="74" t="n"/>
      <c r="AI82" s="74" t="n"/>
      <c r="AJ82" s="74" t="n"/>
      <c r="AK82" s="74" t="n"/>
      <c r="AL82" s="74" t="n"/>
      <c r="AM82" s="74" t="n"/>
      <c r="AN82" s="74" t="n"/>
      <c r="AO82" s="74" t="n"/>
      <c r="AP82" s="74" t="n"/>
      <c r="AQ82" s="74" t="n"/>
      <c r="AR82" s="74" t="n"/>
      <c r="AS82" s="74" t="n"/>
      <c r="AT82" s="74" t="n"/>
      <c r="AU82" s="74" t="n"/>
      <c r="AV82" s="74" t="n"/>
      <c r="AX82" s="138" t="n">
        <v>1995</v>
      </c>
      <c r="AY82" s="138" t="n">
        <v>8</v>
      </c>
    </row>
    <row r="83" ht="16.5" customFormat="1" customHeight="1" s="37">
      <c r="A83" s="74" t="n"/>
      <c r="B83" s="74" t="n"/>
      <c r="C83" s="74" t="n"/>
      <c r="D83" s="74" t="n"/>
      <c r="E83" s="74" t="n"/>
      <c r="F83" s="74" t="n"/>
      <c r="G83" s="74" t="n"/>
      <c r="H83" s="74" t="n"/>
      <c r="I83" s="74" t="n"/>
      <c r="J83" s="74" t="n"/>
      <c r="K83" s="74" t="n"/>
      <c r="L83" s="74" t="n"/>
      <c r="M83" s="74" t="n"/>
      <c r="N83" s="74" t="n"/>
      <c r="O83" s="74" t="n"/>
      <c r="P83" s="74" t="n"/>
      <c r="Q83" s="74" t="n"/>
      <c r="R83" s="74" t="n"/>
      <c r="S83" s="74" t="n"/>
      <c r="T83" s="74" t="n"/>
      <c r="U83" s="74" t="n"/>
      <c r="V83" s="74" t="n"/>
      <c r="W83" s="74" t="n"/>
      <c r="X83" s="74" t="n"/>
      <c r="Y83" s="74" t="n"/>
      <c r="Z83" s="74" t="n"/>
      <c r="AA83" s="74" t="n"/>
      <c r="AB83" s="74" t="n"/>
      <c r="AC83" s="74" t="n"/>
      <c r="AD83" s="74" t="n"/>
      <c r="AE83" s="74" t="n"/>
      <c r="AF83" s="74" t="n"/>
      <c r="AG83" s="74" t="n"/>
      <c r="AH83" s="74" t="n"/>
      <c r="AI83" s="74" t="n"/>
      <c r="AJ83" s="74" t="n"/>
      <c r="AK83" s="74" t="n"/>
      <c r="AL83" s="74" t="n"/>
      <c r="AM83" s="74" t="n"/>
      <c r="AN83" s="74" t="n"/>
      <c r="AO83" s="74" t="n"/>
      <c r="AP83" s="74" t="n"/>
      <c r="AQ83" s="74" t="n"/>
      <c r="AR83" s="74" t="n"/>
      <c r="AS83" s="74" t="n"/>
      <c r="AT83" s="74" t="n"/>
      <c r="AU83" s="74" t="n"/>
      <c r="AV83" s="74" t="n"/>
      <c r="AX83" s="138" t="n">
        <v>1995</v>
      </c>
      <c r="AY83" s="138" t="n">
        <v>8</v>
      </c>
    </row>
    <row r="84" ht="16.5" customFormat="1" customHeight="1" s="37">
      <c r="A84" s="74" t="n"/>
      <c r="B84" s="74" t="n"/>
      <c r="C84" s="74" t="n"/>
      <c r="D84" s="74" t="n"/>
      <c r="E84" s="74" t="n"/>
      <c r="F84" s="74" t="n"/>
      <c r="G84" s="74" t="n"/>
      <c r="H84" s="74" t="n"/>
      <c r="I84" s="74" t="n"/>
      <c r="J84" s="74" t="n"/>
      <c r="K84" s="74" t="n"/>
      <c r="L84" s="74" t="n"/>
      <c r="M84" s="74" t="n"/>
      <c r="N84" s="74" t="n"/>
      <c r="O84" s="74" t="n"/>
      <c r="P84" s="74" t="n"/>
      <c r="Q84" s="74" t="n"/>
      <c r="R84" s="74" t="n"/>
      <c r="S84" s="74" t="n"/>
      <c r="T84" s="74" t="n"/>
      <c r="U84" s="74" t="n"/>
      <c r="V84" s="74" t="n"/>
      <c r="W84" s="74" t="n"/>
      <c r="X84" s="74" t="n"/>
      <c r="Y84" s="74" t="n"/>
      <c r="Z84" s="74" t="n"/>
      <c r="AA84" s="74" t="n"/>
      <c r="AB84" s="74" t="n"/>
      <c r="AC84" s="74" t="n"/>
      <c r="AD84" s="74" t="n"/>
      <c r="AE84" s="74" t="n"/>
      <c r="AF84" s="74" t="n"/>
      <c r="AG84" s="74" t="n"/>
      <c r="AH84" s="74" t="n"/>
      <c r="AI84" s="74" t="n"/>
      <c r="AJ84" s="74" t="n"/>
      <c r="AK84" s="74" t="n"/>
      <c r="AL84" s="74" t="n"/>
      <c r="AM84" s="74" t="n"/>
      <c r="AN84" s="74" t="n"/>
      <c r="AO84" s="74" t="n"/>
      <c r="AP84" s="74" t="n"/>
      <c r="AQ84" s="74" t="n"/>
      <c r="AR84" s="74" t="n"/>
      <c r="AS84" s="74" t="n"/>
      <c r="AT84" s="74" t="n"/>
      <c r="AU84" s="74" t="n"/>
      <c r="AV84" s="74" t="n"/>
      <c r="AX84" s="138" t="n">
        <v>1993</v>
      </c>
      <c r="AY84" s="138" t="n">
        <v>4</v>
      </c>
    </row>
    <row r="85" ht="16.5" customFormat="1" customHeight="1" s="37">
      <c r="A85" s="74" t="n"/>
      <c r="B85" s="74" t="n"/>
      <c r="C85" s="74" t="n"/>
      <c r="D85" s="74" t="n"/>
      <c r="E85" s="74" t="n"/>
      <c r="F85" s="74" t="n"/>
      <c r="G85" s="74" t="n"/>
      <c r="H85" s="74" t="n"/>
      <c r="I85" s="74" t="n"/>
      <c r="J85" s="74" t="n"/>
      <c r="K85" s="74" t="n"/>
      <c r="L85" s="74" t="n"/>
      <c r="M85" s="74" t="n"/>
      <c r="N85" s="74" t="n"/>
      <c r="O85" s="74" t="n"/>
      <c r="P85" s="74" t="n"/>
      <c r="Q85" s="74" t="n"/>
      <c r="R85" s="74" t="n"/>
      <c r="S85" s="74" t="n"/>
      <c r="T85" s="74" t="n"/>
      <c r="U85" s="74" t="n"/>
      <c r="V85" s="74" t="n"/>
      <c r="W85" s="74" t="n"/>
      <c r="X85" s="74" t="n"/>
      <c r="Y85" s="74" t="n"/>
      <c r="Z85" s="74" t="n"/>
      <c r="AA85" s="74" t="n"/>
      <c r="AB85" s="74" t="n"/>
      <c r="AC85" s="74" t="n"/>
      <c r="AD85" s="74" t="n"/>
      <c r="AE85" s="74" t="n"/>
      <c r="AF85" s="74" t="n"/>
      <c r="AG85" s="74" t="n"/>
      <c r="AH85" s="74" t="n"/>
      <c r="AI85" s="74" t="n"/>
      <c r="AJ85" s="74" t="n"/>
      <c r="AK85" s="74" t="n"/>
      <c r="AL85" s="74" t="n"/>
      <c r="AM85" s="74" t="n"/>
      <c r="AN85" s="74" t="n"/>
      <c r="AO85" s="74" t="n"/>
      <c r="AP85" s="74" t="n"/>
      <c r="AQ85" s="74" t="n"/>
      <c r="AR85" s="74" t="n"/>
      <c r="AS85" s="74" t="n"/>
      <c r="AT85" s="74" t="n"/>
      <c r="AU85" s="74" t="n"/>
      <c r="AV85" s="74" t="n"/>
      <c r="AX85" s="138" t="n">
        <v>1993</v>
      </c>
      <c r="AY85" s="138" t="n">
        <v>4</v>
      </c>
    </row>
    <row r="86" ht="16.5" customFormat="1" customHeight="1" s="37">
      <c r="A86" s="74" t="n"/>
      <c r="B86" s="74" t="n"/>
      <c r="C86" s="74" t="n"/>
      <c r="D86" s="74" t="n"/>
      <c r="E86" s="74" t="n"/>
      <c r="F86" s="74" t="n"/>
      <c r="G86" s="74" t="n"/>
      <c r="H86" s="74" t="n"/>
      <c r="I86" s="74" t="n"/>
      <c r="J86" s="74" t="n"/>
      <c r="K86" s="74" t="n"/>
      <c r="L86" s="74" t="n"/>
      <c r="M86" s="74" t="n"/>
      <c r="N86" s="74" t="n"/>
      <c r="O86" s="74" t="n"/>
      <c r="P86" s="74" t="n"/>
      <c r="Q86" s="74" t="n"/>
      <c r="R86" s="74" t="n"/>
      <c r="S86" s="74" t="n"/>
      <c r="T86" s="74" t="n"/>
      <c r="U86" s="74" t="n"/>
      <c r="V86" s="74" t="n"/>
      <c r="W86" s="74" t="n"/>
      <c r="X86" s="74" t="n"/>
      <c r="Y86" s="74" t="n"/>
      <c r="Z86" s="74" t="n"/>
      <c r="AA86" s="74" t="n"/>
      <c r="AB86" s="74" t="n"/>
      <c r="AC86" s="74" t="n"/>
      <c r="AD86" s="74" t="n"/>
      <c r="AE86" s="74" t="n"/>
      <c r="AF86" s="74" t="n"/>
      <c r="AG86" s="74" t="n"/>
      <c r="AH86" s="74" t="n"/>
      <c r="AI86" s="74" t="n"/>
      <c r="AJ86" s="74" t="n"/>
      <c r="AK86" s="74" t="n"/>
      <c r="AL86" s="74" t="n"/>
      <c r="AM86" s="74" t="n"/>
      <c r="AN86" s="74" t="n"/>
      <c r="AO86" s="74" t="n"/>
      <c r="AP86" s="74" t="n"/>
      <c r="AQ86" s="74" t="n"/>
      <c r="AR86" s="74" t="n"/>
      <c r="AS86" s="74" t="n"/>
      <c r="AT86" s="74" t="n"/>
      <c r="AU86" s="74" t="n"/>
      <c r="AV86" s="74" t="n"/>
      <c r="AX86" s="138" t="n">
        <v>1993</v>
      </c>
      <c r="AY86" s="138" t="n">
        <v>4</v>
      </c>
    </row>
    <row r="87" ht="16.5" customFormat="1" customHeight="1" s="37">
      <c r="A87" s="74" t="n"/>
      <c r="B87" s="74" t="n"/>
      <c r="C87" s="74" t="n"/>
      <c r="D87" s="74" t="n"/>
      <c r="E87" s="74" t="n"/>
      <c r="F87" s="74" t="n"/>
      <c r="G87" s="74" t="n"/>
      <c r="H87" s="74" t="n"/>
      <c r="I87" s="74" t="n"/>
      <c r="J87" s="74" t="n"/>
      <c r="K87" s="74" t="n"/>
      <c r="L87" s="74" t="n"/>
      <c r="M87" s="74" t="n"/>
      <c r="N87" s="74" t="n"/>
      <c r="O87" s="74" t="n"/>
      <c r="P87" s="74" t="n"/>
      <c r="Q87" s="74" t="n"/>
      <c r="R87" s="74" t="n"/>
      <c r="S87" s="74" t="n"/>
      <c r="T87" s="74" t="n"/>
      <c r="U87" s="74" t="n"/>
      <c r="V87" s="74" t="n"/>
      <c r="W87" s="74" t="n"/>
      <c r="X87" s="74" t="n"/>
      <c r="Y87" s="74" t="n"/>
      <c r="Z87" s="74" t="n"/>
      <c r="AA87" s="74" t="n"/>
      <c r="AB87" s="74" t="n"/>
      <c r="AC87" s="74" t="n"/>
      <c r="AD87" s="74" t="n"/>
      <c r="AE87" s="74" t="n"/>
      <c r="AF87" s="74" t="n"/>
      <c r="AG87" s="74" t="n"/>
      <c r="AH87" s="74" t="n"/>
      <c r="AI87" s="74" t="n"/>
      <c r="AJ87" s="74" t="n"/>
      <c r="AK87" s="74" t="n"/>
      <c r="AL87" s="74" t="n"/>
      <c r="AM87" s="74" t="n"/>
      <c r="AN87" s="74" t="n"/>
      <c r="AO87" s="74" t="n"/>
      <c r="AP87" s="74" t="n"/>
      <c r="AQ87" s="74" t="n"/>
      <c r="AR87" s="74" t="n"/>
      <c r="AS87" s="74" t="n"/>
      <c r="AT87" s="74" t="n"/>
      <c r="AU87" s="74" t="n"/>
      <c r="AV87" s="74" t="n"/>
      <c r="AX87" s="138" t="n">
        <v>2017</v>
      </c>
      <c r="AY87" s="138" t="n">
        <v>11</v>
      </c>
    </row>
    <row r="88" ht="16.5" customFormat="1" customHeight="1" s="37">
      <c r="A88" s="74" t="n"/>
      <c r="B88" s="74" t="n"/>
      <c r="C88" s="74" t="n"/>
      <c r="D88" s="74" t="n"/>
      <c r="E88" s="74" t="n"/>
      <c r="F88" s="74" t="n"/>
      <c r="G88" s="74" t="n"/>
      <c r="H88" s="74" t="n"/>
      <c r="I88" s="74" t="n"/>
      <c r="J88" s="74" t="n"/>
      <c r="K88" s="74" t="n"/>
      <c r="L88" s="74" t="n"/>
      <c r="M88" s="74" t="n"/>
      <c r="N88" s="74" t="n"/>
      <c r="O88" s="74" t="n"/>
      <c r="P88" s="74" t="n"/>
      <c r="Q88" s="74" t="n"/>
      <c r="R88" s="74" t="n"/>
      <c r="S88" s="74" t="n"/>
      <c r="T88" s="74" t="n"/>
      <c r="U88" s="74" t="n"/>
      <c r="V88" s="74" t="n"/>
      <c r="W88" s="74" t="n"/>
      <c r="X88" s="74" t="n"/>
      <c r="Y88" s="74" t="n"/>
      <c r="Z88" s="74" t="n"/>
      <c r="AA88" s="74" t="n"/>
      <c r="AB88" s="74" t="n"/>
      <c r="AC88" s="74" t="n"/>
      <c r="AD88" s="74" t="n"/>
      <c r="AE88" s="74" t="n"/>
      <c r="AF88" s="74" t="n"/>
      <c r="AG88" s="74" t="n"/>
      <c r="AH88" s="74" t="n"/>
      <c r="AI88" s="74" t="n"/>
      <c r="AJ88" s="74" t="n"/>
      <c r="AK88" s="74" t="n"/>
      <c r="AL88" s="74" t="n"/>
      <c r="AM88" s="74" t="n"/>
      <c r="AN88" s="74" t="n"/>
      <c r="AO88" s="74" t="n"/>
      <c r="AP88" s="74" t="n"/>
      <c r="AQ88" s="74" t="n"/>
      <c r="AR88" s="74" t="n"/>
      <c r="AS88" s="74" t="n"/>
      <c r="AT88" s="74" t="n"/>
      <c r="AU88" s="74" t="n"/>
      <c r="AV88" s="74" t="n"/>
      <c r="AX88" s="138" t="n">
        <v>2017</v>
      </c>
      <c r="AY88" s="138" t="n">
        <v>11</v>
      </c>
    </row>
    <row r="89" ht="16.5" customFormat="1" customHeight="1" s="37">
      <c r="A89" s="74" t="n"/>
      <c r="B89" s="74" t="n"/>
      <c r="C89" s="74" t="n"/>
      <c r="D89" s="74" t="n"/>
      <c r="E89" s="74" t="n"/>
      <c r="F89" s="74" t="n"/>
      <c r="G89" s="74" t="n"/>
      <c r="H89" s="74" t="n"/>
      <c r="I89" s="74" t="n"/>
      <c r="J89" s="74" t="n"/>
      <c r="K89" s="74" t="n"/>
      <c r="L89" s="74" t="n"/>
      <c r="M89" s="74" t="n"/>
      <c r="N89" s="74" t="n"/>
      <c r="O89" s="74" t="n"/>
      <c r="P89" s="74" t="n"/>
      <c r="Q89" s="74" t="n"/>
      <c r="R89" s="74" t="n"/>
      <c r="S89" s="74" t="n"/>
      <c r="T89" s="74" t="n"/>
      <c r="U89" s="74" t="n"/>
      <c r="V89" s="74" t="n"/>
      <c r="W89" s="74" t="n"/>
      <c r="X89" s="74" t="n"/>
      <c r="Y89" s="74" t="n"/>
      <c r="Z89" s="74" t="n"/>
      <c r="AA89" s="74" t="n"/>
      <c r="AB89" s="74" t="n"/>
      <c r="AC89" s="74" t="n"/>
      <c r="AD89" s="74" t="n"/>
      <c r="AE89" s="74" t="n"/>
      <c r="AF89" s="74" t="n"/>
      <c r="AG89" s="74" t="n"/>
      <c r="AH89" s="74" t="n"/>
      <c r="AI89" s="74" t="n"/>
      <c r="AJ89" s="74" t="n"/>
      <c r="AK89" s="74" t="n"/>
      <c r="AL89" s="74" t="n"/>
      <c r="AM89" s="74" t="n"/>
      <c r="AN89" s="74" t="n"/>
      <c r="AO89" s="74" t="n"/>
      <c r="AP89" s="74" t="n"/>
      <c r="AQ89" s="74" t="n"/>
      <c r="AR89" s="74" t="n"/>
      <c r="AS89" s="74" t="n"/>
      <c r="AT89" s="74" t="n"/>
      <c r="AU89" s="74" t="n"/>
      <c r="AV89" s="74" t="n"/>
      <c r="AX89" s="138" t="n">
        <v>1993</v>
      </c>
      <c r="AY89" s="138" t="n">
        <v>1</v>
      </c>
    </row>
    <row r="90" ht="16.5" customFormat="1" customHeight="1" s="37">
      <c r="A90" s="74" t="n"/>
      <c r="B90" s="74" t="n"/>
      <c r="C90" s="74" t="n"/>
      <c r="D90" s="74" t="n"/>
      <c r="E90" s="74" t="n"/>
      <c r="F90" s="74" t="n"/>
      <c r="G90" s="74" t="n"/>
      <c r="H90" s="74" t="n"/>
      <c r="I90" s="74" t="n"/>
      <c r="J90" s="74" t="n"/>
      <c r="K90" s="74" t="n"/>
      <c r="L90" s="74" t="n"/>
      <c r="M90" s="74" t="n"/>
      <c r="N90" s="74" t="n"/>
      <c r="O90" s="74" t="n"/>
      <c r="P90" s="74" t="n"/>
      <c r="Q90" s="74" t="n"/>
      <c r="R90" s="74" t="n"/>
      <c r="S90" s="74" t="n"/>
      <c r="T90" s="74" t="n"/>
      <c r="U90" s="74" t="n"/>
      <c r="V90" s="74" t="n"/>
      <c r="W90" s="74" t="n"/>
      <c r="X90" s="74" t="n"/>
      <c r="Y90" s="74" t="n"/>
      <c r="Z90" s="74" t="n"/>
      <c r="AA90" s="74" t="n"/>
      <c r="AB90" s="74" t="n"/>
      <c r="AC90" s="74" t="n"/>
      <c r="AD90" s="74" t="n"/>
      <c r="AE90" s="74" t="n"/>
      <c r="AF90" s="74" t="n"/>
      <c r="AG90" s="74" t="n"/>
      <c r="AH90" s="74" t="n"/>
      <c r="AI90" s="74" t="n"/>
      <c r="AJ90" s="74" t="n"/>
      <c r="AK90" s="74" t="n"/>
      <c r="AL90" s="74" t="n"/>
      <c r="AM90" s="74" t="n"/>
      <c r="AN90" s="74" t="n"/>
      <c r="AO90" s="74" t="n"/>
      <c r="AP90" s="74" t="n"/>
      <c r="AQ90" s="74" t="n"/>
      <c r="AR90" s="74" t="n"/>
      <c r="AS90" s="74" t="n"/>
      <c r="AT90" s="74" t="n"/>
      <c r="AU90" s="74" t="n"/>
      <c r="AV90" s="74" t="n"/>
      <c r="AX90" s="138" t="n">
        <v>2019</v>
      </c>
      <c r="AY90" s="138" t="n">
        <v>5</v>
      </c>
    </row>
    <row r="91" ht="16.5" customFormat="1" customHeight="1" s="37">
      <c r="A91" s="74" t="n"/>
      <c r="B91" s="74" t="n"/>
      <c r="C91" s="74" t="n"/>
      <c r="D91" s="74" t="n"/>
      <c r="E91" s="74" t="n"/>
      <c r="F91" s="74" t="n"/>
      <c r="G91" s="74" t="n"/>
      <c r="H91" s="74" t="n"/>
      <c r="I91" s="74" t="n"/>
      <c r="J91" s="74" t="n"/>
      <c r="K91" s="74" t="n"/>
      <c r="L91" s="74" t="n"/>
      <c r="M91" s="74" t="n"/>
      <c r="N91" s="74" t="n"/>
      <c r="O91" s="74" t="n"/>
      <c r="P91" s="74" t="n"/>
      <c r="Q91" s="74" t="n"/>
      <c r="R91" s="74" t="n"/>
      <c r="S91" s="74" t="n"/>
      <c r="T91" s="74" t="n"/>
      <c r="U91" s="74" t="n"/>
      <c r="V91" s="74" t="n"/>
      <c r="W91" s="74" t="n"/>
      <c r="X91" s="74" t="n"/>
      <c r="Y91" s="74" t="n"/>
      <c r="Z91" s="74" t="n"/>
      <c r="AA91" s="74" t="n"/>
      <c r="AB91" s="74" t="n"/>
      <c r="AC91" s="74" t="n"/>
      <c r="AD91" s="74" t="n"/>
      <c r="AE91" s="74" t="n"/>
      <c r="AF91" s="74" t="n"/>
      <c r="AG91" s="74" t="n"/>
      <c r="AH91" s="74" t="n"/>
      <c r="AI91" s="74" t="n"/>
      <c r="AJ91" s="74" t="n"/>
      <c r="AK91" s="74" t="n"/>
      <c r="AL91" s="74" t="n"/>
      <c r="AM91" s="74" t="n"/>
      <c r="AN91" s="74" t="n"/>
      <c r="AO91" s="74" t="n"/>
      <c r="AP91" s="74" t="n"/>
      <c r="AQ91" s="74" t="n"/>
      <c r="AR91" s="74" t="n"/>
      <c r="AS91" s="74" t="n"/>
      <c r="AT91" s="74" t="n"/>
      <c r="AU91" s="74" t="n"/>
      <c r="AV91" s="74" t="n"/>
      <c r="AX91" s="138" t="n">
        <v>2019</v>
      </c>
      <c r="AY91" s="138" t="n">
        <v>5</v>
      </c>
    </row>
    <row r="92" ht="16.5" customFormat="1" customHeight="1" s="37">
      <c r="A92" s="74" t="n"/>
      <c r="B92" s="74" t="n"/>
      <c r="C92" s="74" t="n"/>
      <c r="D92" s="74" t="n"/>
      <c r="E92" s="74" t="n"/>
      <c r="F92" s="74" t="n"/>
      <c r="G92" s="74" t="n"/>
      <c r="H92" s="74" t="n"/>
      <c r="I92" s="74" t="n"/>
      <c r="J92" s="74" t="n"/>
      <c r="K92" s="74" t="n"/>
      <c r="L92" s="74" t="n"/>
      <c r="M92" s="74" t="n"/>
      <c r="N92" s="74" t="n"/>
      <c r="O92" s="74" t="n"/>
      <c r="P92" s="74" t="n"/>
      <c r="Q92" s="74" t="n"/>
      <c r="R92" s="74" t="n"/>
      <c r="S92" s="74" t="n"/>
      <c r="T92" s="74" t="n"/>
      <c r="U92" s="74" t="n"/>
      <c r="V92" s="74" t="n"/>
      <c r="W92" s="74" t="n"/>
      <c r="X92" s="74" t="n"/>
      <c r="Y92" s="74" t="n"/>
      <c r="Z92" s="74" t="n"/>
      <c r="AA92" s="74" t="n"/>
      <c r="AB92" s="74" t="n"/>
      <c r="AC92" s="74" t="n"/>
      <c r="AD92" s="74" t="n"/>
      <c r="AE92" s="74" t="n"/>
      <c r="AF92" s="74" t="n"/>
      <c r="AG92" s="74" t="n"/>
      <c r="AH92" s="74" t="n"/>
      <c r="AI92" s="74" t="n"/>
      <c r="AJ92" s="74" t="n"/>
      <c r="AK92" s="74" t="n"/>
      <c r="AL92" s="74" t="n"/>
      <c r="AM92" s="74" t="n"/>
      <c r="AN92" s="74" t="n"/>
      <c r="AO92" s="74" t="n"/>
      <c r="AP92" s="74" t="n"/>
      <c r="AQ92" s="74" t="n"/>
      <c r="AR92" s="74" t="n"/>
      <c r="AS92" s="74" t="n"/>
      <c r="AT92" s="74" t="n"/>
      <c r="AU92" s="74" t="n"/>
      <c r="AV92" s="74" t="n"/>
      <c r="AX92" s="138" t="n">
        <v>2019</v>
      </c>
      <c r="AY92" s="138" t="n">
        <v>5</v>
      </c>
    </row>
    <row r="93" ht="16.5" customFormat="1" customHeight="1" s="37">
      <c r="A93" s="74" t="n"/>
      <c r="B93" s="74" t="n"/>
      <c r="C93" s="74" t="n"/>
      <c r="D93" s="74" t="n"/>
      <c r="E93" s="74" t="n"/>
      <c r="F93" s="74" t="n"/>
      <c r="G93" s="74" t="n"/>
      <c r="H93" s="74" t="n"/>
      <c r="I93" s="74" t="n"/>
      <c r="J93" s="74" t="n"/>
      <c r="K93" s="74" t="n"/>
      <c r="L93" s="74" t="n"/>
      <c r="M93" s="74" t="n"/>
      <c r="N93" s="74" t="n"/>
      <c r="O93" s="74" t="n"/>
      <c r="P93" s="74" t="n"/>
      <c r="Q93" s="74" t="n"/>
      <c r="R93" s="74" t="n"/>
      <c r="S93" s="74" t="n"/>
      <c r="T93" s="74" t="n"/>
      <c r="U93" s="74" t="n"/>
      <c r="V93" s="74" t="n"/>
      <c r="W93" s="74" t="n"/>
      <c r="X93" s="74" t="n"/>
      <c r="Y93" s="74" t="n"/>
      <c r="Z93" s="74" t="n"/>
      <c r="AA93" s="74" t="n"/>
      <c r="AB93" s="74" t="n"/>
      <c r="AC93" s="74" t="n"/>
      <c r="AD93" s="74" t="n"/>
      <c r="AE93" s="74" t="n"/>
      <c r="AF93" s="74" t="n"/>
      <c r="AG93" s="74" t="n"/>
      <c r="AH93" s="74" t="n"/>
      <c r="AI93" s="74" t="n"/>
      <c r="AJ93" s="74" t="n"/>
      <c r="AK93" s="74" t="n"/>
      <c r="AL93" s="74" t="n"/>
      <c r="AM93" s="74" t="n"/>
      <c r="AN93" s="74" t="n"/>
      <c r="AO93" s="74" t="n"/>
      <c r="AP93" s="74" t="n"/>
      <c r="AQ93" s="74" t="n"/>
      <c r="AR93" s="74" t="n"/>
      <c r="AS93" s="74" t="n"/>
      <c r="AT93" s="74" t="n"/>
      <c r="AU93" s="74" t="n"/>
      <c r="AV93" s="74" t="n"/>
      <c r="AX93" s="138" t="n">
        <v>1994</v>
      </c>
      <c r="AY93" s="138" t="n">
        <v>12</v>
      </c>
    </row>
    <row r="94" ht="16.5" customFormat="1" customHeight="1" s="37">
      <c r="A94" s="74" t="n"/>
      <c r="B94" s="74" t="n"/>
      <c r="C94" s="74" t="n"/>
      <c r="D94" s="74" t="n"/>
      <c r="E94" s="74" t="n"/>
      <c r="F94" s="74" t="n"/>
      <c r="G94" s="74" t="n"/>
      <c r="H94" s="74" t="n"/>
      <c r="I94" s="74" t="n"/>
      <c r="J94" s="74" t="n"/>
      <c r="K94" s="74" t="n"/>
      <c r="L94" s="74" t="n"/>
      <c r="M94" s="74" t="n"/>
      <c r="N94" s="74" t="n"/>
      <c r="O94" s="74" t="n"/>
      <c r="P94" s="74" t="n"/>
      <c r="Q94" s="74" t="n"/>
      <c r="R94" s="74" t="n"/>
      <c r="S94" s="74" t="n"/>
      <c r="T94" s="74" t="n"/>
      <c r="U94" s="74" t="n"/>
      <c r="V94" s="74" t="n"/>
      <c r="W94" s="74" t="n"/>
      <c r="X94" s="74" t="n"/>
      <c r="Y94" s="74" t="n"/>
      <c r="Z94" s="74" t="n"/>
      <c r="AA94" s="74" t="n"/>
      <c r="AB94" s="74" t="n"/>
      <c r="AC94" s="74" t="n"/>
      <c r="AD94" s="74" t="n"/>
      <c r="AE94" s="74" t="n"/>
      <c r="AF94" s="74" t="n"/>
      <c r="AG94" s="74" t="n"/>
      <c r="AH94" s="74" t="n"/>
      <c r="AI94" s="74" t="n"/>
      <c r="AJ94" s="74" t="n"/>
      <c r="AK94" s="74" t="n"/>
      <c r="AL94" s="74" t="n"/>
      <c r="AM94" s="74" t="n"/>
      <c r="AN94" s="74" t="n"/>
      <c r="AO94" s="74" t="n"/>
      <c r="AP94" s="74" t="n"/>
      <c r="AQ94" s="74" t="n"/>
      <c r="AR94" s="74" t="n"/>
      <c r="AS94" s="74" t="n"/>
      <c r="AT94" s="74" t="n"/>
      <c r="AU94" s="74" t="n"/>
      <c r="AV94" s="74" t="n"/>
      <c r="AX94" s="138" t="n">
        <v>1994</v>
      </c>
      <c r="AY94" s="138" t="n">
        <v>12</v>
      </c>
    </row>
    <row r="95" ht="16.5" customFormat="1" customHeight="1" s="37">
      <c r="A95" s="74" t="n"/>
      <c r="B95" s="74" t="n"/>
      <c r="C95" s="74" t="n"/>
      <c r="D95" s="74" t="n"/>
      <c r="E95" s="74" t="n"/>
      <c r="F95" s="74" t="n"/>
      <c r="G95" s="74" t="n"/>
      <c r="H95" s="74" t="n"/>
      <c r="I95" s="74" t="n"/>
      <c r="J95" s="74" t="n"/>
      <c r="K95" s="74" t="n"/>
      <c r="L95" s="74" t="n"/>
      <c r="M95" s="74" t="n"/>
      <c r="N95" s="74" t="n"/>
      <c r="O95" s="74" t="n"/>
      <c r="P95" s="74" t="n"/>
      <c r="Q95" s="74" t="n"/>
      <c r="R95" s="74" t="n"/>
      <c r="S95" s="74" t="n"/>
      <c r="T95" s="74" t="n"/>
      <c r="U95" s="74" t="n"/>
      <c r="V95" s="74" t="n"/>
      <c r="W95" s="74" t="n"/>
      <c r="X95" s="74" t="n"/>
      <c r="Y95" s="74" t="n"/>
      <c r="Z95" s="74" t="n"/>
      <c r="AA95" s="74" t="n"/>
      <c r="AB95" s="74" t="n"/>
      <c r="AC95" s="74" t="n"/>
      <c r="AD95" s="74" t="n"/>
      <c r="AE95" s="74" t="n"/>
      <c r="AF95" s="74" t="n"/>
      <c r="AG95" s="74" t="n"/>
      <c r="AH95" s="74" t="n"/>
      <c r="AI95" s="74" t="n"/>
      <c r="AJ95" s="74" t="n"/>
      <c r="AK95" s="74" t="n"/>
      <c r="AL95" s="74" t="n"/>
      <c r="AM95" s="74" t="n"/>
      <c r="AN95" s="74" t="n"/>
      <c r="AO95" s="74" t="n"/>
      <c r="AP95" s="74" t="n"/>
      <c r="AQ95" s="74" t="n"/>
      <c r="AR95" s="74" t="n"/>
      <c r="AS95" s="74" t="n"/>
      <c r="AT95" s="74" t="n"/>
      <c r="AU95" s="74" t="n"/>
      <c r="AV95" s="74" t="n"/>
      <c r="AX95" s="138" t="n">
        <v>1994</v>
      </c>
      <c r="AY95" s="138" t="n">
        <v>12</v>
      </c>
    </row>
    <row r="96" ht="16.5" customFormat="1" customHeight="1" s="37">
      <c r="A96" s="74" t="n"/>
      <c r="B96" s="74" t="n"/>
      <c r="C96" s="74" t="n"/>
      <c r="D96" s="74" t="n"/>
      <c r="E96" s="74" t="n"/>
      <c r="F96" s="74" t="n"/>
      <c r="G96" s="74" t="n"/>
      <c r="H96" s="74" t="n"/>
      <c r="I96" s="74" t="n"/>
      <c r="J96" s="74" t="n"/>
      <c r="K96" s="74" t="n"/>
      <c r="L96" s="74" t="n"/>
      <c r="M96" s="74" t="n"/>
      <c r="N96" s="74" t="n"/>
      <c r="O96" s="74" t="n"/>
      <c r="P96" s="74" t="n"/>
      <c r="Q96" s="74" t="n"/>
      <c r="R96" s="74" t="n"/>
      <c r="S96" s="74" t="n"/>
      <c r="T96" s="74" t="n"/>
      <c r="U96" s="74" t="n"/>
      <c r="V96" s="74" t="n"/>
      <c r="W96" s="74" t="n"/>
      <c r="X96" s="74" t="n"/>
      <c r="Y96" s="74" t="n"/>
      <c r="Z96" s="74" t="n"/>
      <c r="AA96" s="74" t="n"/>
      <c r="AB96" s="74" t="n"/>
      <c r="AC96" s="74" t="n"/>
      <c r="AD96" s="74" t="n"/>
      <c r="AE96" s="74" t="n"/>
      <c r="AF96" s="74" t="n"/>
      <c r="AG96" s="74" t="n"/>
      <c r="AH96" s="74" t="n"/>
      <c r="AI96" s="74" t="n"/>
      <c r="AJ96" s="74" t="n"/>
      <c r="AK96" s="74" t="n"/>
      <c r="AL96" s="74" t="n"/>
      <c r="AM96" s="74" t="n"/>
      <c r="AN96" s="74" t="n"/>
      <c r="AO96" s="74" t="n"/>
      <c r="AP96" s="74" t="n"/>
      <c r="AQ96" s="74" t="n"/>
      <c r="AR96" s="74" t="n"/>
      <c r="AS96" s="74" t="n"/>
      <c r="AT96" s="74" t="n"/>
      <c r="AU96" s="74" t="n"/>
      <c r="AV96" s="74" t="n"/>
      <c r="AX96" s="138" t="n">
        <v>1994</v>
      </c>
      <c r="AY96" s="138" t="n">
        <v>4</v>
      </c>
    </row>
    <row r="97" ht="16.5" customFormat="1" customHeight="1" s="37">
      <c r="A97" s="74" t="n"/>
      <c r="B97" s="74" t="n"/>
      <c r="C97" s="74" t="n"/>
      <c r="D97" s="74" t="n"/>
      <c r="E97" s="74" t="n"/>
      <c r="F97" s="74" t="n"/>
      <c r="G97" s="74" t="n"/>
      <c r="H97" s="74" t="n"/>
      <c r="I97" s="74" t="n"/>
      <c r="J97" s="74" t="n"/>
      <c r="K97" s="74" t="n"/>
      <c r="L97" s="74" t="n"/>
      <c r="M97" s="74" t="n"/>
      <c r="N97" s="74" t="n"/>
      <c r="O97" s="74" t="n"/>
      <c r="P97" s="74" t="n"/>
      <c r="Q97" s="74" t="n"/>
      <c r="R97" s="74" t="n"/>
      <c r="S97" s="74" t="n"/>
      <c r="T97" s="74" t="n"/>
      <c r="U97" s="74" t="n"/>
      <c r="V97" s="74" t="n"/>
      <c r="W97" s="74" t="n"/>
      <c r="X97" s="74" t="n"/>
      <c r="Y97" s="74" t="n"/>
      <c r="Z97" s="74" t="n"/>
      <c r="AA97" s="74" t="n"/>
      <c r="AB97" s="74" t="n"/>
      <c r="AC97" s="74" t="n"/>
      <c r="AD97" s="74" t="n"/>
      <c r="AE97" s="74" t="n"/>
      <c r="AF97" s="74" t="n"/>
      <c r="AG97" s="74" t="n"/>
      <c r="AH97" s="74" t="n"/>
      <c r="AI97" s="74" t="n"/>
      <c r="AJ97" s="74" t="n"/>
      <c r="AK97" s="74" t="n"/>
      <c r="AL97" s="74" t="n"/>
      <c r="AM97" s="74" t="n"/>
      <c r="AN97" s="74" t="n"/>
      <c r="AO97" s="74" t="n"/>
      <c r="AP97" s="74" t="n"/>
      <c r="AQ97" s="74" t="n"/>
      <c r="AR97" s="74" t="n"/>
      <c r="AS97" s="74" t="n"/>
      <c r="AT97" s="74" t="n"/>
      <c r="AU97" s="74" t="n"/>
      <c r="AV97" s="74" t="n"/>
      <c r="AX97" s="138" t="n">
        <v>1994</v>
      </c>
      <c r="AY97" s="138" t="n">
        <v>4</v>
      </c>
    </row>
    <row r="98" ht="16.5" customFormat="1" customHeight="1" s="37">
      <c r="A98" s="74" t="n"/>
      <c r="B98" s="74" t="n"/>
      <c r="C98" s="74" t="n"/>
      <c r="D98" s="74" t="n"/>
      <c r="E98" s="74" t="n"/>
      <c r="F98" s="74" t="n"/>
      <c r="G98" s="74" t="n"/>
      <c r="H98" s="74" t="n"/>
      <c r="I98" s="74" t="n"/>
      <c r="J98" s="74" t="n"/>
      <c r="K98" s="74" t="n"/>
      <c r="L98" s="74" t="n"/>
      <c r="M98" s="74" t="n"/>
      <c r="N98" s="74" t="n"/>
      <c r="O98" s="74" t="n"/>
      <c r="P98" s="74" t="n"/>
      <c r="Q98" s="74" t="n"/>
      <c r="R98" s="74" t="n"/>
      <c r="S98" s="74" t="n"/>
      <c r="T98" s="74" t="n"/>
      <c r="U98" s="74" t="n"/>
      <c r="V98" s="74" t="n"/>
      <c r="W98" s="74" t="n"/>
      <c r="X98" s="74" t="n"/>
      <c r="Y98" s="74" t="n"/>
      <c r="Z98" s="74" t="n"/>
      <c r="AA98" s="74" t="n"/>
      <c r="AB98" s="74" t="n"/>
      <c r="AC98" s="74" t="n"/>
      <c r="AD98" s="74" t="n"/>
      <c r="AE98" s="74" t="n"/>
      <c r="AF98" s="74" t="n"/>
      <c r="AG98" s="74" t="n"/>
      <c r="AH98" s="74" t="n"/>
      <c r="AI98" s="74" t="n"/>
      <c r="AJ98" s="74" t="n"/>
      <c r="AK98" s="74" t="n"/>
      <c r="AL98" s="74" t="n"/>
      <c r="AM98" s="74" t="n"/>
      <c r="AN98" s="74" t="n"/>
      <c r="AO98" s="74" t="n"/>
      <c r="AP98" s="74" t="n"/>
      <c r="AQ98" s="74" t="n"/>
      <c r="AR98" s="74" t="n"/>
      <c r="AS98" s="74" t="n"/>
      <c r="AT98" s="74" t="n"/>
      <c r="AU98" s="74" t="n"/>
      <c r="AV98" s="74" t="n"/>
      <c r="AX98" s="138" t="n">
        <v>1994</v>
      </c>
      <c r="AY98" s="138" t="n">
        <v>6</v>
      </c>
    </row>
    <row r="99" ht="16.5" customFormat="1" customHeight="1" s="37">
      <c r="A99" s="74" t="n"/>
      <c r="B99" s="74" t="n"/>
      <c r="C99" s="74" t="n"/>
      <c r="D99" s="74" t="n"/>
      <c r="E99" s="74" t="n"/>
      <c r="F99" s="74" t="n"/>
      <c r="G99" s="74" t="n"/>
      <c r="H99" s="74" t="n"/>
      <c r="I99" s="74" t="n"/>
      <c r="J99" s="74" t="n"/>
      <c r="K99" s="74" t="n"/>
      <c r="L99" s="74" t="n"/>
      <c r="M99" s="74" t="n"/>
      <c r="N99" s="74" t="n"/>
      <c r="O99" s="74" t="n"/>
      <c r="P99" s="74" t="n"/>
      <c r="Q99" s="74" t="n"/>
      <c r="R99" s="74" t="n"/>
      <c r="S99" s="74" t="n"/>
      <c r="T99" s="74" t="n"/>
      <c r="U99" s="74" t="n"/>
      <c r="V99" s="74" t="n"/>
      <c r="W99" s="74" t="n"/>
      <c r="X99" s="74" t="n"/>
      <c r="Y99" s="74" t="n"/>
      <c r="Z99" s="74" t="n"/>
      <c r="AA99" s="74" t="n"/>
      <c r="AB99" s="74" t="n"/>
      <c r="AC99" s="74" t="n"/>
      <c r="AD99" s="74" t="n"/>
      <c r="AE99" s="74" t="n"/>
      <c r="AF99" s="74" t="n"/>
      <c r="AG99" s="74" t="n"/>
      <c r="AH99" s="74" t="n"/>
      <c r="AI99" s="74" t="n"/>
      <c r="AJ99" s="74" t="n"/>
      <c r="AK99" s="74" t="n"/>
      <c r="AL99" s="74" t="n"/>
      <c r="AM99" s="74" t="n"/>
      <c r="AN99" s="74" t="n"/>
      <c r="AO99" s="74" t="n"/>
      <c r="AP99" s="74" t="n"/>
      <c r="AQ99" s="74" t="n"/>
      <c r="AR99" s="74" t="n"/>
      <c r="AS99" s="74" t="n"/>
      <c r="AT99" s="74" t="n"/>
      <c r="AU99" s="74" t="n"/>
      <c r="AV99" s="74" t="n"/>
      <c r="AX99" s="138" t="n">
        <v>1994</v>
      </c>
      <c r="AY99" s="138" t="n">
        <v>6</v>
      </c>
    </row>
    <row r="100" ht="16.5" customFormat="1" customHeight="1" s="37">
      <c r="A100" s="74" t="n"/>
      <c r="B100" s="74" t="n"/>
      <c r="C100" s="74" t="n"/>
      <c r="D100" s="74" t="n"/>
      <c r="E100" s="74" t="n"/>
      <c r="F100" s="74" t="n"/>
      <c r="G100" s="74" t="n"/>
      <c r="H100" s="74" t="n"/>
      <c r="I100" s="74" t="n"/>
      <c r="J100" s="74" t="n"/>
      <c r="K100" s="74" t="n"/>
      <c r="L100" s="74" t="n"/>
      <c r="M100" s="74" t="n"/>
      <c r="N100" s="74" t="n"/>
      <c r="O100" s="74" t="n"/>
      <c r="P100" s="74" t="n"/>
      <c r="Q100" s="74" t="n"/>
      <c r="R100" s="74" t="n"/>
      <c r="S100" s="74" t="n"/>
      <c r="T100" s="74" t="n"/>
      <c r="U100" s="74" t="n"/>
      <c r="V100" s="74" t="n"/>
      <c r="W100" s="74" t="n"/>
      <c r="X100" s="74" t="n"/>
      <c r="Y100" s="74" t="n"/>
      <c r="Z100" s="74" t="n"/>
      <c r="AA100" s="74" t="n"/>
      <c r="AB100" s="74" t="n"/>
      <c r="AC100" s="74" t="n"/>
      <c r="AD100" s="74" t="n"/>
      <c r="AE100" s="74" t="n"/>
      <c r="AF100" s="74" t="n"/>
      <c r="AG100" s="74" t="n"/>
      <c r="AH100" s="74" t="n"/>
      <c r="AI100" s="74" t="n"/>
      <c r="AJ100" s="74" t="n"/>
      <c r="AK100" s="74" t="n"/>
      <c r="AL100" s="74" t="n"/>
      <c r="AM100" s="74" t="n"/>
      <c r="AN100" s="74" t="n"/>
      <c r="AO100" s="74" t="n"/>
      <c r="AP100" s="74" t="n"/>
      <c r="AQ100" s="74" t="n"/>
      <c r="AR100" s="74" t="n"/>
      <c r="AS100" s="74" t="n"/>
      <c r="AT100" s="74" t="n"/>
      <c r="AU100" s="74" t="n"/>
      <c r="AV100" s="74" t="n"/>
      <c r="AX100" s="138" t="n">
        <v>1994</v>
      </c>
      <c r="AY100" s="138" t="n">
        <v>6</v>
      </c>
    </row>
    <row r="101" ht="16.5" customFormat="1" customHeight="1" s="37">
      <c r="A101" s="74" t="n"/>
      <c r="B101" s="74" t="n"/>
      <c r="C101" s="74" t="n"/>
      <c r="D101" s="74" t="n"/>
      <c r="E101" s="74" t="n"/>
      <c r="F101" s="74" t="n"/>
      <c r="G101" s="74" t="n"/>
      <c r="H101" s="74" t="n"/>
      <c r="I101" s="74" t="n"/>
      <c r="J101" s="74" t="n"/>
      <c r="K101" s="74" t="n"/>
      <c r="L101" s="74" t="n"/>
      <c r="M101" s="74" t="n"/>
      <c r="N101" s="74" t="n"/>
      <c r="O101" s="74" t="n"/>
      <c r="P101" s="74" t="n"/>
      <c r="Q101" s="74" t="n"/>
      <c r="R101" s="74" t="n"/>
      <c r="S101" s="74" t="n"/>
      <c r="T101" s="74" t="n"/>
      <c r="U101" s="74" t="n"/>
      <c r="V101" s="74" t="n"/>
      <c r="W101" s="74" t="n"/>
      <c r="X101" s="74" t="n"/>
      <c r="Y101" s="74" t="n"/>
      <c r="Z101" s="74" t="n"/>
      <c r="AA101" s="74" t="n"/>
      <c r="AB101" s="74" t="n"/>
      <c r="AC101" s="74" t="n"/>
      <c r="AD101" s="74" t="n"/>
      <c r="AE101" s="74" t="n"/>
      <c r="AF101" s="74" t="n"/>
      <c r="AG101" s="74" t="n"/>
      <c r="AH101" s="74" t="n"/>
      <c r="AI101" s="74" t="n"/>
      <c r="AJ101" s="74" t="n"/>
      <c r="AK101" s="74" t="n"/>
      <c r="AL101" s="74" t="n"/>
      <c r="AM101" s="74" t="n"/>
      <c r="AN101" s="74" t="n"/>
      <c r="AO101" s="74" t="n"/>
      <c r="AP101" s="74" t="n"/>
      <c r="AQ101" s="74" t="n"/>
      <c r="AR101" s="74" t="n"/>
      <c r="AS101" s="74" t="n"/>
      <c r="AT101" s="74" t="n"/>
      <c r="AU101" s="74" t="n"/>
      <c r="AV101" s="74" t="n"/>
      <c r="AX101" s="138" t="n">
        <v>1994</v>
      </c>
      <c r="AY101" s="138" t="n">
        <v>6</v>
      </c>
    </row>
    <row r="102" ht="16.5" customFormat="1" customHeight="1" s="37">
      <c r="A102" s="74" t="n"/>
      <c r="B102" s="74" t="n"/>
      <c r="C102" s="74" t="n"/>
      <c r="D102" s="74" t="n"/>
      <c r="E102" s="74" t="n"/>
      <c r="F102" s="74" t="n"/>
      <c r="G102" s="74" t="n"/>
      <c r="H102" s="74" t="n"/>
      <c r="I102" s="74" t="n"/>
      <c r="J102" s="74" t="n"/>
      <c r="K102" s="74" t="n"/>
      <c r="L102" s="74" t="n"/>
      <c r="M102" s="74" t="n"/>
      <c r="N102" s="74" t="n"/>
      <c r="O102" s="74" t="n"/>
      <c r="P102" s="74" t="n"/>
      <c r="Q102" s="74" t="n"/>
      <c r="R102" s="74" t="n"/>
      <c r="S102" s="74" t="n"/>
      <c r="T102" s="74" t="n"/>
      <c r="U102" s="74" t="n"/>
      <c r="V102" s="74" t="n"/>
      <c r="W102" s="74" t="n"/>
      <c r="X102" s="74" t="n"/>
      <c r="Y102" s="74" t="n"/>
      <c r="Z102" s="74" t="n"/>
      <c r="AA102" s="74" t="n"/>
      <c r="AB102" s="74" t="n"/>
      <c r="AC102" s="74" t="n"/>
      <c r="AD102" s="74" t="n"/>
      <c r="AE102" s="74" t="n"/>
      <c r="AF102" s="74" t="n"/>
      <c r="AG102" s="74" t="n"/>
      <c r="AH102" s="74" t="n"/>
      <c r="AI102" s="74" t="n"/>
      <c r="AJ102" s="74" t="n"/>
      <c r="AK102" s="74" t="n"/>
      <c r="AL102" s="74" t="n"/>
      <c r="AM102" s="74" t="n"/>
      <c r="AN102" s="74" t="n"/>
      <c r="AO102" s="74" t="n"/>
      <c r="AP102" s="74" t="n"/>
      <c r="AQ102" s="74" t="n"/>
      <c r="AR102" s="74" t="n"/>
      <c r="AS102" s="74" t="n"/>
      <c r="AT102" s="74" t="n"/>
      <c r="AU102" s="74" t="n"/>
      <c r="AV102" s="74" t="n"/>
      <c r="AX102" s="138" t="n">
        <v>1993</v>
      </c>
      <c r="AY102" s="138" t="n">
        <v>12</v>
      </c>
    </row>
    <row r="103" ht="16.5" customFormat="1" customHeight="1" s="37">
      <c r="A103" s="74" t="n"/>
      <c r="B103" s="74" t="n"/>
      <c r="C103" s="74" t="n"/>
      <c r="D103" s="74" t="n"/>
      <c r="E103" s="74" t="n"/>
      <c r="F103" s="74" t="n"/>
      <c r="G103" s="74" t="n"/>
      <c r="H103" s="74" t="n"/>
      <c r="I103" s="74" t="n"/>
      <c r="J103" s="74" t="n"/>
      <c r="K103" s="74" t="n"/>
      <c r="L103" s="74" t="n"/>
      <c r="M103" s="74" t="n"/>
      <c r="N103" s="74" t="n"/>
      <c r="O103" s="74" t="n"/>
      <c r="P103" s="74" t="n"/>
      <c r="Q103" s="74" t="n"/>
      <c r="R103" s="74" t="n"/>
      <c r="S103" s="74" t="n"/>
      <c r="T103" s="74" t="n"/>
      <c r="U103" s="74" t="n"/>
      <c r="V103" s="74" t="n"/>
      <c r="W103" s="74" t="n"/>
      <c r="X103" s="74" t="n"/>
      <c r="Y103" s="74" t="n"/>
      <c r="Z103" s="74" t="n"/>
      <c r="AA103" s="74" t="n"/>
      <c r="AB103" s="74" t="n"/>
      <c r="AC103" s="74" t="n"/>
      <c r="AD103" s="74" t="n"/>
      <c r="AE103" s="74" t="n"/>
      <c r="AF103" s="74" t="n"/>
      <c r="AG103" s="74" t="n"/>
      <c r="AH103" s="74" t="n"/>
      <c r="AI103" s="74" t="n"/>
      <c r="AJ103" s="74" t="n"/>
      <c r="AK103" s="74" t="n"/>
      <c r="AL103" s="74" t="n"/>
      <c r="AM103" s="74" t="n"/>
      <c r="AN103" s="74" t="n"/>
      <c r="AO103" s="74" t="n"/>
      <c r="AP103" s="74" t="n"/>
      <c r="AQ103" s="74" t="n"/>
      <c r="AR103" s="74" t="n"/>
      <c r="AS103" s="74" t="n"/>
      <c r="AT103" s="74" t="n"/>
      <c r="AU103" s="74" t="n"/>
      <c r="AV103" s="74" t="n"/>
      <c r="AX103" s="138" t="n">
        <v>1993</v>
      </c>
      <c r="AY103" s="138" t="n">
        <v>7</v>
      </c>
    </row>
    <row r="104" ht="16.5" customFormat="1" customHeight="1" s="37">
      <c r="A104" s="74" t="n"/>
      <c r="B104" s="74" t="n"/>
      <c r="C104" s="74" t="n"/>
      <c r="D104" s="74" t="n"/>
      <c r="E104" s="74" t="n"/>
      <c r="F104" s="74" t="n"/>
      <c r="G104" s="74" t="n"/>
      <c r="H104" s="74" t="n"/>
      <c r="I104" s="74" t="n"/>
      <c r="J104" s="74" t="n"/>
      <c r="K104" s="74" t="n"/>
      <c r="L104" s="74" t="n"/>
      <c r="M104" s="74" t="n"/>
      <c r="N104" s="74" t="n"/>
      <c r="O104" s="74" t="n"/>
      <c r="P104" s="74" t="n"/>
      <c r="Q104" s="74" t="n"/>
      <c r="R104" s="74" t="n"/>
      <c r="S104" s="74" t="n"/>
      <c r="T104" s="74" t="n"/>
      <c r="U104" s="74" t="n"/>
      <c r="V104" s="74" t="n"/>
      <c r="W104" s="74" t="n"/>
      <c r="X104" s="74" t="n"/>
      <c r="Y104" s="74" t="n"/>
      <c r="Z104" s="74" t="n"/>
      <c r="AA104" s="74" t="n"/>
      <c r="AB104" s="74" t="n"/>
      <c r="AC104" s="74" t="n"/>
      <c r="AD104" s="74" t="n"/>
      <c r="AE104" s="74" t="n"/>
      <c r="AF104" s="74" t="n"/>
      <c r="AG104" s="74" t="n"/>
      <c r="AH104" s="74" t="n"/>
      <c r="AI104" s="74" t="n"/>
      <c r="AJ104" s="74" t="n"/>
      <c r="AK104" s="74" t="n"/>
      <c r="AL104" s="74" t="n"/>
      <c r="AM104" s="74" t="n"/>
      <c r="AN104" s="74" t="n"/>
      <c r="AO104" s="74" t="n"/>
      <c r="AP104" s="74" t="n"/>
      <c r="AQ104" s="74" t="n"/>
      <c r="AR104" s="74" t="n"/>
      <c r="AS104" s="74" t="n"/>
      <c r="AT104" s="74" t="n"/>
      <c r="AU104" s="74" t="n"/>
      <c r="AV104" s="74" t="n"/>
      <c r="AX104" s="138" t="n">
        <v>1994</v>
      </c>
      <c r="AY104" s="138" t="n">
        <v>4</v>
      </c>
    </row>
    <row r="105" ht="16.5" customFormat="1" customHeight="1" s="37">
      <c r="A105" s="74" t="n"/>
      <c r="B105" s="74" t="n"/>
      <c r="C105" s="74" t="n"/>
      <c r="D105" s="74" t="n"/>
      <c r="E105" s="74" t="n"/>
      <c r="F105" s="74" t="n"/>
      <c r="G105" s="74" t="n"/>
      <c r="H105" s="74" t="n"/>
      <c r="I105" s="74" t="n"/>
      <c r="J105" s="74" t="n"/>
      <c r="K105" s="74" t="n"/>
      <c r="L105" s="74" t="n"/>
      <c r="M105" s="74" t="n"/>
      <c r="N105" s="74" t="n"/>
      <c r="O105" s="74" t="n"/>
      <c r="P105" s="74" t="n"/>
      <c r="Q105" s="74" t="n"/>
      <c r="R105" s="74" t="n"/>
      <c r="S105" s="74" t="n"/>
      <c r="T105" s="74" t="n"/>
      <c r="U105" s="74" t="n"/>
      <c r="V105" s="74" t="n"/>
      <c r="W105" s="74" t="n"/>
      <c r="X105" s="74" t="n"/>
      <c r="Y105" s="74" t="n"/>
      <c r="Z105" s="74" t="n"/>
      <c r="AA105" s="74" t="n"/>
      <c r="AB105" s="74" t="n"/>
      <c r="AC105" s="74" t="n"/>
      <c r="AD105" s="74" t="n"/>
      <c r="AE105" s="74" t="n"/>
      <c r="AF105" s="74" t="n"/>
      <c r="AG105" s="74" t="n"/>
      <c r="AH105" s="74" t="n"/>
      <c r="AI105" s="74" t="n"/>
      <c r="AJ105" s="74" t="n"/>
      <c r="AK105" s="74" t="n"/>
      <c r="AL105" s="74" t="n"/>
      <c r="AM105" s="74" t="n"/>
      <c r="AN105" s="74" t="n"/>
      <c r="AO105" s="74" t="n"/>
      <c r="AP105" s="74" t="n"/>
      <c r="AQ105" s="74" t="n"/>
      <c r="AR105" s="74" t="n"/>
      <c r="AS105" s="74" t="n"/>
      <c r="AT105" s="74" t="n"/>
      <c r="AU105" s="74" t="n"/>
      <c r="AV105" s="74" t="n"/>
      <c r="AX105" s="138" t="n">
        <v>1993</v>
      </c>
      <c r="AY105" s="138" t="n">
        <v>12</v>
      </c>
    </row>
    <row r="106" ht="16.5" customFormat="1" customHeight="1" s="37">
      <c r="A106" s="74" t="n"/>
      <c r="B106" s="74" t="n"/>
      <c r="C106" s="74" t="n"/>
      <c r="D106" s="74" t="n"/>
      <c r="E106" s="74" t="n"/>
      <c r="F106" s="74" t="n"/>
      <c r="G106" s="74" t="n"/>
      <c r="H106" s="74" t="n"/>
      <c r="I106" s="74" t="n"/>
      <c r="J106" s="74" t="n"/>
      <c r="K106" s="74" t="n"/>
      <c r="L106" s="74" t="n"/>
      <c r="M106" s="74" t="n"/>
      <c r="N106" s="74" t="n"/>
      <c r="O106" s="74" t="n"/>
      <c r="P106" s="74" t="n"/>
      <c r="Q106" s="74" t="n"/>
      <c r="R106" s="74" t="n"/>
      <c r="S106" s="74" t="n"/>
      <c r="T106" s="74" t="n"/>
      <c r="U106" s="74" t="n"/>
      <c r="V106" s="74" t="n"/>
      <c r="W106" s="74" t="n"/>
      <c r="X106" s="74" t="n"/>
      <c r="Y106" s="74" t="n"/>
      <c r="Z106" s="74" t="n"/>
      <c r="AA106" s="74" t="n"/>
      <c r="AB106" s="74" t="n"/>
      <c r="AC106" s="74" t="n"/>
      <c r="AD106" s="74" t="n"/>
      <c r="AE106" s="74" t="n"/>
      <c r="AF106" s="74" t="n"/>
      <c r="AG106" s="74" t="n"/>
      <c r="AH106" s="74" t="n"/>
      <c r="AI106" s="74" t="n"/>
      <c r="AJ106" s="74" t="n"/>
      <c r="AK106" s="74" t="n"/>
      <c r="AL106" s="74" t="n"/>
      <c r="AM106" s="74" t="n"/>
      <c r="AN106" s="74" t="n"/>
      <c r="AO106" s="74" t="n"/>
      <c r="AP106" s="74" t="n"/>
      <c r="AQ106" s="74" t="n"/>
      <c r="AR106" s="74" t="n"/>
      <c r="AS106" s="74" t="n"/>
      <c r="AT106" s="74" t="n"/>
      <c r="AU106" s="74" t="n"/>
      <c r="AV106" s="74" t="n"/>
      <c r="AX106" s="138" t="n">
        <v>1993</v>
      </c>
      <c r="AY106" s="138" t="n">
        <v>12</v>
      </c>
    </row>
    <row r="107" ht="16.5" customFormat="1" customHeight="1" s="37">
      <c r="A107" s="74" t="n"/>
      <c r="B107" s="74" t="n"/>
      <c r="C107" s="74" t="n"/>
      <c r="D107" s="74" t="n"/>
      <c r="E107" s="74" t="n"/>
      <c r="F107" s="74" t="n"/>
      <c r="G107" s="74" t="n"/>
      <c r="H107" s="74" t="n"/>
      <c r="I107" s="74" t="n"/>
      <c r="J107" s="74" t="n"/>
      <c r="K107" s="74" t="n"/>
      <c r="L107" s="74" t="n"/>
      <c r="M107" s="74" t="n"/>
      <c r="N107" s="74" t="n"/>
      <c r="O107" s="74" t="n"/>
      <c r="P107" s="74" t="n"/>
      <c r="Q107" s="74" t="n"/>
      <c r="R107" s="74" t="n"/>
      <c r="S107" s="74" t="n"/>
      <c r="T107" s="74" t="n"/>
      <c r="U107" s="74" t="n"/>
      <c r="V107" s="74" t="n"/>
      <c r="W107" s="74" t="n"/>
      <c r="X107" s="74" t="n"/>
      <c r="Y107" s="74" t="n"/>
      <c r="Z107" s="74" t="n"/>
      <c r="AA107" s="74" t="n"/>
      <c r="AB107" s="74" t="n"/>
      <c r="AC107" s="74" t="n"/>
      <c r="AD107" s="74" t="n"/>
      <c r="AE107" s="74" t="n"/>
      <c r="AF107" s="74" t="n"/>
      <c r="AG107" s="74" t="n"/>
      <c r="AH107" s="74" t="n"/>
      <c r="AI107" s="74" t="n"/>
      <c r="AJ107" s="74" t="n"/>
      <c r="AK107" s="74" t="n"/>
      <c r="AL107" s="74" t="n"/>
      <c r="AM107" s="74" t="n"/>
      <c r="AN107" s="74" t="n"/>
      <c r="AO107" s="74" t="n"/>
      <c r="AP107" s="74" t="n"/>
      <c r="AQ107" s="74" t="n"/>
      <c r="AR107" s="74" t="n"/>
      <c r="AS107" s="74" t="n"/>
      <c r="AT107" s="74" t="n"/>
      <c r="AU107" s="74" t="n"/>
      <c r="AV107" s="74" t="n"/>
      <c r="AX107" s="138" t="n">
        <v>1994</v>
      </c>
      <c r="AY107" s="138" t="n">
        <v>5</v>
      </c>
    </row>
    <row r="108" ht="16.5" customFormat="1" customHeight="1" s="37">
      <c r="A108" s="74" t="n"/>
      <c r="B108" s="74" t="n"/>
      <c r="C108" s="74" t="n"/>
      <c r="D108" s="74" t="n"/>
      <c r="E108" s="74" t="n"/>
      <c r="F108" s="74" t="n"/>
      <c r="G108" s="74" t="n"/>
      <c r="H108" s="74" t="n"/>
      <c r="I108" s="74" t="n"/>
      <c r="J108" s="74" t="n"/>
      <c r="K108" s="74" t="n"/>
      <c r="L108" s="74" t="n"/>
      <c r="M108" s="74" t="n"/>
      <c r="N108" s="74" t="n"/>
      <c r="O108" s="74" t="n"/>
      <c r="P108" s="74" t="n"/>
      <c r="Q108" s="74" t="n"/>
      <c r="R108" s="74" t="n"/>
      <c r="S108" s="74" t="n"/>
      <c r="T108" s="74" t="n"/>
      <c r="U108" s="74" t="n"/>
      <c r="V108" s="74" t="n"/>
      <c r="W108" s="74" t="n"/>
      <c r="X108" s="74" t="n"/>
      <c r="Y108" s="74" t="n"/>
      <c r="Z108" s="74" t="n"/>
      <c r="AA108" s="74" t="n"/>
      <c r="AB108" s="74" t="n"/>
      <c r="AC108" s="74" t="n"/>
      <c r="AD108" s="74" t="n"/>
      <c r="AE108" s="74" t="n"/>
      <c r="AF108" s="74" t="n"/>
      <c r="AG108" s="74" t="n"/>
      <c r="AH108" s="74" t="n"/>
      <c r="AI108" s="74" t="n"/>
      <c r="AJ108" s="74" t="n"/>
      <c r="AK108" s="74" t="n"/>
      <c r="AL108" s="74" t="n"/>
      <c r="AM108" s="74" t="n"/>
      <c r="AN108" s="74" t="n"/>
      <c r="AO108" s="74" t="n"/>
      <c r="AP108" s="74" t="n"/>
      <c r="AQ108" s="74" t="n"/>
      <c r="AR108" s="74" t="n"/>
      <c r="AS108" s="74" t="n"/>
      <c r="AT108" s="74" t="n"/>
      <c r="AU108" s="74" t="n"/>
      <c r="AV108" s="74" t="n"/>
      <c r="AX108" s="138" t="n">
        <v>2019</v>
      </c>
      <c r="AY108" s="138" t="n">
        <v>4</v>
      </c>
    </row>
    <row r="109" ht="16.5" customFormat="1" customHeight="1" s="37">
      <c r="A109" s="74" t="n"/>
      <c r="B109" s="74" t="n"/>
      <c r="C109" s="74" t="n"/>
      <c r="D109" s="74" t="n"/>
      <c r="E109" s="74" t="n"/>
      <c r="F109" s="74" t="n"/>
      <c r="G109" s="74" t="n"/>
      <c r="H109" s="74" t="n"/>
      <c r="I109" s="74" t="n"/>
      <c r="J109" s="74" t="n"/>
      <c r="K109" s="74" t="n"/>
      <c r="L109" s="74" t="n"/>
      <c r="M109" s="74" t="n"/>
      <c r="N109" s="74" t="n"/>
      <c r="O109" s="74" t="n"/>
      <c r="P109" s="74" t="n"/>
      <c r="Q109" s="74" t="n"/>
      <c r="R109" s="74" t="n"/>
      <c r="S109" s="74" t="n"/>
      <c r="T109" s="74" t="n"/>
      <c r="U109" s="74" t="n"/>
      <c r="V109" s="74" t="n"/>
      <c r="W109" s="74" t="n"/>
      <c r="X109" s="74" t="n"/>
      <c r="Y109" s="74" t="n"/>
      <c r="Z109" s="74" t="n"/>
      <c r="AA109" s="74" t="n"/>
      <c r="AB109" s="74" t="n"/>
      <c r="AC109" s="74" t="n"/>
      <c r="AD109" s="74" t="n"/>
      <c r="AE109" s="74" t="n"/>
      <c r="AF109" s="74" t="n"/>
      <c r="AG109" s="74" t="n"/>
      <c r="AH109" s="74" t="n"/>
      <c r="AI109" s="74" t="n"/>
      <c r="AJ109" s="74" t="n"/>
      <c r="AK109" s="74" t="n"/>
      <c r="AL109" s="74" t="n"/>
      <c r="AM109" s="74" t="n"/>
      <c r="AN109" s="74" t="n"/>
      <c r="AO109" s="74" t="n"/>
      <c r="AP109" s="74" t="n"/>
      <c r="AQ109" s="74" t="n"/>
      <c r="AR109" s="74" t="n"/>
      <c r="AS109" s="74" t="n"/>
      <c r="AT109" s="74" t="n"/>
      <c r="AU109" s="74" t="n"/>
      <c r="AV109" s="74" t="n"/>
      <c r="AX109" s="138" t="n">
        <v>1993</v>
      </c>
      <c r="AY109" s="138" t="n">
        <v>8</v>
      </c>
    </row>
    <row r="110" ht="16.5" customFormat="1" customHeight="1" s="37">
      <c r="A110" s="74" t="n"/>
      <c r="B110" s="74" t="n"/>
      <c r="C110" s="74" t="n"/>
      <c r="D110" s="74" t="n"/>
      <c r="E110" s="74" t="n"/>
      <c r="F110" s="74" t="n"/>
      <c r="G110" s="74" t="n"/>
      <c r="H110" s="74" t="n"/>
      <c r="I110" s="74" t="n"/>
      <c r="J110" s="74" t="n"/>
      <c r="K110" s="74" t="n"/>
      <c r="L110" s="74" t="n"/>
      <c r="M110" s="74" t="n"/>
      <c r="N110" s="74" t="n"/>
      <c r="O110" s="74" t="n"/>
      <c r="P110" s="74" t="n"/>
      <c r="Q110" s="74" t="n"/>
      <c r="R110" s="74" t="n"/>
      <c r="S110" s="74" t="n"/>
      <c r="T110" s="74" t="n"/>
      <c r="U110" s="74" t="n"/>
      <c r="V110" s="74" t="n"/>
      <c r="W110" s="74" t="n"/>
      <c r="X110" s="74" t="n"/>
      <c r="Y110" s="74" t="n"/>
      <c r="Z110" s="74" t="n"/>
      <c r="AA110" s="74" t="n"/>
      <c r="AB110" s="74" t="n"/>
      <c r="AC110" s="74" t="n"/>
      <c r="AD110" s="74" t="n"/>
      <c r="AE110" s="74" t="n"/>
      <c r="AF110" s="74" t="n"/>
      <c r="AG110" s="74" t="n"/>
      <c r="AH110" s="74" t="n"/>
      <c r="AI110" s="74" t="n"/>
      <c r="AJ110" s="74" t="n"/>
      <c r="AK110" s="74" t="n"/>
      <c r="AL110" s="74" t="n"/>
      <c r="AM110" s="74" t="n"/>
      <c r="AN110" s="74" t="n"/>
      <c r="AO110" s="74" t="n"/>
      <c r="AP110" s="74" t="n"/>
      <c r="AQ110" s="74" t="n"/>
      <c r="AR110" s="74" t="n"/>
      <c r="AS110" s="74" t="n"/>
      <c r="AT110" s="74" t="n"/>
      <c r="AU110" s="74" t="n"/>
      <c r="AV110" s="74" t="n"/>
      <c r="AX110" s="138" t="n">
        <v>1993</v>
      </c>
      <c r="AY110" s="138" t="n">
        <v>8</v>
      </c>
    </row>
    <row r="111" ht="16.5" customFormat="1" customHeight="1" s="37">
      <c r="A111" s="74" t="n"/>
      <c r="B111" s="74" t="n"/>
      <c r="C111" s="74" t="n"/>
      <c r="D111" s="74" t="n"/>
      <c r="E111" s="74" t="n"/>
      <c r="F111" s="74" t="n"/>
      <c r="G111" s="74" t="n"/>
      <c r="H111" s="74" t="n"/>
      <c r="I111" s="74" t="n"/>
      <c r="J111" s="74" t="n"/>
      <c r="K111" s="74" t="n"/>
      <c r="L111" s="74" t="n"/>
      <c r="M111" s="74" t="n"/>
      <c r="N111" s="74" t="n"/>
      <c r="O111" s="74" t="n"/>
      <c r="P111" s="74" t="n"/>
      <c r="Q111" s="74" t="n"/>
      <c r="R111" s="74" t="n"/>
      <c r="S111" s="74" t="n"/>
      <c r="T111" s="74" t="n"/>
      <c r="U111" s="74" t="n"/>
      <c r="V111" s="74" t="n"/>
      <c r="W111" s="74" t="n"/>
      <c r="X111" s="74" t="n"/>
      <c r="Y111" s="74" t="n"/>
      <c r="Z111" s="74" t="n"/>
      <c r="AA111" s="74" t="n"/>
      <c r="AB111" s="74" t="n"/>
      <c r="AC111" s="74" t="n"/>
      <c r="AD111" s="74" t="n"/>
      <c r="AE111" s="74" t="n"/>
      <c r="AF111" s="74" t="n"/>
      <c r="AG111" s="74" t="n"/>
      <c r="AH111" s="74" t="n"/>
      <c r="AI111" s="74" t="n"/>
      <c r="AJ111" s="74" t="n"/>
      <c r="AK111" s="74" t="n"/>
      <c r="AL111" s="74" t="n"/>
      <c r="AM111" s="74" t="n"/>
      <c r="AN111" s="74" t="n"/>
      <c r="AO111" s="74" t="n"/>
      <c r="AP111" s="74" t="n"/>
      <c r="AQ111" s="74" t="n"/>
      <c r="AR111" s="74" t="n"/>
      <c r="AS111" s="74" t="n"/>
      <c r="AT111" s="74" t="n"/>
      <c r="AU111" s="74" t="n"/>
      <c r="AV111" s="74" t="n"/>
      <c r="AX111" s="138" t="n">
        <v>2019</v>
      </c>
      <c r="AY111" s="138" t="n">
        <v>3</v>
      </c>
    </row>
    <row r="112" ht="16.5" customFormat="1" customHeight="1" s="37">
      <c r="A112" s="74" t="n"/>
      <c r="B112" s="74" t="n"/>
      <c r="C112" s="74" t="n"/>
      <c r="D112" s="74" t="n"/>
      <c r="E112" s="74" t="n"/>
      <c r="F112" s="74" t="n"/>
      <c r="G112" s="74" t="n"/>
      <c r="H112" s="74" t="n"/>
      <c r="I112" s="74" t="n"/>
      <c r="J112" s="74" t="n"/>
      <c r="K112" s="74" t="n"/>
      <c r="L112" s="74" t="n"/>
      <c r="M112" s="74" t="n"/>
      <c r="N112" s="74" t="n"/>
      <c r="O112" s="74" t="n"/>
      <c r="P112" s="74" t="n"/>
      <c r="Q112" s="74" t="n"/>
      <c r="R112" s="74" t="n"/>
      <c r="S112" s="74" t="n"/>
      <c r="T112" s="74" t="n"/>
      <c r="U112" s="74" t="n"/>
      <c r="V112" s="74" t="n"/>
      <c r="W112" s="74" t="n"/>
      <c r="X112" s="74" t="n"/>
      <c r="Y112" s="74" t="n"/>
      <c r="Z112" s="74" t="n"/>
      <c r="AA112" s="74" t="n"/>
      <c r="AB112" s="74" t="n"/>
      <c r="AC112" s="74" t="n"/>
      <c r="AD112" s="74" t="n"/>
      <c r="AE112" s="74" t="n"/>
      <c r="AF112" s="74" t="n"/>
      <c r="AG112" s="74" t="n"/>
      <c r="AH112" s="74" t="n"/>
      <c r="AI112" s="74" t="n"/>
      <c r="AJ112" s="74" t="n"/>
      <c r="AK112" s="74" t="n"/>
      <c r="AL112" s="74" t="n"/>
      <c r="AM112" s="74" t="n"/>
      <c r="AN112" s="74" t="n"/>
      <c r="AO112" s="74" t="n"/>
      <c r="AP112" s="74" t="n"/>
      <c r="AQ112" s="74" t="n"/>
      <c r="AR112" s="74" t="n"/>
      <c r="AS112" s="74" t="n"/>
      <c r="AT112" s="74" t="n"/>
      <c r="AU112" s="74" t="n"/>
      <c r="AV112" s="74" t="n"/>
      <c r="AX112" s="138" t="n">
        <v>2019</v>
      </c>
      <c r="AY112" s="138" t="n">
        <v>3</v>
      </c>
    </row>
    <row r="113" ht="16.5" customFormat="1" customHeight="1" s="37">
      <c r="A113" s="74" t="n"/>
      <c r="B113" s="74" t="n"/>
      <c r="C113" s="74" t="n"/>
      <c r="D113" s="74" t="n"/>
      <c r="E113" s="74" t="n"/>
      <c r="F113" s="74" t="n"/>
      <c r="G113" s="74" t="n"/>
      <c r="H113" s="74" t="n"/>
      <c r="I113" s="74" t="n"/>
      <c r="J113" s="74" t="n"/>
      <c r="K113" s="74" t="n"/>
      <c r="L113" s="74" t="n"/>
      <c r="M113" s="74" t="n"/>
      <c r="N113" s="74" t="n"/>
      <c r="O113" s="74" t="n"/>
      <c r="P113" s="74" t="n"/>
      <c r="Q113" s="74" t="n"/>
      <c r="R113" s="74" t="n"/>
      <c r="S113" s="74" t="n"/>
      <c r="T113" s="74" t="n"/>
      <c r="U113" s="74" t="n"/>
      <c r="V113" s="74" t="n"/>
      <c r="W113" s="74" t="n"/>
      <c r="X113" s="74" t="n"/>
      <c r="Y113" s="74" t="n"/>
      <c r="Z113" s="74" t="n"/>
      <c r="AA113" s="74" t="n"/>
      <c r="AB113" s="74" t="n"/>
      <c r="AC113" s="74" t="n"/>
      <c r="AD113" s="74" t="n"/>
      <c r="AE113" s="74" t="n"/>
      <c r="AF113" s="74" t="n"/>
      <c r="AG113" s="74" t="n"/>
      <c r="AH113" s="74" t="n"/>
      <c r="AI113" s="74" t="n"/>
      <c r="AJ113" s="74" t="n"/>
      <c r="AK113" s="74" t="n"/>
      <c r="AL113" s="74" t="n"/>
      <c r="AM113" s="74" t="n"/>
      <c r="AN113" s="74" t="n"/>
      <c r="AO113" s="74" t="n"/>
      <c r="AP113" s="74" t="n"/>
      <c r="AQ113" s="74" t="n"/>
      <c r="AR113" s="74" t="n"/>
      <c r="AS113" s="74" t="n"/>
      <c r="AT113" s="74" t="n"/>
      <c r="AU113" s="74" t="n"/>
      <c r="AV113" s="74" t="n"/>
      <c r="AX113" s="138" t="n">
        <v>1994</v>
      </c>
      <c r="AY113" s="138" t="n">
        <v>9</v>
      </c>
    </row>
    <row r="114" ht="16.5" customFormat="1" customHeight="1" s="37">
      <c r="A114" s="74" t="n"/>
      <c r="B114" s="74" t="n"/>
      <c r="C114" s="74" t="n"/>
      <c r="D114" s="74" t="n"/>
      <c r="E114" s="74" t="n"/>
      <c r="F114" s="74" t="n"/>
      <c r="G114" s="74" t="n"/>
      <c r="H114" s="74" t="n"/>
      <c r="I114" s="74" t="n"/>
      <c r="J114" s="74" t="n"/>
      <c r="K114" s="74" t="n"/>
      <c r="L114" s="74" t="n"/>
      <c r="M114" s="74" t="n"/>
      <c r="N114" s="74" t="n"/>
      <c r="O114" s="74" t="n"/>
      <c r="P114" s="74" t="n"/>
      <c r="Q114" s="74" t="n"/>
      <c r="R114" s="74" t="n"/>
      <c r="S114" s="74" t="n"/>
      <c r="T114" s="74" t="n"/>
      <c r="U114" s="74" t="n"/>
      <c r="V114" s="74" t="n"/>
      <c r="W114" s="74" t="n"/>
      <c r="X114" s="74" t="n"/>
      <c r="Y114" s="74" t="n"/>
      <c r="Z114" s="74" t="n"/>
      <c r="AA114" s="74" t="n"/>
      <c r="AB114" s="74" t="n"/>
      <c r="AC114" s="74" t="n"/>
      <c r="AD114" s="74" t="n"/>
      <c r="AE114" s="74" t="n"/>
      <c r="AF114" s="74" t="n"/>
      <c r="AG114" s="74" t="n"/>
      <c r="AH114" s="74" t="n"/>
      <c r="AI114" s="74" t="n"/>
      <c r="AJ114" s="74" t="n"/>
      <c r="AK114" s="74" t="n"/>
      <c r="AL114" s="74" t="n"/>
      <c r="AM114" s="74" t="n"/>
      <c r="AN114" s="74" t="n"/>
      <c r="AO114" s="74" t="n"/>
      <c r="AP114" s="74" t="n"/>
      <c r="AQ114" s="74" t="n"/>
      <c r="AR114" s="74" t="n"/>
      <c r="AS114" s="74" t="n"/>
      <c r="AT114" s="74" t="n"/>
      <c r="AU114" s="74" t="n"/>
      <c r="AV114" s="74" t="n"/>
      <c r="AX114" s="138" t="n">
        <v>1994</v>
      </c>
      <c r="AY114" s="138" t="n">
        <v>9</v>
      </c>
    </row>
    <row r="115" ht="16.5" customFormat="1" customHeight="1" s="37">
      <c r="A115" s="74" t="n"/>
      <c r="B115" s="74" t="n"/>
      <c r="C115" s="74" t="n"/>
      <c r="D115" s="74" t="n"/>
      <c r="E115" s="74" t="n"/>
      <c r="F115" s="74" t="n"/>
      <c r="G115" s="74" t="n"/>
      <c r="H115" s="74" t="n"/>
      <c r="I115" s="74" t="n"/>
      <c r="J115" s="74" t="n"/>
      <c r="K115" s="74" t="n"/>
      <c r="L115" s="74" t="n"/>
      <c r="M115" s="74" t="n"/>
      <c r="N115" s="74" t="n"/>
      <c r="O115" s="74" t="n"/>
      <c r="P115" s="74" t="n"/>
      <c r="Q115" s="74" t="n"/>
      <c r="R115" s="74" t="n"/>
      <c r="S115" s="74" t="n"/>
      <c r="T115" s="74" t="n"/>
      <c r="U115" s="74" t="n"/>
      <c r="V115" s="74" t="n"/>
      <c r="W115" s="74" t="n"/>
      <c r="X115" s="74" t="n"/>
      <c r="Y115" s="74" t="n"/>
      <c r="Z115" s="74" t="n"/>
      <c r="AA115" s="74" t="n"/>
      <c r="AB115" s="74" t="n"/>
      <c r="AC115" s="74" t="n"/>
      <c r="AD115" s="74" t="n"/>
      <c r="AE115" s="74" t="n"/>
      <c r="AF115" s="74" t="n"/>
      <c r="AG115" s="74" t="n"/>
      <c r="AH115" s="74" t="n"/>
      <c r="AI115" s="74" t="n"/>
      <c r="AJ115" s="74" t="n"/>
      <c r="AK115" s="74" t="n"/>
      <c r="AL115" s="74" t="n"/>
      <c r="AM115" s="74" t="n"/>
      <c r="AN115" s="74" t="n"/>
      <c r="AO115" s="74" t="n"/>
      <c r="AP115" s="74" t="n"/>
      <c r="AQ115" s="74" t="n"/>
      <c r="AR115" s="74" t="n"/>
      <c r="AS115" s="74" t="n"/>
      <c r="AT115" s="74" t="n"/>
      <c r="AU115" s="74" t="n"/>
      <c r="AV115" s="74" t="n"/>
      <c r="AX115" s="138" t="n">
        <v>2019</v>
      </c>
      <c r="AY115" s="138" t="n">
        <v>9</v>
      </c>
    </row>
    <row r="116" ht="16.5" customFormat="1" customHeight="1" s="37">
      <c r="A116" s="74" t="n"/>
      <c r="B116" s="74" t="n"/>
      <c r="C116" s="74" t="n"/>
      <c r="D116" s="74" t="n"/>
      <c r="E116" s="74" t="n"/>
      <c r="F116" s="74" t="n"/>
      <c r="G116" s="74" t="n"/>
      <c r="H116" s="74" t="n"/>
      <c r="I116" s="74" t="n"/>
      <c r="J116" s="74" t="n"/>
      <c r="K116" s="74" t="n"/>
      <c r="L116" s="74" t="n"/>
      <c r="M116" s="74" t="n"/>
      <c r="N116" s="74" t="n"/>
      <c r="O116" s="74" t="n"/>
      <c r="P116" s="74" t="n"/>
      <c r="Q116" s="74" t="n"/>
      <c r="R116" s="74" t="n"/>
      <c r="S116" s="74" t="n"/>
      <c r="T116" s="74" t="n"/>
      <c r="U116" s="74" t="n"/>
      <c r="V116" s="74" t="n"/>
      <c r="W116" s="74" t="n"/>
      <c r="X116" s="74" t="n"/>
      <c r="Y116" s="74" t="n"/>
      <c r="Z116" s="74" t="n"/>
      <c r="AA116" s="74" t="n"/>
      <c r="AB116" s="74" t="n"/>
      <c r="AC116" s="74" t="n"/>
      <c r="AD116" s="74" t="n"/>
      <c r="AE116" s="74" t="n"/>
      <c r="AF116" s="74" t="n"/>
      <c r="AG116" s="74" t="n"/>
      <c r="AH116" s="74" t="n"/>
      <c r="AI116" s="74" t="n"/>
      <c r="AJ116" s="74" t="n"/>
      <c r="AK116" s="74" t="n"/>
      <c r="AL116" s="74" t="n"/>
      <c r="AM116" s="74" t="n"/>
      <c r="AN116" s="74" t="n"/>
      <c r="AO116" s="74" t="n"/>
      <c r="AP116" s="74" t="n"/>
      <c r="AQ116" s="74" t="n"/>
      <c r="AR116" s="74" t="n"/>
      <c r="AS116" s="74" t="n"/>
      <c r="AT116" s="74" t="n"/>
      <c r="AU116" s="74" t="n"/>
      <c r="AV116" s="74" t="n"/>
      <c r="AX116" s="138" t="n">
        <v>1992</v>
      </c>
      <c r="AY116" s="138" t="n">
        <v>1</v>
      </c>
      <c r="AZ116" s="138" t="n"/>
      <c r="BA116" s="121" t="inlineStr">
        <is>
          <t>20평대</t>
        </is>
      </c>
      <c r="BB116" s="139" t="n">
        <v>0</v>
      </c>
      <c r="BC116" s="139" t="n">
        <v>0</v>
      </c>
      <c r="BD116" s="139" t="n">
        <v>0</v>
      </c>
      <c r="BE116" s="139" t="n">
        <v>0</v>
      </c>
      <c r="BF116" s="139" t="n">
        <v>0</v>
      </c>
    </row>
    <row r="117" ht="16.5" customFormat="1" customHeight="1" s="37">
      <c r="A117" s="74" t="n"/>
      <c r="B117" s="74" t="n"/>
      <c r="C117" s="74" t="n"/>
      <c r="D117" s="74" t="n"/>
      <c r="E117" s="74" t="n"/>
      <c r="F117" s="74" t="n"/>
      <c r="G117" s="74" t="n"/>
      <c r="H117" s="74" t="n"/>
      <c r="I117" s="74" t="n"/>
      <c r="J117" s="74" t="n"/>
      <c r="K117" s="74" t="n"/>
      <c r="L117" s="74" t="n"/>
      <c r="M117" s="74" t="n"/>
      <c r="N117" s="74" t="n"/>
      <c r="O117" s="74" t="n"/>
      <c r="P117" s="74" t="n"/>
      <c r="Q117" s="74" t="n"/>
      <c r="R117" s="74" t="n"/>
      <c r="S117" s="74" t="n"/>
      <c r="T117" s="74" t="n"/>
      <c r="U117" s="74" t="n"/>
      <c r="V117" s="74" t="n"/>
      <c r="W117" s="74" t="n"/>
      <c r="X117" s="74" t="n"/>
      <c r="Y117" s="74" t="n"/>
      <c r="Z117" s="74" t="n"/>
      <c r="AA117" s="74" t="n"/>
      <c r="AB117" s="74" t="n"/>
      <c r="AC117" s="74" t="n"/>
      <c r="AD117" s="74" t="n"/>
      <c r="AE117" s="74" t="n"/>
      <c r="AF117" s="74" t="n"/>
      <c r="AG117" s="74" t="n"/>
      <c r="AH117" s="74" t="n"/>
      <c r="AI117" s="74" t="n"/>
      <c r="AJ117" s="74" t="n"/>
      <c r="AK117" s="74" t="n"/>
      <c r="AL117" s="74" t="n"/>
      <c r="AM117" s="74" t="n"/>
      <c r="AN117" s="74" t="n"/>
      <c r="AO117" s="74" t="n"/>
      <c r="AP117" s="74" t="n"/>
      <c r="AQ117" s="74" t="n"/>
      <c r="AR117" s="74" t="n"/>
      <c r="AS117" s="74" t="n"/>
      <c r="AT117" s="74" t="n"/>
      <c r="AU117" s="74" t="n"/>
      <c r="AV117" s="74" t="n"/>
      <c r="AX117" s="138" t="n">
        <v>1992</v>
      </c>
      <c r="AY117" s="138" t="n">
        <v>1</v>
      </c>
      <c r="AZ117" s="138" t="n"/>
      <c r="BA117" s="121" t="inlineStr">
        <is>
          <t>30평대</t>
        </is>
      </c>
      <c r="BB117" s="139" t="n">
        <v>0</v>
      </c>
      <c r="BC117" s="139" t="n">
        <v>0</v>
      </c>
      <c r="BD117" s="139" t="n">
        <v>0</v>
      </c>
      <c r="BE117" s="139" t="n">
        <v>0</v>
      </c>
      <c r="BF117" s="139" t="n">
        <v>0</v>
      </c>
    </row>
    <row r="118" ht="16.5" customFormat="1" customHeight="1" s="37">
      <c r="A118" s="74" t="n"/>
      <c r="B118" s="74" t="n"/>
      <c r="C118" s="74" t="n"/>
      <c r="D118" s="74" t="n"/>
      <c r="E118" s="74" t="n"/>
      <c r="F118" s="74" t="n"/>
      <c r="G118" s="74" t="n"/>
      <c r="H118" s="74" t="n"/>
      <c r="I118" s="74" t="n"/>
      <c r="J118" s="74" t="n"/>
      <c r="K118" s="74" t="n"/>
      <c r="L118" s="74" t="n"/>
      <c r="M118" s="74" t="n"/>
      <c r="N118" s="74" t="n"/>
      <c r="O118" s="74" t="n"/>
      <c r="P118" s="74" t="n"/>
      <c r="Q118" s="74" t="n"/>
      <c r="R118" s="74" t="n"/>
      <c r="S118" s="74" t="n"/>
      <c r="T118" s="74" t="n"/>
      <c r="U118" s="74" t="n"/>
      <c r="V118" s="74" t="n"/>
      <c r="W118" s="74" t="n"/>
      <c r="X118" s="74" t="n"/>
      <c r="Y118" s="74" t="n"/>
      <c r="Z118" s="74" t="n"/>
      <c r="AA118" s="74" t="n"/>
      <c r="AB118" s="74" t="n"/>
      <c r="AC118" s="74" t="n"/>
      <c r="AD118" s="74" t="n"/>
      <c r="AE118" s="74" t="n"/>
      <c r="AF118" s="74" t="n"/>
      <c r="AG118" s="74" t="n"/>
      <c r="AH118" s="74" t="n"/>
      <c r="AI118" s="74" t="n"/>
      <c r="AJ118" s="74" t="n"/>
      <c r="AK118" s="74" t="n"/>
      <c r="AL118" s="74" t="n"/>
      <c r="AM118" s="74" t="n"/>
      <c r="AN118" s="74" t="n"/>
      <c r="AO118" s="74" t="n"/>
      <c r="AP118" s="74" t="n"/>
      <c r="AQ118" s="74" t="n"/>
      <c r="AR118" s="74" t="n"/>
      <c r="AS118" s="74" t="n"/>
      <c r="AT118" s="74" t="n"/>
      <c r="AU118" s="74" t="n"/>
      <c r="AV118" s="74" t="n"/>
      <c r="AX118" s="138" t="n">
        <v>1993</v>
      </c>
      <c r="AY118" s="138" t="n">
        <v>1</v>
      </c>
      <c r="AZ118" s="138" t="n"/>
      <c r="BA118" s="121" t="inlineStr">
        <is>
          <t>합계</t>
        </is>
      </c>
      <c r="BB118" s="139" t="n">
        <v>0</v>
      </c>
      <c r="BC118" s="139" t="n">
        <v>0</v>
      </c>
      <c r="BD118" s="139" t="n">
        <v>0</v>
      </c>
      <c r="BE118" s="139" t="n">
        <v>0</v>
      </c>
      <c r="BF118" s="139" t="n">
        <v>0</v>
      </c>
    </row>
    <row r="119" ht="16.5" customFormat="1" customHeight="1" s="37">
      <c r="A119" s="74" t="n"/>
      <c r="B119" s="74" t="n"/>
      <c r="C119" s="74" t="n"/>
      <c r="D119" s="74" t="n"/>
      <c r="E119" s="74" t="n"/>
      <c r="F119" s="74" t="n"/>
      <c r="G119" s="74" t="n"/>
      <c r="H119" s="74" t="n"/>
      <c r="I119" s="74" t="n"/>
      <c r="J119" s="74" t="n"/>
      <c r="K119" s="74" t="n"/>
      <c r="L119" s="74" t="n"/>
      <c r="M119" s="74" t="n"/>
      <c r="N119" s="74" t="n"/>
      <c r="O119" s="74" t="n"/>
      <c r="P119" s="74" t="n"/>
      <c r="Q119" s="74" t="n"/>
      <c r="R119" s="74" t="n"/>
      <c r="S119" s="74" t="n"/>
      <c r="T119" s="74" t="n"/>
      <c r="U119" s="74" t="n"/>
      <c r="V119" s="74" t="n"/>
      <c r="W119" s="74" t="n"/>
      <c r="X119" s="74" t="n"/>
      <c r="Y119" s="74" t="n"/>
      <c r="Z119" s="74" t="n"/>
      <c r="AA119" s="74" t="n"/>
      <c r="AB119" s="74" t="n"/>
      <c r="AC119" s="74" t="n"/>
      <c r="AD119" s="74" t="n"/>
      <c r="AE119" s="74" t="n"/>
      <c r="AF119" s="74" t="n"/>
      <c r="AG119" s="74" t="n"/>
      <c r="AH119" s="74" t="n"/>
      <c r="AI119" s="74" t="n"/>
      <c r="AJ119" s="74" t="n"/>
      <c r="AK119" s="74" t="n"/>
      <c r="AL119" s="74" t="n"/>
      <c r="AM119" s="74" t="n"/>
      <c r="AN119" s="74" t="n"/>
      <c r="AO119" s="74" t="n"/>
      <c r="AP119" s="74" t="n"/>
      <c r="AQ119" s="74" t="n"/>
      <c r="AR119" s="74" t="n"/>
      <c r="AS119" s="74" t="n"/>
      <c r="AT119" s="74" t="n"/>
      <c r="AU119" s="74" t="n"/>
      <c r="AV119" s="74" t="n"/>
      <c r="AX119" s="138" t="n">
        <v>1993</v>
      </c>
      <c r="AY119" s="138" t="n">
        <v>1</v>
      </c>
      <c r="AZ119" s="138" t="n"/>
      <c r="BA119" s="2" t="n"/>
    </row>
    <row r="120" ht="16.5" customFormat="1" customHeight="1" s="37">
      <c r="A120" s="74" t="n"/>
      <c r="B120" s="74" t="n"/>
      <c r="C120" s="74" t="n"/>
      <c r="D120" s="74" t="n"/>
      <c r="E120" s="74" t="n"/>
      <c r="F120" s="74" t="n"/>
      <c r="G120" s="74" t="n"/>
      <c r="H120" s="74" t="n"/>
      <c r="I120" s="74" t="n"/>
      <c r="J120" s="74" t="n"/>
      <c r="K120" s="74" t="n"/>
      <c r="L120" s="74" t="n"/>
      <c r="M120" s="74" t="n"/>
      <c r="N120" s="74" t="n"/>
      <c r="O120" s="74" t="n"/>
      <c r="P120" s="74" t="n"/>
      <c r="Q120" s="74" t="n"/>
      <c r="R120" s="74" t="n"/>
      <c r="S120" s="74" t="n"/>
      <c r="T120" s="74" t="n"/>
      <c r="U120" s="74" t="n"/>
      <c r="V120" s="74" t="n"/>
      <c r="W120" s="74" t="n"/>
      <c r="X120" s="74" t="n"/>
      <c r="Y120" s="74" t="n"/>
      <c r="Z120" s="74" t="n"/>
      <c r="AA120" s="74" t="n"/>
      <c r="AB120" s="74" t="n"/>
      <c r="AC120" s="74" t="n"/>
      <c r="AD120" s="74" t="n"/>
      <c r="AE120" s="74" t="n"/>
      <c r="AF120" s="74" t="n"/>
      <c r="AG120" s="74" t="n"/>
      <c r="AH120" s="74" t="n"/>
      <c r="AI120" s="74" t="n"/>
      <c r="AJ120" s="74" t="n"/>
      <c r="AK120" s="74" t="n"/>
      <c r="AL120" s="74" t="n"/>
      <c r="AM120" s="74" t="n"/>
      <c r="AN120" s="74" t="n"/>
      <c r="AO120" s="74" t="n"/>
      <c r="AP120" s="74" t="n"/>
      <c r="AQ120" s="74" t="n"/>
      <c r="AR120" s="74" t="n"/>
      <c r="AS120" s="74" t="n"/>
      <c r="AT120" s="74" t="n"/>
      <c r="AU120" s="74" t="n"/>
      <c r="AV120" s="74" t="n"/>
      <c r="AX120" s="138" t="n">
        <v>1993</v>
      </c>
      <c r="AY120" s="138" t="n">
        <v>1</v>
      </c>
      <c r="AZ120" s="138" t="n"/>
      <c r="BA120" s="121" t="n"/>
      <c r="BB120" s="121" t="inlineStr">
        <is>
          <t>10년 이하</t>
        </is>
      </c>
      <c r="BC120" s="121" t="inlineStr">
        <is>
          <t>10~20년</t>
        </is>
      </c>
      <c r="BD120" s="121" t="inlineStr">
        <is>
          <t>20~30년</t>
        </is>
      </c>
      <c r="BE120" s="121" t="inlineStr">
        <is>
          <t>30년 이상</t>
        </is>
      </c>
      <c r="BF120" s="121" t="inlineStr">
        <is>
          <t>합계</t>
        </is>
      </c>
    </row>
    <row r="121" ht="16.5" customFormat="1" customHeight="1" s="37">
      <c r="A121" s="74" t="n"/>
      <c r="B121" s="74" t="n"/>
      <c r="C121" s="74" t="n"/>
      <c r="D121" s="74" t="n"/>
      <c r="E121" s="74" t="n"/>
      <c r="F121" s="74" t="n"/>
      <c r="G121" s="74" t="n"/>
      <c r="H121" s="74" t="n"/>
      <c r="I121" s="74" t="n"/>
      <c r="J121" s="74" t="n"/>
      <c r="K121" s="74" t="n"/>
      <c r="L121" s="74" t="n"/>
      <c r="M121" s="74" t="n"/>
      <c r="N121" s="74" t="n"/>
      <c r="O121" s="74" t="n"/>
      <c r="P121" s="74" t="n"/>
      <c r="Q121" s="74" t="n"/>
      <c r="R121" s="74" t="n"/>
      <c r="S121" s="74" t="n"/>
      <c r="T121" s="74" t="n"/>
      <c r="U121" s="74" t="n"/>
      <c r="V121" s="74" t="n"/>
      <c r="W121" s="74" t="n"/>
      <c r="X121" s="74" t="n"/>
      <c r="Y121" s="74" t="n"/>
      <c r="Z121" s="74" t="n"/>
      <c r="AA121" s="74" t="n"/>
      <c r="AB121" s="74" t="n"/>
      <c r="AC121" s="74" t="n"/>
      <c r="AD121" s="74" t="n"/>
      <c r="AE121" s="74" t="n"/>
      <c r="AF121" s="74" t="n"/>
      <c r="AG121" s="74" t="n"/>
      <c r="AH121" s="74" t="n"/>
      <c r="AI121" s="74" t="n"/>
      <c r="AJ121" s="74" t="n"/>
      <c r="AK121" s="74" t="n"/>
      <c r="AL121" s="74" t="n"/>
      <c r="AM121" s="74" t="n"/>
      <c r="AN121" s="74" t="n"/>
      <c r="AO121" s="74" t="n"/>
      <c r="AP121" s="74" t="n"/>
      <c r="AQ121" s="74" t="n"/>
      <c r="AR121" s="74" t="n"/>
      <c r="AS121" s="74" t="n"/>
      <c r="AT121" s="74" t="n"/>
      <c r="AU121" s="74" t="n"/>
      <c r="AV121" s="74" t="n"/>
      <c r="AX121" s="138" t="n">
        <v>1995</v>
      </c>
      <c r="AY121" s="138" t="n">
        <v>8</v>
      </c>
      <c r="BA121" s="121" t="inlineStr">
        <is>
          <t>20평대</t>
        </is>
      </c>
      <c r="BB121" s="141" t="e">
        <v>#DIV/0!</v>
      </c>
      <c r="BC121" s="141" t="e">
        <v>#DIV/0!</v>
      </c>
      <c r="BD121" s="141" t="e">
        <v>#DIV/0!</v>
      </c>
      <c r="BE121" s="141" t="e">
        <v>#DIV/0!</v>
      </c>
      <c r="BF121" s="141" t="e">
        <v>#DIV/0!</v>
      </c>
    </row>
    <row r="122" ht="16.5" customFormat="1" customHeight="1" s="37">
      <c r="A122" s="74" t="n"/>
      <c r="B122" s="74" t="n"/>
      <c r="C122" s="74" t="n"/>
      <c r="D122" s="74" t="n"/>
      <c r="E122" s="74" t="n"/>
      <c r="F122" s="74" t="n"/>
      <c r="G122" s="74" t="n"/>
      <c r="H122" s="74" t="n"/>
      <c r="I122" s="74" t="n"/>
      <c r="J122" s="74" t="n"/>
      <c r="K122" s="74" t="n"/>
      <c r="L122" s="74" t="n"/>
      <c r="M122" s="74" t="n"/>
      <c r="N122" s="74" t="n"/>
      <c r="O122" s="74" t="n"/>
      <c r="P122" s="74" t="n"/>
      <c r="Q122" s="74" t="n"/>
      <c r="R122" s="74" t="n"/>
      <c r="S122" s="74" t="n"/>
      <c r="T122" s="74" t="n"/>
      <c r="U122" s="74" t="n"/>
      <c r="V122" s="74" t="n"/>
      <c r="W122" s="74" t="n"/>
      <c r="X122" s="74" t="n"/>
      <c r="Y122" s="74" t="n"/>
      <c r="Z122" s="74" t="n"/>
      <c r="AA122" s="74" t="n"/>
      <c r="AB122" s="74" t="n"/>
      <c r="AC122" s="74" t="n"/>
      <c r="AD122" s="74" t="n"/>
      <c r="AE122" s="74" t="n"/>
      <c r="AF122" s="74" t="n"/>
      <c r="AG122" s="74" t="n"/>
      <c r="AH122" s="74" t="n"/>
      <c r="AI122" s="74" t="n"/>
      <c r="AJ122" s="74" t="n"/>
      <c r="AK122" s="74" t="n"/>
      <c r="AL122" s="74" t="n"/>
      <c r="AM122" s="74" t="n"/>
      <c r="AN122" s="74" t="n"/>
      <c r="AO122" s="74" t="n"/>
      <c r="AP122" s="74" t="n"/>
      <c r="AQ122" s="74" t="n"/>
      <c r="AR122" s="74" t="n"/>
      <c r="AS122" s="74" t="n"/>
      <c r="AT122" s="74" t="n"/>
      <c r="AU122" s="74" t="n"/>
      <c r="AV122" s="74" t="n"/>
      <c r="AX122" s="138" t="n">
        <v>1995</v>
      </c>
      <c r="AY122" s="138" t="n">
        <v>8</v>
      </c>
      <c r="BA122" s="121" t="inlineStr">
        <is>
          <t>30평대</t>
        </is>
      </c>
      <c r="BB122" s="141" t="e">
        <v>#DIV/0!</v>
      </c>
      <c r="BC122" s="141" t="e">
        <v>#DIV/0!</v>
      </c>
      <c r="BD122" s="141" t="e">
        <v>#DIV/0!</v>
      </c>
      <c r="BE122" s="141" t="e">
        <v>#DIV/0!</v>
      </c>
      <c r="BF122" s="141" t="e">
        <v>#DIV/0!</v>
      </c>
    </row>
    <row r="123" ht="16.5" customFormat="1" customHeight="1" s="37">
      <c r="A123" s="74" t="n"/>
      <c r="B123" s="74" t="n"/>
      <c r="C123" s="74" t="n"/>
      <c r="D123" s="74" t="n"/>
      <c r="E123" s="74" t="n"/>
      <c r="F123" s="74" t="n"/>
      <c r="G123" s="74" t="n"/>
      <c r="H123" s="74" t="n"/>
      <c r="I123" s="74" t="n"/>
      <c r="J123" s="74" t="n"/>
      <c r="K123" s="74" t="n"/>
      <c r="L123" s="74" t="n"/>
      <c r="M123" s="74" t="n"/>
      <c r="N123" s="74" t="n"/>
      <c r="O123" s="74" t="n"/>
      <c r="P123" s="74" t="n"/>
      <c r="Q123" s="74" t="n"/>
      <c r="R123" s="74" t="n"/>
      <c r="S123" s="74" t="n"/>
      <c r="T123" s="74" t="n"/>
      <c r="U123" s="74" t="n"/>
      <c r="V123" s="74" t="n"/>
      <c r="W123" s="74" t="n"/>
      <c r="X123" s="74" t="n"/>
      <c r="Y123" s="74" t="n"/>
      <c r="Z123" s="74" t="n"/>
      <c r="AA123" s="74" t="n"/>
      <c r="AB123" s="74" t="n"/>
      <c r="AC123" s="74" t="n"/>
      <c r="AD123" s="74" t="n"/>
      <c r="AE123" s="74" t="n"/>
      <c r="AF123" s="74" t="n"/>
      <c r="AG123" s="74" t="n"/>
      <c r="AH123" s="74" t="n"/>
      <c r="AI123" s="74" t="n"/>
      <c r="AJ123" s="74" t="n"/>
      <c r="AK123" s="74" t="n"/>
      <c r="AL123" s="74" t="n"/>
      <c r="AM123" s="74" t="n"/>
      <c r="AN123" s="74" t="n"/>
      <c r="AO123" s="74" t="n"/>
      <c r="AP123" s="74" t="n"/>
      <c r="AQ123" s="74" t="n"/>
      <c r="AR123" s="74" t="n"/>
      <c r="AS123" s="74" t="n"/>
      <c r="AT123" s="74" t="n"/>
      <c r="AU123" s="74" t="n"/>
      <c r="AV123" s="74" t="n"/>
      <c r="AX123" s="138" t="n">
        <v>1992</v>
      </c>
      <c r="AY123" s="138" t="n">
        <v>5</v>
      </c>
      <c r="BA123" s="121" t="inlineStr">
        <is>
          <t>합계</t>
        </is>
      </c>
      <c r="BB123" s="141" t="e">
        <v>#DIV/0!</v>
      </c>
      <c r="BC123" s="141" t="e">
        <v>#DIV/0!</v>
      </c>
      <c r="BD123" s="141" t="e">
        <v>#DIV/0!</v>
      </c>
      <c r="BE123" s="141" t="e">
        <v>#DIV/0!</v>
      </c>
      <c r="BF123" s="141" t="e">
        <v>#DIV/0!</v>
      </c>
    </row>
    <row r="124" ht="16.5" customFormat="1" customHeight="1" s="37">
      <c r="A124" s="74" t="n"/>
      <c r="B124" s="74" t="n"/>
      <c r="C124" s="74" t="n"/>
      <c r="D124" s="74" t="n"/>
      <c r="E124" s="74" t="n"/>
      <c r="F124" s="74" t="n"/>
      <c r="G124" s="74" t="n"/>
      <c r="H124" s="74" t="n"/>
      <c r="I124" s="74" t="n"/>
      <c r="J124" s="74" t="n"/>
      <c r="K124" s="74" t="n"/>
      <c r="L124" s="74" t="n"/>
      <c r="M124" s="74" t="n"/>
      <c r="N124" s="74" t="n"/>
      <c r="O124" s="74" t="n"/>
      <c r="P124" s="74" t="n"/>
      <c r="Q124" s="74" t="n"/>
      <c r="R124" s="74" t="n"/>
      <c r="S124" s="74" t="n"/>
      <c r="T124" s="74" t="n"/>
      <c r="U124" s="74" t="n"/>
      <c r="V124" s="74" t="n"/>
      <c r="W124" s="74" t="n"/>
      <c r="X124" s="74" t="n"/>
      <c r="Y124" s="74" t="n"/>
      <c r="Z124" s="74" t="n"/>
      <c r="AA124" s="74" t="n"/>
      <c r="AB124" s="74" t="n"/>
      <c r="AC124" s="74" t="n"/>
      <c r="AD124" s="74" t="n"/>
      <c r="AE124" s="74" t="n"/>
      <c r="AF124" s="74" t="n"/>
      <c r="AG124" s="74" t="n"/>
      <c r="AH124" s="74" t="n"/>
      <c r="AI124" s="74" t="n"/>
      <c r="AJ124" s="74" t="n"/>
      <c r="AK124" s="74" t="n"/>
      <c r="AL124" s="74" t="n"/>
      <c r="AM124" s="74" t="n"/>
      <c r="AN124" s="74" t="n"/>
      <c r="AO124" s="74" t="n"/>
      <c r="AP124" s="74" t="n"/>
      <c r="AQ124" s="74" t="n"/>
      <c r="AR124" s="74" t="n"/>
      <c r="AS124" s="74" t="n"/>
      <c r="AT124" s="74" t="n"/>
      <c r="AU124" s="74" t="n"/>
      <c r="AV124" s="74" t="n"/>
      <c r="AX124" s="138" t="n">
        <v>1992</v>
      </c>
      <c r="AY124" s="138" t="n">
        <v>5</v>
      </c>
    </row>
    <row r="125" ht="16.5" customFormat="1" customHeight="1" s="37">
      <c r="A125" s="74" t="n"/>
      <c r="B125" s="74" t="n"/>
      <c r="C125" s="74" t="n"/>
      <c r="D125" s="74" t="n"/>
      <c r="E125" s="74" t="n"/>
      <c r="F125" s="74" t="n"/>
      <c r="G125" s="74" t="n"/>
      <c r="H125" s="74" t="n"/>
      <c r="I125" s="74" t="n"/>
      <c r="J125" s="74" t="n"/>
      <c r="K125" s="74" t="n"/>
      <c r="L125" s="74" t="n"/>
      <c r="M125" s="74" t="n"/>
      <c r="N125" s="74" t="n"/>
      <c r="O125" s="74" t="n"/>
      <c r="P125" s="74" t="n"/>
      <c r="Q125" s="74" t="n"/>
      <c r="R125" s="74" t="n"/>
      <c r="S125" s="74" t="n"/>
      <c r="T125" s="74" t="n"/>
      <c r="U125" s="74" t="n"/>
      <c r="V125" s="74" t="n"/>
      <c r="W125" s="74" t="n"/>
      <c r="X125" s="74" t="n"/>
      <c r="Y125" s="74" t="n"/>
      <c r="Z125" s="74" t="n"/>
      <c r="AA125" s="74" t="n"/>
      <c r="AB125" s="74" t="n"/>
      <c r="AC125" s="74" t="n"/>
      <c r="AD125" s="74" t="n"/>
      <c r="AE125" s="74" t="n"/>
      <c r="AF125" s="74" t="n"/>
      <c r="AG125" s="74" t="n"/>
      <c r="AH125" s="74" t="n"/>
      <c r="AI125" s="74" t="n"/>
      <c r="AJ125" s="74" t="n"/>
      <c r="AK125" s="74" t="n"/>
      <c r="AL125" s="74" t="n"/>
      <c r="AM125" s="74" t="n"/>
      <c r="AN125" s="74" t="n"/>
      <c r="AO125" s="74" t="n"/>
      <c r="AP125" s="74" t="n"/>
      <c r="AQ125" s="74" t="n"/>
      <c r="AR125" s="74" t="n"/>
      <c r="AS125" s="74" t="n"/>
      <c r="AT125" s="74" t="n"/>
      <c r="AU125" s="74" t="n"/>
      <c r="AV125" s="74" t="n"/>
      <c r="AX125" s="138" t="n">
        <v>1992</v>
      </c>
      <c r="AY125" s="138" t="n">
        <v>5</v>
      </c>
    </row>
    <row r="126" ht="16.5" customFormat="1" customHeight="1" s="37">
      <c r="A126" s="74" t="n"/>
      <c r="B126" s="74" t="n"/>
      <c r="C126" s="74" t="n"/>
      <c r="D126" s="74" t="n"/>
      <c r="E126" s="74" t="n"/>
      <c r="F126" s="74" t="n"/>
      <c r="G126" s="74" t="n"/>
      <c r="H126" s="74" t="n"/>
      <c r="I126" s="74" t="n"/>
      <c r="J126" s="74" t="n"/>
      <c r="K126" s="74" t="n"/>
      <c r="L126" s="74" t="n"/>
      <c r="M126" s="74" t="n"/>
      <c r="N126" s="74" t="n"/>
      <c r="O126" s="74" t="n"/>
      <c r="P126" s="74" t="n"/>
      <c r="Q126" s="74" t="n"/>
      <c r="R126" s="74" t="n"/>
      <c r="S126" s="74" t="n"/>
      <c r="T126" s="74" t="n"/>
      <c r="U126" s="74" t="n"/>
      <c r="V126" s="74" t="n"/>
      <c r="W126" s="74" t="n"/>
      <c r="X126" s="74" t="n"/>
      <c r="Y126" s="74" t="n"/>
      <c r="Z126" s="74" t="n"/>
      <c r="AA126" s="74" t="n"/>
      <c r="AB126" s="74" t="n"/>
      <c r="AC126" s="74" t="n"/>
      <c r="AD126" s="74" t="n"/>
      <c r="AE126" s="74" t="n"/>
      <c r="AF126" s="74" t="n"/>
      <c r="AG126" s="74" t="n"/>
      <c r="AH126" s="74" t="n"/>
      <c r="AI126" s="74" t="n"/>
      <c r="AJ126" s="74" t="n"/>
      <c r="AK126" s="74" t="n"/>
      <c r="AL126" s="74" t="n"/>
      <c r="AM126" s="74" t="n"/>
      <c r="AN126" s="74" t="n"/>
      <c r="AO126" s="74" t="n"/>
      <c r="AP126" s="74" t="n"/>
      <c r="AQ126" s="74" t="n"/>
      <c r="AR126" s="74" t="n"/>
      <c r="AS126" s="74" t="n"/>
      <c r="AT126" s="74" t="n"/>
      <c r="AU126" s="74" t="n"/>
      <c r="AV126" s="74" t="n"/>
      <c r="AX126" s="138" t="n">
        <v>1991</v>
      </c>
      <c r="AY126" s="138" t="n">
        <v>6</v>
      </c>
    </row>
    <row r="127" ht="16.5" customFormat="1" customHeight="1" s="37">
      <c r="A127" s="74" t="n"/>
      <c r="B127" s="74" t="n"/>
      <c r="C127" s="74" t="n"/>
      <c r="D127" s="74" t="n"/>
      <c r="E127" s="74" t="n"/>
      <c r="F127" s="74" t="n"/>
      <c r="G127" s="74" t="n"/>
      <c r="H127" s="74" t="n"/>
      <c r="I127" s="74" t="n"/>
      <c r="J127" s="74" t="n"/>
      <c r="K127" s="74" t="n"/>
      <c r="L127" s="74" t="n"/>
      <c r="M127" s="74" t="n"/>
      <c r="N127" s="74" t="n"/>
      <c r="O127" s="74" t="n"/>
      <c r="P127" s="74" t="n"/>
      <c r="Q127" s="74" t="n"/>
      <c r="R127" s="74" t="n"/>
      <c r="S127" s="74" t="n"/>
      <c r="T127" s="74" t="n"/>
      <c r="U127" s="74" t="n"/>
      <c r="V127" s="74" t="n"/>
      <c r="W127" s="74" t="n"/>
      <c r="X127" s="74" t="n"/>
      <c r="Y127" s="74" t="n"/>
      <c r="Z127" s="74" t="n"/>
      <c r="AA127" s="74" t="n"/>
      <c r="AB127" s="74" t="n"/>
      <c r="AC127" s="74" t="n"/>
      <c r="AD127" s="74" t="n"/>
      <c r="AE127" s="74" t="n"/>
      <c r="AF127" s="74" t="n"/>
      <c r="AG127" s="74" t="n"/>
      <c r="AH127" s="74" t="n"/>
      <c r="AI127" s="74" t="n"/>
      <c r="AJ127" s="74" t="n"/>
      <c r="AK127" s="74" t="n"/>
      <c r="AL127" s="74" t="n"/>
      <c r="AM127" s="74" t="n"/>
      <c r="AN127" s="74" t="n"/>
      <c r="AO127" s="74" t="n"/>
      <c r="AP127" s="74" t="n"/>
      <c r="AQ127" s="74" t="n"/>
      <c r="AR127" s="74" t="n"/>
      <c r="AS127" s="74" t="n"/>
      <c r="AT127" s="74" t="n"/>
      <c r="AU127" s="74" t="n"/>
      <c r="AV127" s="74" t="n"/>
      <c r="AX127" s="138" t="n">
        <v>1991</v>
      </c>
      <c r="AY127" s="138" t="n">
        <v>6</v>
      </c>
    </row>
    <row r="128" ht="16.5" customFormat="1" customHeight="1" s="37">
      <c r="A128" s="74" t="n"/>
      <c r="B128" s="74" t="n"/>
      <c r="C128" s="74" t="n"/>
      <c r="D128" s="74" t="n"/>
      <c r="E128" s="74" t="n"/>
      <c r="F128" s="74" t="n"/>
      <c r="G128" s="74" t="n"/>
      <c r="H128" s="74" t="n"/>
      <c r="I128" s="74" t="n"/>
      <c r="J128" s="74" t="n"/>
      <c r="K128" s="74" t="n"/>
      <c r="L128" s="74" t="n"/>
      <c r="M128" s="74" t="n"/>
      <c r="N128" s="74" t="n"/>
      <c r="O128" s="74" t="n"/>
      <c r="P128" s="74" t="n"/>
      <c r="Q128" s="74" t="n"/>
      <c r="R128" s="74" t="n"/>
      <c r="S128" s="74" t="n"/>
      <c r="T128" s="74" t="n"/>
      <c r="U128" s="74" t="n"/>
      <c r="V128" s="74" t="n"/>
      <c r="W128" s="74" t="n"/>
      <c r="X128" s="74" t="n"/>
      <c r="Y128" s="74" t="n"/>
      <c r="Z128" s="74" t="n"/>
      <c r="AA128" s="74" t="n"/>
      <c r="AB128" s="74" t="n"/>
      <c r="AC128" s="74" t="n"/>
      <c r="AD128" s="74" t="n"/>
      <c r="AE128" s="74" t="n"/>
      <c r="AF128" s="74" t="n"/>
      <c r="AG128" s="74" t="n"/>
      <c r="AH128" s="74" t="n"/>
      <c r="AI128" s="74" t="n"/>
      <c r="AJ128" s="74" t="n"/>
      <c r="AK128" s="74" t="n"/>
      <c r="AL128" s="74" t="n"/>
      <c r="AM128" s="74" t="n"/>
      <c r="AN128" s="74" t="n"/>
      <c r="AO128" s="74" t="n"/>
      <c r="AP128" s="74" t="n"/>
      <c r="AQ128" s="74" t="n"/>
      <c r="AR128" s="74" t="n"/>
      <c r="AS128" s="74" t="n"/>
      <c r="AT128" s="74" t="n"/>
      <c r="AU128" s="74" t="n"/>
      <c r="AV128" s="74" t="n"/>
      <c r="AX128" s="138" t="n">
        <v>1991</v>
      </c>
      <c r="AY128" s="138" t="n">
        <v>6</v>
      </c>
    </row>
    <row r="129" ht="16.5" customFormat="1" customHeight="1" s="37">
      <c r="A129" s="74" t="n"/>
      <c r="B129" s="74" t="n"/>
      <c r="C129" s="74" t="n"/>
      <c r="D129" s="74" t="n"/>
      <c r="E129" s="74" t="n"/>
      <c r="F129" s="74" t="n"/>
      <c r="G129" s="74" t="n"/>
      <c r="H129" s="74" t="n"/>
      <c r="I129" s="74" t="n"/>
      <c r="J129" s="74" t="n"/>
      <c r="K129" s="74" t="n"/>
      <c r="L129" s="74" t="n"/>
      <c r="M129" s="74" t="n"/>
      <c r="N129" s="74" t="n"/>
      <c r="O129" s="74" t="n"/>
      <c r="P129" s="74" t="n"/>
      <c r="Q129" s="74" t="n"/>
      <c r="R129" s="74" t="n"/>
      <c r="S129" s="74" t="n"/>
      <c r="T129" s="74" t="n"/>
      <c r="U129" s="74" t="n"/>
      <c r="V129" s="74" t="n"/>
      <c r="W129" s="74" t="n"/>
      <c r="X129" s="74" t="n"/>
      <c r="Y129" s="74" t="n"/>
      <c r="Z129" s="74" t="n"/>
      <c r="AA129" s="74" t="n"/>
      <c r="AB129" s="74" t="n"/>
      <c r="AC129" s="74" t="n"/>
      <c r="AD129" s="74" t="n"/>
      <c r="AE129" s="74" t="n"/>
      <c r="AF129" s="74" t="n"/>
      <c r="AG129" s="74" t="n"/>
      <c r="AH129" s="74" t="n"/>
      <c r="AI129" s="74" t="n"/>
      <c r="AJ129" s="74" t="n"/>
      <c r="AK129" s="74" t="n"/>
      <c r="AL129" s="74" t="n"/>
      <c r="AM129" s="74" t="n"/>
      <c r="AN129" s="74" t="n"/>
      <c r="AO129" s="74" t="n"/>
      <c r="AP129" s="74" t="n"/>
      <c r="AQ129" s="74" t="n"/>
      <c r="AR129" s="74" t="n"/>
      <c r="AS129" s="74" t="n"/>
      <c r="AT129" s="74" t="n"/>
      <c r="AU129" s="74" t="n"/>
      <c r="AV129" s="74" t="n"/>
      <c r="AX129" s="138" t="n">
        <v>1991</v>
      </c>
      <c r="AY129" s="138" t="n">
        <v>6</v>
      </c>
    </row>
    <row r="130" ht="16.5" customFormat="1" customHeight="1" s="37">
      <c r="A130" s="74" t="n"/>
      <c r="B130" s="74" t="n"/>
      <c r="C130" s="74" t="n"/>
      <c r="D130" s="74" t="n"/>
      <c r="E130" s="74" t="n"/>
      <c r="F130" s="74" t="n"/>
      <c r="G130" s="74" t="n"/>
      <c r="H130" s="74" t="n"/>
      <c r="I130" s="74" t="n"/>
      <c r="J130" s="74" t="n"/>
      <c r="K130" s="74" t="n"/>
      <c r="L130" s="74" t="n"/>
      <c r="M130" s="74" t="n"/>
      <c r="N130" s="74" t="n"/>
      <c r="O130" s="74" t="n"/>
      <c r="P130" s="74" t="n"/>
      <c r="Q130" s="74" t="n"/>
      <c r="R130" s="74" t="n"/>
      <c r="S130" s="74" t="n"/>
      <c r="T130" s="74" t="n"/>
      <c r="U130" s="74" t="n"/>
      <c r="V130" s="74" t="n"/>
      <c r="W130" s="74" t="n"/>
      <c r="X130" s="74" t="n"/>
      <c r="Y130" s="74" t="n"/>
      <c r="Z130" s="74" t="n"/>
      <c r="AA130" s="74" t="n"/>
      <c r="AB130" s="74" t="n"/>
      <c r="AC130" s="74" t="n"/>
      <c r="AD130" s="74" t="n"/>
      <c r="AE130" s="74" t="n"/>
      <c r="AF130" s="74" t="n"/>
      <c r="AG130" s="74" t="n"/>
      <c r="AH130" s="74" t="n"/>
      <c r="AI130" s="74" t="n"/>
      <c r="AJ130" s="74" t="n"/>
      <c r="AK130" s="74" t="n"/>
      <c r="AL130" s="74" t="n"/>
      <c r="AM130" s="74" t="n"/>
      <c r="AN130" s="74" t="n"/>
      <c r="AO130" s="74" t="n"/>
      <c r="AP130" s="74" t="n"/>
      <c r="AQ130" s="74" t="n"/>
      <c r="AR130" s="74" t="n"/>
      <c r="AS130" s="74" t="n"/>
      <c r="AT130" s="74" t="n"/>
      <c r="AU130" s="74" t="n"/>
      <c r="AV130" s="74" t="n"/>
      <c r="AX130" s="138" t="n">
        <v>1991</v>
      </c>
      <c r="AY130" s="138" t="n">
        <v>6</v>
      </c>
    </row>
    <row r="131" ht="16.5" customFormat="1" customHeight="1" s="37">
      <c r="A131" s="74" t="n"/>
      <c r="B131" s="74" t="n"/>
      <c r="C131" s="74" t="n"/>
      <c r="D131" s="74" t="n"/>
      <c r="E131" s="74" t="n"/>
      <c r="F131" s="74" t="n"/>
      <c r="G131" s="74" t="n"/>
      <c r="H131" s="74" t="n"/>
      <c r="I131" s="74" t="n"/>
      <c r="J131" s="74" t="n"/>
      <c r="K131" s="74" t="n"/>
      <c r="L131" s="74" t="n"/>
      <c r="M131" s="74" t="n"/>
      <c r="N131" s="74" t="n"/>
      <c r="O131" s="74" t="n"/>
      <c r="P131" s="74" t="n"/>
      <c r="Q131" s="74" t="n"/>
      <c r="R131" s="74" t="n"/>
      <c r="S131" s="74" t="n"/>
      <c r="T131" s="74" t="n"/>
      <c r="U131" s="74" t="n"/>
      <c r="V131" s="74" t="n"/>
      <c r="W131" s="74" t="n"/>
      <c r="X131" s="74" t="n"/>
      <c r="Y131" s="74" t="n"/>
      <c r="Z131" s="74" t="n"/>
      <c r="AA131" s="74" t="n"/>
      <c r="AB131" s="74" t="n"/>
      <c r="AC131" s="74" t="n"/>
      <c r="AD131" s="74" t="n"/>
      <c r="AE131" s="74" t="n"/>
      <c r="AF131" s="74" t="n"/>
      <c r="AG131" s="74" t="n"/>
      <c r="AH131" s="74" t="n"/>
      <c r="AI131" s="74" t="n"/>
      <c r="AJ131" s="74" t="n"/>
      <c r="AK131" s="74" t="n"/>
      <c r="AL131" s="74" t="n"/>
      <c r="AM131" s="74" t="n"/>
      <c r="AN131" s="74" t="n"/>
      <c r="AO131" s="74" t="n"/>
      <c r="AP131" s="74" t="n"/>
      <c r="AQ131" s="74" t="n"/>
      <c r="AR131" s="74" t="n"/>
      <c r="AS131" s="74" t="n"/>
      <c r="AT131" s="74" t="n"/>
      <c r="AU131" s="74" t="n"/>
      <c r="AV131" s="74" t="n"/>
      <c r="AX131" s="138" t="n">
        <v>1991</v>
      </c>
      <c r="AY131" s="138" t="n">
        <v>6</v>
      </c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  <c r="W132" s="74" t="n"/>
      <c r="X132" s="74" t="n"/>
      <c r="Y132" s="74" t="n"/>
      <c r="Z132" s="74" t="n"/>
      <c r="AA132" s="74" t="n"/>
      <c r="AB132" s="74" t="n"/>
      <c r="AC132" s="74" t="n"/>
      <c r="AD132" s="74" t="n"/>
      <c r="AE132" s="74" t="n"/>
      <c r="AF132" s="74" t="n"/>
      <c r="AG132" s="74" t="n"/>
      <c r="AH132" s="74" t="n"/>
      <c r="AI132" s="74" t="n"/>
      <c r="AJ132" s="74" t="n"/>
      <c r="AK132" s="74" t="n"/>
      <c r="AL132" s="74" t="n"/>
      <c r="AM132" s="74" t="n"/>
      <c r="AN132" s="74" t="n"/>
      <c r="AO132" s="74" t="n"/>
      <c r="AP132" s="74" t="n"/>
      <c r="AQ132" s="74" t="n"/>
      <c r="AR132" s="74" t="n"/>
      <c r="AS132" s="74" t="n"/>
      <c r="AT132" s="74" t="n"/>
      <c r="AU132" s="74" t="n"/>
      <c r="AV132" s="74" t="n"/>
      <c r="AX132" s="138" t="n">
        <v>1995</v>
      </c>
      <c r="AY132" s="138" t="n">
        <v>4</v>
      </c>
      <c r="AZ132" s="138" t="n"/>
      <c r="BA132" s="121" t="inlineStr">
        <is>
          <t>20평대</t>
        </is>
      </c>
      <c r="BB132" s="139" t="n">
        <v>0</v>
      </c>
      <c r="BC132" s="139" t="n">
        <v>0</v>
      </c>
      <c r="BD132" s="139" t="n">
        <v>0</v>
      </c>
      <c r="BE132" s="139" t="n">
        <v>0</v>
      </c>
      <c r="BF132" s="139" t="n">
        <v>0</v>
      </c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  <c r="W133" s="74" t="n"/>
      <c r="X133" s="74" t="n"/>
      <c r="Y133" s="74" t="n"/>
      <c r="Z133" s="74" t="n"/>
      <c r="AA133" s="74" t="n"/>
      <c r="AB133" s="74" t="n"/>
      <c r="AC133" s="74" t="n"/>
      <c r="AD133" s="74" t="n"/>
      <c r="AE133" s="74" t="n"/>
      <c r="AF133" s="74" t="n"/>
      <c r="AG133" s="74" t="n"/>
      <c r="AH133" s="74" t="n"/>
      <c r="AI133" s="74" t="n"/>
      <c r="AJ133" s="74" t="n"/>
      <c r="AK133" s="74" t="n"/>
      <c r="AL133" s="74" t="n"/>
      <c r="AM133" s="74" t="n"/>
      <c r="AN133" s="74" t="n"/>
      <c r="AO133" s="74" t="n"/>
      <c r="AP133" s="74" t="n"/>
      <c r="AQ133" s="74" t="n"/>
      <c r="AR133" s="74" t="n"/>
      <c r="AS133" s="74" t="n"/>
      <c r="AT133" s="74" t="n"/>
      <c r="AU133" s="74" t="n"/>
      <c r="AV133" s="74" t="n"/>
      <c r="AX133" s="138" t="n">
        <v>1995</v>
      </c>
      <c r="AY133" s="138" t="n">
        <v>4</v>
      </c>
      <c r="AZ133" s="138" t="n"/>
      <c r="BA133" s="121" t="inlineStr">
        <is>
          <t>30평대</t>
        </is>
      </c>
      <c r="BB133" s="139" t="n">
        <v>0</v>
      </c>
      <c r="BC133" s="139" t="n">
        <v>0</v>
      </c>
      <c r="BD133" s="139" t="n">
        <v>0</v>
      </c>
      <c r="BE133" s="139" t="n">
        <v>0</v>
      </c>
      <c r="BF133" s="139" t="n">
        <v>0</v>
      </c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  <c r="W134" s="74" t="n"/>
      <c r="X134" s="74" t="n"/>
      <c r="Y134" s="74" t="n"/>
      <c r="Z134" s="74" t="n"/>
      <c r="AA134" s="74" t="n"/>
      <c r="AB134" s="74" t="n"/>
      <c r="AC134" s="74" t="n"/>
      <c r="AD134" s="74" t="n"/>
      <c r="AE134" s="74" t="n"/>
      <c r="AF134" s="74" t="n"/>
      <c r="AG134" s="74" t="n"/>
      <c r="AH134" s="74" t="n"/>
      <c r="AI134" s="74" t="n"/>
      <c r="AJ134" s="74" t="n"/>
      <c r="AK134" s="74" t="n"/>
      <c r="AL134" s="74" t="n"/>
      <c r="AM134" s="74" t="n"/>
      <c r="AN134" s="74" t="n"/>
      <c r="AO134" s="74" t="n"/>
      <c r="AP134" s="74" t="n"/>
      <c r="AQ134" s="74" t="n"/>
      <c r="AR134" s="74" t="n"/>
      <c r="AS134" s="74" t="n"/>
      <c r="AT134" s="74" t="n"/>
      <c r="AU134" s="74" t="n"/>
      <c r="AV134" s="74" t="n"/>
      <c r="AX134" s="138" t="n">
        <v>1995</v>
      </c>
      <c r="AY134" s="138" t="n">
        <v>4</v>
      </c>
      <c r="AZ134" s="138" t="n"/>
      <c r="BA134" s="73" t="inlineStr">
        <is>
          <t>40평대↑</t>
        </is>
      </c>
      <c r="BB134" s="140" t="n">
        <v>0</v>
      </c>
      <c r="BC134" s="140" t="n">
        <v>0</v>
      </c>
      <c r="BD134" s="140" t="n">
        <v>0</v>
      </c>
      <c r="BE134" s="140" t="n">
        <v>0</v>
      </c>
      <c r="BF134" s="140" t="n">
        <v>0</v>
      </c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  <c r="W135" s="74" t="n"/>
      <c r="X135" s="74" t="n"/>
      <c r="Y135" s="74" t="n"/>
      <c r="Z135" s="74" t="n"/>
      <c r="AA135" s="74" t="n"/>
      <c r="AB135" s="74" t="n"/>
      <c r="AC135" s="74" t="n"/>
      <c r="AD135" s="74" t="n"/>
      <c r="AE135" s="74" t="n"/>
      <c r="AF135" s="74" t="n"/>
      <c r="AG135" s="74" t="n"/>
      <c r="AH135" s="74" t="n"/>
      <c r="AI135" s="74" t="n"/>
      <c r="AJ135" s="74" t="n"/>
      <c r="AK135" s="74" t="n"/>
      <c r="AL135" s="74" t="n"/>
      <c r="AM135" s="74" t="n"/>
      <c r="AN135" s="74" t="n"/>
      <c r="AO135" s="74" t="n"/>
      <c r="AP135" s="74" t="n"/>
      <c r="AQ135" s="74" t="n"/>
      <c r="AR135" s="74" t="n"/>
      <c r="AS135" s="74" t="n"/>
      <c r="AT135" s="74" t="n"/>
      <c r="AU135" s="74" t="n"/>
      <c r="AV135" s="74" t="n"/>
      <c r="AX135" s="138" t="n">
        <v>1993</v>
      </c>
      <c r="AY135" s="138" t="n">
        <v>5</v>
      </c>
      <c r="AZ135" s="138" t="n"/>
      <c r="BA135" s="2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  <c r="W136" s="74" t="n"/>
      <c r="X136" s="74" t="n"/>
      <c r="Y136" s="74" t="n"/>
      <c r="Z136" s="74" t="n"/>
      <c r="AA136" s="74" t="n"/>
      <c r="AB136" s="74" t="n"/>
      <c r="AC136" s="74" t="n"/>
      <c r="AD136" s="74" t="n"/>
      <c r="AE136" s="74" t="n"/>
      <c r="AF136" s="74" t="n"/>
      <c r="AG136" s="74" t="n"/>
      <c r="AH136" s="74" t="n"/>
      <c r="AI136" s="74" t="n"/>
      <c r="AJ136" s="74" t="n"/>
      <c r="AK136" s="74" t="n"/>
      <c r="AL136" s="74" t="n"/>
      <c r="AM136" s="74" t="n"/>
      <c r="AN136" s="74" t="n"/>
      <c r="AO136" s="74" t="n"/>
      <c r="AP136" s="74" t="n"/>
      <c r="AQ136" s="74" t="n"/>
      <c r="AR136" s="74" t="n"/>
      <c r="AS136" s="74" t="n"/>
      <c r="AT136" s="74" t="n"/>
      <c r="AU136" s="74" t="n"/>
      <c r="AV136" s="74" t="n"/>
      <c r="AX136" s="138" t="n">
        <v>1993</v>
      </c>
      <c r="AY136" s="138" t="n">
        <v>11</v>
      </c>
      <c r="AZ136" s="138" t="n"/>
      <c r="BA136" s="121" t="inlineStr">
        <is>
          <t>10평대</t>
        </is>
      </c>
      <c r="BB136" s="141" t="e">
        <v>#DIV/0!</v>
      </c>
      <c r="BC136" s="141" t="e">
        <v>#DIV/0!</v>
      </c>
      <c r="BD136" s="141" t="e">
        <v>#DIV/0!</v>
      </c>
      <c r="BE136" s="141" t="e">
        <v>#DIV/0!</v>
      </c>
      <c r="BF136" s="141" t="e">
        <v>#DIV/0!</v>
      </c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  <c r="W137" s="74" t="n"/>
      <c r="X137" s="74" t="n"/>
      <c r="Y137" s="74" t="n"/>
      <c r="Z137" s="74" t="n"/>
      <c r="AA137" s="74" t="n"/>
      <c r="AB137" s="74" t="n"/>
      <c r="AC137" s="74" t="n"/>
      <c r="AD137" s="74" t="n"/>
      <c r="AE137" s="74" t="n"/>
      <c r="AF137" s="74" t="n"/>
      <c r="AG137" s="74" t="n"/>
      <c r="AH137" s="74" t="n"/>
      <c r="AI137" s="74" t="n"/>
      <c r="AJ137" s="74" t="n"/>
      <c r="AK137" s="74" t="n"/>
      <c r="AL137" s="74" t="n"/>
      <c r="AM137" s="74" t="n"/>
      <c r="AN137" s="74" t="n"/>
      <c r="AO137" s="74" t="n"/>
      <c r="AP137" s="74" t="n"/>
      <c r="AQ137" s="74" t="n"/>
      <c r="AR137" s="74" t="n"/>
      <c r="AS137" s="74" t="n"/>
      <c r="AT137" s="74" t="n"/>
      <c r="AU137" s="74" t="n"/>
      <c r="AV137" s="74" t="n"/>
      <c r="AX137" s="138" t="n">
        <v>1994</v>
      </c>
      <c r="AY137" s="138" t="n">
        <v>9</v>
      </c>
      <c r="BA137" s="121" t="inlineStr">
        <is>
          <t>30평대</t>
        </is>
      </c>
      <c r="BB137" s="141" t="e">
        <v>#DIV/0!</v>
      </c>
      <c r="BC137" s="141" t="e">
        <v>#DIV/0!</v>
      </c>
      <c r="BD137" s="141" t="e">
        <v>#DIV/0!</v>
      </c>
      <c r="BE137" s="141" t="e">
        <v>#DIV/0!</v>
      </c>
      <c r="BF137" s="141" t="e">
        <v>#DIV/0!</v>
      </c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  <c r="W138" s="74" t="n"/>
      <c r="X138" s="74" t="n"/>
      <c r="Y138" s="74" t="n"/>
      <c r="Z138" s="74" t="n"/>
      <c r="AA138" s="74" t="n"/>
      <c r="AB138" s="74" t="n"/>
      <c r="AC138" s="74" t="n"/>
      <c r="AD138" s="74" t="n"/>
      <c r="AE138" s="74" t="n"/>
      <c r="AF138" s="74" t="n"/>
      <c r="AG138" s="74" t="n"/>
      <c r="AH138" s="74" t="n"/>
      <c r="AI138" s="74" t="n"/>
      <c r="AJ138" s="74" t="n"/>
      <c r="AK138" s="74" t="n"/>
      <c r="AL138" s="74" t="n"/>
      <c r="AM138" s="74" t="n"/>
      <c r="AN138" s="74" t="n"/>
      <c r="AO138" s="74" t="n"/>
      <c r="AP138" s="74" t="n"/>
      <c r="AQ138" s="74" t="n"/>
      <c r="AR138" s="74" t="n"/>
      <c r="AS138" s="74" t="n"/>
      <c r="AT138" s="74" t="n"/>
      <c r="AU138" s="74" t="n"/>
      <c r="AV138" s="74" t="n"/>
      <c r="AX138" s="138" t="n">
        <v>1994</v>
      </c>
      <c r="AY138" s="138" t="n">
        <v>9</v>
      </c>
      <c r="BA138" s="121" t="inlineStr">
        <is>
          <t>합계</t>
        </is>
      </c>
      <c r="BB138" s="141" t="e">
        <v>#DIV/0!</v>
      </c>
      <c r="BC138" s="141" t="e">
        <v>#DIV/0!</v>
      </c>
      <c r="BD138" s="141" t="e">
        <v>#DIV/0!</v>
      </c>
      <c r="BE138" s="141" t="e">
        <v>#DIV/0!</v>
      </c>
      <c r="BF138" s="141" t="e">
        <v>#DIV/0!</v>
      </c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  <c r="W139" s="74" t="n"/>
      <c r="X139" s="74" t="n"/>
      <c r="Y139" s="74" t="n"/>
      <c r="Z139" s="74" t="n"/>
      <c r="AA139" s="74" t="n"/>
      <c r="AB139" s="74" t="n"/>
      <c r="AC139" s="74" t="n"/>
      <c r="AD139" s="74" t="n"/>
      <c r="AE139" s="74" t="n"/>
      <c r="AF139" s="74" t="n"/>
      <c r="AG139" s="74" t="n"/>
      <c r="AH139" s="74" t="n"/>
      <c r="AI139" s="74" t="n"/>
      <c r="AJ139" s="74" t="n"/>
      <c r="AK139" s="74" t="n"/>
      <c r="AL139" s="74" t="n"/>
      <c r="AM139" s="74" t="n"/>
      <c r="AN139" s="74" t="n"/>
      <c r="AO139" s="74" t="n"/>
      <c r="AP139" s="74" t="n"/>
      <c r="AQ139" s="74" t="n"/>
      <c r="AR139" s="74" t="n"/>
      <c r="AS139" s="74" t="n"/>
      <c r="AT139" s="74" t="n"/>
      <c r="AU139" s="74" t="n"/>
      <c r="AV139" s="74" t="n"/>
      <c r="AX139" s="138" t="n">
        <v>1994</v>
      </c>
      <c r="AY139" s="138" t="n">
        <v>9</v>
      </c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  <c r="W140" s="74" t="n"/>
      <c r="X140" s="74" t="n"/>
      <c r="Y140" s="74" t="n"/>
      <c r="Z140" s="74" t="n"/>
      <c r="AA140" s="74" t="n"/>
      <c r="AB140" s="74" t="n"/>
      <c r="AC140" s="74" t="n"/>
      <c r="AD140" s="74" t="n"/>
      <c r="AE140" s="74" t="n"/>
      <c r="AF140" s="74" t="n"/>
      <c r="AG140" s="74" t="n"/>
      <c r="AH140" s="74" t="n"/>
      <c r="AI140" s="74" t="n"/>
      <c r="AJ140" s="74" t="n"/>
      <c r="AK140" s="74" t="n"/>
      <c r="AL140" s="74" t="n"/>
      <c r="AM140" s="74" t="n"/>
      <c r="AN140" s="74" t="n"/>
      <c r="AO140" s="74" t="n"/>
      <c r="AP140" s="74" t="n"/>
      <c r="AQ140" s="74" t="n"/>
      <c r="AR140" s="74" t="n"/>
      <c r="AS140" s="74" t="n"/>
      <c r="AT140" s="74" t="n"/>
      <c r="AU140" s="74" t="n"/>
      <c r="AV140" s="74" t="n"/>
      <c r="AX140" s="138" t="n">
        <v>1992</v>
      </c>
      <c r="AY140" s="138" t="n">
        <v>5</v>
      </c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  <c r="W141" s="74" t="n"/>
      <c r="X141" s="74" t="n"/>
      <c r="Y141" s="74" t="n"/>
      <c r="Z141" s="74" t="n"/>
      <c r="AA141" s="74" t="n"/>
      <c r="AB141" s="74" t="n"/>
      <c r="AC141" s="74" t="n"/>
      <c r="AD141" s="74" t="n"/>
      <c r="AE141" s="74" t="n"/>
      <c r="AF141" s="74" t="n"/>
      <c r="AG141" s="74" t="n"/>
      <c r="AH141" s="74" t="n"/>
      <c r="AI141" s="74" t="n"/>
      <c r="AJ141" s="74" t="n"/>
      <c r="AK141" s="74" t="n"/>
      <c r="AL141" s="74" t="n"/>
      <c r="AM141" s="74" t="n"/>
      <c r="AN141" s="74" t="n"/>
      <c r="AO141" s="74" t="n"/>
      <c r="AP141" s="74" t="n"/>
      <c r="AQ141" s="74" t="n"/>
      <c r="AR141" s="74" t="n"/>
      <c r="AS141" s="74" t="n"/>
      <c r="AT141" s="74" t="n"/>
      <c r="AU141" s="74" t="n"/>
      <c r="AV141" s="74" t="n"/>
      <c r="AX141" s="138" t="n">
        <v>1992</v>
      </c>
      <c r="AY141" s="138" t="n">
        <v>6</v>
      </c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  <c r="W142" s="74" t="n"/>
      <c r="X142" s="74" t="n"/>
      <c r="Y142" s="74" t="n"/>
      <c r="Z142" s="74" t="n"/>
      <c r="AA142" s="74" t="n"/>
      <c r="AB142" s="74" t="n"/>
      <c r="AC142" s="74" t="n"/>
      <c r="AD142" s="74" t="n"/>
      <c r="AE142" s="74" t="n"/>
      <c r="AF142" s="74" t="n"/>
      <c r="AG142" s="74" t="n"/>
      <c r="AH142" s="74" t="n"/>
      <c r="AI142" s="74" t="n"/>
      <c r="AJ142" s="74" t="n"/>
      <c r="AK142" s="74" t="n"/>
      <c r="AL142" s="74" t="n"/>
      <c r="AM142" s="74" t="n"/>
      <c r="AN142" s="74" t="n"/>
      <c r="AO142" s="74" t="n"/>
      <c r="AP142" s="74" t="n"/>
      <c r="AQ142" s="74" t="n"/>
      <c r="AR142" s="74" t="n"/>
      <c r="AS142" s="74" t="n"/>
      <c r="AT142" s="74" t="n"/>
      <c r="AU142" s="74" t="n"/>
      <c r="AV142" s="74" t="n"/>
      <c r="AX142" s="138" t="n">
        <v>1992</v>
      </c>
      <c r="AY142" s="138" t="n">
        <v>6</v>
      </c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  <c r="W143" s="74" t="n"/>
      <c r="X143" s="74" t="n"/>
      <c r="Y143" s="74" t="n"/>
      <c r="Z143" s="74" t="n"/>
      <c r="AA143" s="74" t="n"/>
      <c r="AB143" s="74" t="n"/>
      <c r="AC143" s="74" t="n"/>
      <c r="AD143" s="74" t="n"/>
      <c r="AE143" s="74" t="n"/>
      <c r="AF143" s="74" t="n"/>
      <c r="AG143" s="74" t="n"/>
      <c r="AH143" s="74" t="n"/>
      <c r="AI143" s="74" t="n"/>
      <c r="AJ143" s="74" t="n"/>
      <c r="AK143" s="74" t="n"/>
      <c r="AL143" s="74" t="n"/>
      <c r="AM143" s="74" t="n"/>
      <c r="AN143" s="74" t="n"/>
      <c r="AO143" s="74" t="n"/>
      <c r="AP143" s="74" t="n"/>
      <c r="AQ143" s="74" t="n"/>
      <c r="AR143" s="74" t="n"/>
      <c r="AS143" s="74" t="n"/>
      <c r="AT143" s="74" t="n"/>
      <c r="AU143" s="74" t="n"/>
      <c r="AV143" s="74" t="n"/>
      <c r="AX143" s="138" t="n">
        <v>1993</v>
      </c>
      <c r="AY143" s="138" t="n">
        <v>9</v>
      </c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  <c r="W144" s="74" t="n"/>
      <c r="X144" s="74" t="n"/>
      <c r="Y144" s="74" t="n"/>
      <c r="Z144" s="74" t="n"/>
      <c r="AA144" s="74" t="n"/>
      <c r="AB144" s="74" t="n"/>
      <c r="AC144" s="74" t="n"/>
      <c r="AD144" s="74" t="n"/>
      <c r="AE144" s="74" t="n"/>
      <c r="AF144" s="74" t="n"/>
      <c r="AG144" s="74" t="n"/>
      <c r="AH144" s="74" t="n"/>
      <c r="AI144" s="74" t="n"/>
      <c r="AJ144" s="74" t="n"/>
      <c r="AK144" s="74" t="n"/>
      <c r="AL144" s="74" t="n"/>
      <c r="AM144" s="74" t="n"/>
      <c r="AN144" s="74" t="n"/>
      <c r="AO144" s="74" t="n"/>
      <c r="AP144" s="74" t="n"/>
      <c r="AQ144" s="74" t="n"/>
      <c r="AR144" s="74" t="n"/>
      <c r="AS144" s="74" t="n"/>
      <c r="AT144" s="74" t="n"/>
      <c r="AU144" s="74" t="n"/>
      <c r="AV144" s="74" t="n"/>
      <c r="AX144" s="138" t="n">
        <v>1993</v>
      </c>
      <c r="AY144" s="138" t="n">
        <v>9</v>
      </c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  <c r="W145" s="74" t="n"/>
      <c r="X145" s="74" t="n"/>
      <c r="Y145" s="74" t="n"/>
      <c r="Z145" s="74" t="n"/>
      <c r="AA145" s="74" t="n"/>
      <c r="AB145" s="74" t="n"/>
      <c r="AC145" s="74" t="n"/>
      <c r="AD145" s="74" t="n"/>
      <c r="AE145" s="74" t="n"/>
      <c r="AF145" s="74" t="n"/>
      <c r="AG145" s="74" t="n"/>
      <c r="AH145" s="74" t="n"/>
      <c r="AI145" s="74" t="n"/>
      <c r="AJ145" s="74" t="n"/>
      <c r="AK145" s="74" t="n"/>
      <c r="AL145" s="74" t="n"/>
      <c r="AM145" s="74" t="n"/>
      <c r="AN145" s="74" t="n"/>
      <c r="AO145" s="74" t="n"/>
      <c r="AP145" s="74" t="n"/>
      <c r="AQ145" s="74" t="n"/>
      <c r="AR145" s="74" t="n"/>
      <c r="AS145" s="74" t="n"/>
      <c r="AT145" s="74" t="n"/>
      <c r="AU145" s="74" t="n"/>
      <c r="AV145" s="74" t="n"/>
      <c r="AX145" s="138" t="n">
        <v>1992</v>
      </c>
      <c r="AY145" s="138" t="n">
        <v>3</v>
      </c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  <c r="W146" s="74" t="n"/>
      <c r="X146" s="74" t="n"/>
      <c r="Y146" s="74" t="n"/>
      <c r="Z146" s="74" t="n"/>
      <c r="AA146" s="74" t="n"/>
      <c r="AB146" s="74" t="n"/>
      <c r="AC146" s="74" t="n"/>
      <c r="AD146" s="74" t="n"/>
      <c r="AE146" s="74" t="n"/>
      <c r="AF146" s="74" t="n"/>
      <c r="AG146" s="74" t="n"/>
      <c r="AH146" s="74" t="n"/>
      <c r="AI146" s="74" t="n"/>
      <c r="AJ146" s="74" t="n"/>
      <c r="AK146" s="74" t="n"/>
      <c r="AL146" s="74" t="n"/>
      <c r="AM146" s="74" t="n"/>
      <c r="AN146" s="74" t="n"/>
      <c r="AO146" s="74" t="n"/>
      <c r="AP146" s="74" t="n"/>
      <c r="AQ146" s="74" t="n"/>
      <c r="AR146" s="74" t="n"/>
      <c r="AS146" s="74" t="n"/>
      <c r="AT146" s="74" t="n"/>
      <c r="AU146" s="74" t="n"/>
      <c r="AV146" s="74" t="n"/>
      <c r="AX146" s="138" t="n">
        <v>1992</v>
      </c>
      <c r="AY146" s="138" t="n">
        <v>3</v>
      </c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  <c r="W147" s="74" t="n"/>
      <c r="X147" s="74" t="n"/>
      <c r="Y147" s="74" t="n"/>
      <c r="Z147" s="74" t="n"/>
      <c r="AA147" s="74" t="n"/>
      <c r="AB147" s="74" t="n"/>
      <c r="AC147" s="74" t="n"/>
      <c r="AD147" s="74" t="n"/>
      <c r="AE147" s="74" t="n"/>
      <c r="AF147" s="74" t="n"/>
      <c r="AG147" s="74" t="n"/>
      <c r="AH147" s="74" t="n"/>
      <c r="AI147" s="74" t="n"/>
      <c r="AJ147" s="74" t="n"/>
      <c r="AK147" s="74" t="n"/>
      <c r="AL147" s="74" t="n"/>
      <c r="AM147" s="74" t="n"/>
      <c r="AN147" s="74" t="n"/>
      <c r="AO147" s="74" t="n"/>
      <c r="AP147" s="74" t="n"/>
      <c r="AQ147" s="74" t="n"/>
      <c r="AR147" s="74" t="n"/>
      <c r="AS147" s="74" t="n"/>
      <c r="AT147" s="74" t="n"/>
      <c r="AU147" s="74" t="n"/>
      <c r="AV147" s="74" t="n"/>
      <c r="AX147" s="138" t="n">
        <v>1993</v>
      </c>
      <c r="AY147" s="138" t="n">
        <v>5</v>
      </c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  <c r="W148" s="74" t="n"/>
      <c r="X148" s="74" t="n"/>
      <c r="Y148" s="74" t="n"/>
      <c r="Z148" s="74" t="n"/>
      <c r="AA148" s="74" t="n"/>
      <c r="AB148" s="74" t="n"/>
      <c r="AC148" s="74" t="n"/>
      <c r="AD148" s="74" t="n"/>
      <c r="AE148" s="74" t="n"/>
      <c r="AF148" s="74" t="n"/>
      <c r="AG148" s="74" t="n"/>
      <c r="AH148" s="74" t="n"/>
      <c r="AI148" s="74" t="n"/>
      <c r="AJ148" s="74" t="n"/>
      <c r="AK148" s="74" t="n"/>
      <c r="AL148" s="74" t="n"/>
      <c r="AM148" s="74" t="n"/>
      <c r="AN148" s="74" t="n"/>
      <c r="AO148" s="74" t="n"/>
      <c r="AP148" s="74" t="n"/>
      <c r="AQ148" s="74" t="n"/>
      <c r="AR148" s="74" t="n"/>
      <c r="AS148" s="74" t="n"/>
      <c r="AT148" s="74" t="n"/>
      <c r="AU148" s="74" t="n"/>
      <c r="AV148" s="74" t="n"/>
      <c r="AX148" s="138" t="n">
        <v>1993</v>
      </c>
      <c r="AY148" s="138" t="n">
        <v>5</v>
      </c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  <c r="W149" s="74" t="n"/>
      <c r="X149" s="74" t="n"/>
      <c r="Y149" s="74" t="n"/>
      <c r="Z149" s="74" t="n"/>
      <c r="AA149" s="74" t="n"/>
      <c r="AB149" s="74" t="n"/>
      <c r="AC149" s="74" t="n"/>
      <c r="AD149" s="74" t="n"/>
      <c r="AE149" s="74" t="n"/>
      <c r="AF149" s="74" t="n"/>
      <c r="AG149" s="74" t="n"/>
      <c r="AH149" s="74" t="n"/>
      <c r="AI149" s="74" t="n"/>
      <c r="AJ149" s="74" t="n"/>
      <c r="AK149" s="74" t="n"/>
      <c r="AL149" s="74" t="n"/>
      <c r="AM149" s="74" t="n"/>
      <c r="AN149" s="74" t="n"/>
      <c r="AO149" s="74" t="n"/>
      <c r="AP149" s="74" t="n"/>
      <c r="AQ149" s="74" t="n"/>
      <c r="AR149" s="74" t="n"/>
      <c r="AS149" s="74" t="n"/>
      <c r="AT149" s="74" t="n"/>
      <c r="AU149" s="74" t="n"/>
      <c r="AV149" s="74" t="n"/>
      <c r="AX149" s="138" t="n">
        <v>1993</v>
      </c>
      <c r="AY149" s="138" t="n">
        <v>5</v>
      </c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  <c r="W150" s="74" t="n"/>
      <c r="X150" s="74" t="n"/>
      <c r="Y150" s="74" t="n"/>
      <c r="Z150" s="74" t="n"/>
      <c r="AA150" s="74" t="n"/>
      <c r="AB150" s="74" t="n"/>
      <c r="AC150" s="74" t="n"/>
      <c r="AD150" s="74" t="n"/>
      <c r="AE150" s="74" t="n"/>
      <c r="AF150" s="74" t="n"/>
      <c r="AG150" s="74" t="n"/>
      <c r="AH150" s="74" t="n"/>
      <c r="AI150" s="74" t="n"/>
      <c r="AJ150" s="74" t="n"/>
      <c r="AK150" s="74" t="n"/>
      <c r="AL150" s="74" t="n"/>
      <c r="AM150" s="74" t="n"/>
      <c r="AN150" s="74" t="n"/>
      <c r="AO150" s="74" t="n"/>
      <c r="AP150" s="74" t="n"/>
      <c r="AQ150" s="74" t="n"/>
      <c r="AR150" s="74" t="n"/>
      <c r="AS150" s="74" t="n"/>
      <c r="AT150" s="74" t="n"/>
      <c r="AU150" s="74" t="n"/>
      <c r="AV150" s="74" t="n"/>
      <c r="AX150" s="138" t="n">
        <v>1993</v>
      </c>
      <c r="AY150" s="138" t="n">
        <v>5</v>
      </c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  <c r="W151" s="74" t="n"/>
      <c r="X151" s="74" t="n"/>
      <c r="Y151" s="74" t="n"/>
      <c r="Z151" s="74" t="n"/>
      <c r="AA151" s="74" t="n"/>
      <c r="AB151" s="74" t="n"/>
      <c r="AC151" s="74" t="n"/>
      <c r="AD151" s="74" t="n"/>
      <c r="AE151" s="74" t="n"/>
      <c r="AF151" s="74" t="n"/>
      <c r="AG151" s="74" t="n"/>
      <c r="AH151" s="74" t="n"/>
      <c r="AI151" s="74" t="n"/>
      <c r="AJ151" s="74" t="n"/>
      <c r="AK151" s="74" t="n"/>
      <c r="AL151" s="74" t="n"/>
      <c r="AM151" s="74" t="n"/>
      <c r="AN151" s="74" t="n"/>
      <c r="AO151" s="74" t="n"/>
      <c r="AP151" s="74" t="n"/>
      <c r="AQ151" s="74" t="n"/>
      <c r="AR151" s="74" t="n"/>
      <c r="AS151" s="74" t="n"/>
      <c r="AT151" s="74" t="n"/>
      <c r="AU151" s="74" t="n"/>
      <c r="AV151" s="74" t="n"/>
      <c r="AX151" s="138" t="n">
        <v>1992</v>
      </c>
      <c r="AY151" s="138" t="n">
        <v>12</v>
      </c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  <c r="W152" s="74" t="n"/>
      <c r="X152" s="74" t="n"/>
      <c r="Y152" s="74" t="n"/>
      <c r="Z152" s="74" t="n"/>
      <c r="AA152" s="74" t="n"/>
      <c r="AB152" s="74" t="n"/>
      <c r="AC152" s="74" t="n"/>
      <c r="AD152" s="74" t="n"/>
      <c r="AE152" s="74" t="n"/>
      <c r="AF152" s="74" t="n"/>
      <c r="AG152" s="74" t="n"/>
      <c r="AH152" s="74" t="n"/>
      <c r="AI152" s="74" t="n"/>
      <c r="AJ152" s="74" t="n"/>
      <c r="AK152" s="74" t="n"/>
      <c r="AL152" s="74" t="n"/>
      <c r="AM152" s="74" t="n"/>
      <c r="AN152" s="74" t="n"/>
      <c r="AO152" s="74" t="n"/>
      <c r="AP152" s="74" t="n"/>
      <c r="AQ152" s="74" t="n"/>
      <c r="AR152" s="74" t="n"/>
      <c r="AS152" s="74" t="n"/>
      <c r="AT152" s="74" t="n"/>
      <c r="AU152" s="74" t="n"/>
      <c r="AV152" s="74" t="n"/>
      <c r="AX152" s="138" t="n">
        <v>1993</v>
      </c>
      <c r="AY152" s="138" t="n">
        <v>5</v>
      </c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  <c r="W153" s="74" t="n"/>
      <c r="X153" s="74" t="n"/>
      <c r="Y153" s="74" t="n"/>
      <c r="Z153" s="74" t="n"/>
      <c r="AA153" s="74" t="n"/>
      <c r="AB153" s="74" t="n"/>
      <c r="AC153" s="74" t="n"/>
      <c r="AD153" s="74" t="n"/>
      <c r="AE153" s="74" t="n"/>
      <c r="AF153" s="74" t="n"/>
      <c r="AG153" s="74" t="n"/>
      <c r="AH153" s="74" t="n"/>
      <c r="AI153" s="74" t="n"/>
      <c r="AJ153" s="74" t="n"/>
      <c r="AK153" s="74" t="n"/>
      <c r="AL153" s="74" t="n"/>
      <c r="AM153" s="74" t="n"/>
      <c r="AN153" s="74" t="n"/>
      <c r="AO153" s="74" t="n"/>
      <c r="AP153" s="74" t="n"/>
      <c r="AQ153" s="74" t="n"/>
      <c r="AR153" s="74" t="n"/>
      <c r="AS153" s="74" t="n"/>
      <c r="AT153" s="74" t="n"/>
      <c r="AU153" s="74" t="n"/>
      <c r="AV153" s="74" t="n"/>
      <c r="AX153" s="138" t="n">
        <v>1993</v>
      </c>
      <c r="AY153" s="138" t="n">
        <v>5</v>
      </c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  <c r="W154" s="74" t="n"/>
      <c r="X154" s="74" t="n"/>
      <c r="Y154" s="74" t="n"/>
      <c r="Z154" s="74" t="n"/>
      <c r="AA154" s="74" t="n"/>
      <c r="AB154" s="74" t="n"/>
      <c r="AC154" s="74" t="n"/>
      <c r="AD154" s="74" t="n"/>
      <c r="AE154" s="74" t="n"/>
      <c r="AF154" s="74" t="n"/>
      <c r="AG154" s="74" t="n"/>
      <c r="AH154" s="74" t="n"/>
      <c r="AI154" s="74" t="n"/>
      <c r="AJ154" s="74" t="n"/>
      <c r="AK154" s="74" t="n"/>
      <c r="AL154" s="74" t="n"/>
      <c r="AM154" s="74" t="n"/>
      <c r="AN154" s="74" t="n"/>
      <c r="AO154" s="74" t="n"/>
      <c r="AP154" s="74" t="n"/>
      <c r="AQ154" s="74" t="n"/>
      <c r="AR154" s="74" t="n"/>
      <c r="AS154" s="74" t="n"/>
      <c r="AT154" s="74" t="n"/>
      <c r="AU154" s="74" t="n"/>
      <c r="AV154" s="74" t="n"/>
      <c r="AX154" s="138" t="n">
        <v>1997</v>
      </c>
      <c r="AY154" s="138" t="n">
        <v>8</v>
      </c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  <c r="W155" s="74" t="n"/>
      <c r="X155" s="74" t="n"/>
      <c r="Y155" s="74" t="n"/>
      <c r="Z155" s="74" t="n"/>
      <c r="AA155" s="74" t="n"/>
      <c r="AB155" s="74" t="n"/>
      <c r="AC155" s="74" t="n"/>
      <c r="AD155" s="74" t="n"/>
      <c r="AE155" s="74" t="n"/>
      <c r="AF155" s="74" t="n"/>
      <c r="AG155" s="74" t="n"/>
      <c r="AH155" s="74" t="n"/>
      <c r="AI155" s="74" t="n"/>
      <c r="AJ155" s="74" t="n"/>
      <c r="AK155" s="74" t="n"/>
      <c r="AL155" s="74" t="n"/>
      <c r="AM155" s="74" t="n"/>
      <c r="AN155" s="74" t="n"/>
      <c r="AO155" s="74" t="n"/>
      <c r="AP155" s="74" t="n"/>
      <c r="AQ155" s="74" t="n"/>
      <c r="AR155" s="74" t="n"/>
      <c r="AS155" s="74" t="n"/>
      <c r="AT155" s="74" t="n"/>
      <c r="AU155" s="74" t="n"/>
      <c r="AV155" s="74" t="n"/>
      <c r="AX155" s="138" t="n">
        <v>1997</v>
      </c>
      <c r="AY155" s="138" t="n">
        <v>8</v>
      </c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  <c r="W156" s="74" t="n"/>
      <c r="X156" s="74" t="n"/>
      <c r="Y156" s="74" t="n"/>
      <c r="Z156" s="74" t="n"/>
      <c r="AA156" s="74" t="n"/>
      <c r="AB156" s="74" t="n"/>
      <c r="AC156" s="74" t="n"/>
      <c r="AD156" s="74" t="n"/>
      <c r="AE156" s="74" t="n"/>
      <c r="AF156" s="74" t="n"/>
      <c r="AG156" s="74" t="n"/>
      <c r="AH156" s="74" t="n"/>
      <c r="AI156" s="74" t="n"/>
      <c r="AJ156" s="74" t="n"/>
      <c r="AK156" s="74" t="n"/>
      <c r="AL156" s="74" t="n"/>
      <c r="AM156" s="74" t="n"/>
      <c r="AN156" s="74" t="n"/>
      <c r="AO156" s="74" t="n"/>
      <c r="AP156" s="74" t="n"/>
      <c r="AQ156" s="74" t="n"/>
      <c r="AR156" s="74" t="n"/>
      <c r="AS156" s="74" t="n"/>
      <c r="AT156" s="74" t="n"/>
      <c r="AU156" s="74" t="n"/>
      <c r="AV156" s="74" t="n"/>
      <c r="AX156" s="138" t="n">
        <v>1994</v>
      </c>
      <c r="AY156" s="138" t="n">
        <v>5</v>
      </c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  <c r="W157" s="74" t="n"/>
      <c r="X157" s="74" t="n"/>
      <c r="Y157" s="74" t="n"/>
      <c r="Z157" s="74" t="n"/>
      <c r="AA157" s="74" t="n"/>
      <c r="AB157" s="74" t="n"/>
      <c r="AC157" s="74" t="n"/>
      <c r="AD157" s="74" t="n"/>
      <c r="AE157" s="74" t="n"/>
      <c r="AF157" s="74" t="n"/>
      <c r="AG157" s="74" t="n"/>
      <c r="AH157" s="74" t="n"/>
      <c r="AI157" s="74" t="n"/>
      <c r="AJ157" s="74" t="n"/>
      <c r="AK157" s="74" t="n"/>
      <c r="AL157" s="74" t="n"/>
      <c r="AM157" s="74" t="n"/>
      <c r="AN157" s="74" t="n"/>
      <c r="AO157" s="74" t="n"/>
      <c r="AP157" s="74" t="n"/>
      <c r="AQ157" s="74" t="n"/>
      <c r="AR157" s="74" t="n"/>
      <c r="AS157" s="74" t="n"/>
      <c r="AT157" s="74" t="n"/>
      <c r="AU157" s="74" t="n"/>
      <c r="AV157" s="74" t="n"/>
      <c r="AX157" s="138" t="n">
        <v>1994</v>
      </c>
      <c r="AY157" s="138" t="n">
        <v>2</v>
      </c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  <c r="W158" s="74" t="n"/>
      <c r="X158" s="74" t="n"/>
      <c r="Y158" s="74" t="n"/>
      <c r="Z158" s="74" t="n"/>
      <c r="AA158" s="74" t="n"/>
      <c r="AB158" s="74" t="n"/>
      <c r="AC158" s="74" t="n"/>
      <c r="AD158" s="74" t="n"/>
      <c r="AE158" s="74" t="n"/>
      <c r="AF158" s="74" t="n"/>
      <c r="AG158" s="74" t="n"/>
      <c r="AH158" s="74" t="n"/>
      <c r="AI158" s="74" t="n"/>
      <c r="AJ158" s="74" t="n"/>
      <c r="AK158" s="74" t="n"/>
      <c r="AL158" s="74" t="n"/>
      <c r="AM158" s="74" t="n"/>
      <c r="AN158" s="74" t="n"/>
      <c r="AO158" s="74" t="n"/>
      <c r="AP158" s="74" t="n"/>
      <c r="AQ158" s="74" t="n"/>
      <c r="AR158" s="74" t="n"/>
      <c r="AS158" s="74" t="n"/>
      <c r="AT158" s="74" t="n"/>
      <c r="AU158" s="74" t="n"/>
      <c r="AV158" s="74" t="n"/>
      <c r="AX158" s="138" t="n">
        <v>1994</v>
      </c>
      <c r="AY158" s="138" t="n">
        <v>2</v>
      </c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  <c r="W159" s="74" t="n"/>
      <c r="X159" s="74" t="n"/>
      <c r="Y159" s="74" t="n"/>
      <c r="Z159" s="74" t="n"/>
      <c r="AA159" s="74" t="n"/>
      <c r="AB159" s="74" t="n"/>
      <c r="AC159" s="74" t="n"/>
      <c r="AD159" s="74" t="n"/>
      <c r="AE159" s="74" t="n"/>
      <c r="AF159" s="74" t="n"/>
      <c r="AG159" s="74" t="n"/>
      <c r="AH159" s="74" t="n"/>
      <c r="AI159" s="74" t="n"/>
      <c r="AJ159" s="74" t="n"/>
      <c r="AK159" s="74" t="n"/>
      <c r="AL159" s="74" t="n"/>
      <c r="AM159" s="74" t="n"/>
      <c r="AN159" s="74" t="n"/>
      <c r="AO159" s="74" t="n"/>
      <c r="AP159" s="74" t="n"/>
      <c r="AQ159" s="74" t="n"/>
      <c r="AR159" s="74" t="n"/>
      <c r="AS159" s="74" t="n"/>
      <c r="AT159" s="74" t="n"/>
      <c r="AU159" s="74" t="n"/>
      <c r="AV159" s="74" t="n"/>
      <c r="AX159" s="138" t="n">
        <v>1994</v>
      </c>
      <c r="AY159" s="138" t="n">
        <v>2</v>
      </c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  <c r="W160" s="74" t="n"/>
      <c r="X160" s="74" t="n"/>
      <c r="Y160" s="74" t="n"/>
      <c r="Z160" s="74" t="n"/>
      <c r="AA160" s="74" t="n"/>
      <c r="AB160" s="74" t="n"/>
      <c r="AC160" s="74" t="n"/>
      <c r="AD160" s="74" t="n"/>
      <c r="AE160" s="74" t="n"/>
      <c r="AF160" s="74" t="n"/>
      <c r="AG160" s="74" t="n"/>
      <c r="AH160" s="74" t="n"/>
      <c r="AI160" s="74" t="n"/>
      <c r="AJ160" s="74" t="n"/>
      <c r="AK160" s="74" t="n"/>
      <c r="AL160" s="74" t="n"/>
      <c r="AM160" s="74" t="n"/>
      <c r="AN160" s="74" t="n"/>
      <c r="AO160" s="74" t="n"/>
      <c r="AP160" s="74" t="n"/>
      <c r="AQ160" s="74" t="n"/>
      <c r="AR160" s="74" t="n"/>
      <c r="AS160" s="74" t="n"/>
      <c r="AT160" s="74" t="n"/>
      <c r="AU160" s="74" t="n"/>
      <c r="AV160" s="74" t="n"/>
      <c r="AX160" s="138" t="n">
        <v>1994</v>
      </c>
      <c r="AY160" s="138" t="n">
        <v>1</v>
      </c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  <c r="W161" s="74" t="n"/>
      <c r="X161" s="74" t="n"/>
      <c r="Y161" s="74" t="n"/>
      <c r="Z161" s="74" t="n"/>
      <c r="AA161" s="74" t="n"/>
      <c r="AB161" s="74" t="n"/>
      <c r="AC161" s="74" t="n"/>
      <c r="AD161" s="74" t="n"/>
      <c r="AE161" s="74" t="n"/>
      <c r="AF161" s="74" t="n"/>
      <c r="AG161" s="74" t="n"/>
      <c r="AH161" s="74" t="n"/>
      <c r="AI161" s="74" t="n"/>
      <c r="AJ161" s="74" t="n"/>
      <c r="AK161" s="74" t="n"/>
      <c r="AL161" s="74" t="n"/>
      <c r="AM161" s="74" t="n"/>
      <c r="AN161" s="74" t="n"/>
      <c r="AO161" s="74" t="n"/>
      <c r="AP161" s="74" t="n"/>
      <c r="AQ161" s="74" t="n"/>
      <c r="AR161" s="74" t="n"/>
      <c r="AS161" s="74" t="n"/>
      <c r="AT161" s="74" t="n"/>
      <c r="AU161" s="74" t="n"/>
      <c r="AV161" s="74" t="n"/>
      <c r="AX161" s="138" t="n">
        <v>1994</v>
      </c>
      <c r="AY161" s="138" t="n">
        <v>1</v>
      </c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  <c r="W162" s="74" t="n"/>
      <c r="X162" s="74" t="n"/>
      <c r="Y162" s="74" t="n"/>
      <c r="Z162" s="74" t="n"/>
      <c r="AA162" s="74" t="n"/>
      <c r="AB162" s="74" t="n"/>
      <c r="AC162" s="74" t="n"/>
      <c r="AD162" s="74" t="n"/>
      <c r="AE162" s="74" t="n"/>
      <c r="AF162" s="74" t="n"/>
      <c r="AG162" s="74" t="n"/>
      <c r="AH162" s="74" t="n"/>
      <c r="AI162" s="74" t="n"/>
      <c r="AJ162" s="74" t="n"/>
      <c r="AK162" s="74" t="n"/>
      <c r="AL162" s="74" t="n"/>
      <c r="AM162" s="74" t="n"/>
      <c r="AN162" s="74" t="n"/>
      <c r="AO162" s="74" t="n"/>
      <c r="AP162" s="74" t="n"/>
      <c r="AQ162" s="74" t="n"/>
      <c r="AR162" s="74" t="n"/>
      <c r="AS162" s="74" t="n"/>
      <c r="AT162" s="74" t="n"/>
      <c r="AU162" s="74" t="n"/>
      <c r="AV162" s="74" t="n"/>
      <c r="AX162" s="138" t="n">
        <v>1994</v>
      </c>
      <c r="AY162" s="138" t="n">
        <v>12</v>
      </c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  <c r="W163" s="74" t="n"/>
      <c r="X163" s="74" t="n"/>
      <c r="Y163" s="74" t="n"/>
      <c r="Z163" s="74" t="n"/>
      <c r="AA163" s="74" t="n"/>
      <c r="AB163" s="74" t="n"/>
      <c r="AC163" s="74" t="n"/>
      <c r="AD163" s="74" t="n"/>
      <c r="AE163" s="74" t="n"/>
      <c r="AF163" s="74" t="n"/>
      <c r="AG163" s="74" t="n"/>
      <c r="AH163" s="74" t="n"/>
      <c r="AI163" s="74" t="n"/>
      <c r="AJ163" s="74" t="n"/>
      <c r="AK163" s="74" t="n"/>
      <c r="AL163" s="74" t="n"/>
      <c r="AM163" s="74" t="n"/>
      <c r="AN163" s="74" t="n"/>
      <c r="AO163" s="74" t="n"/>
      <c r="AP163" s="74" t="n"/>
      <c r="AQ163" s="74" t="n"/>
      <c r="AR163" s="74" t="n"/>
      <c r="AS163" s="74" t="n"/>
      <c r="AT163" s="74" t="n"/>
      <c r="AU163" s="74" t="n"/>
      <c r="AV163" s="74" t="n"/>
      <c r="AX163" s="138" t="n">
        <v>1992</v>
      </c>
      <c r="AY163" s="138" t="n">
        <v>6</v>
      </c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  <c r="W164" s="74" t="n"/>
      <c r="X164" s="74" t="n"/>
      <c r="Y164" s="74" t="n"/>
      <c r="Z164" s="74" t="n"/>
      <c r="AA164" s="74" t="n"/>
      <c r="AB164" s="74" t="n"/>
      <c r="AC164" s="74" t="n"/>
      <c r="AD164" s="74" t="n"/>
      <c r="AE164" s="74" t="n"/>
      <c r="AF164" s="74" t="n"/>
      <c r="AG164" s="74" t="n"/>
      <c r="AH164" s="74" t="n"/>
      <c r="AI164" s="74" t="n"/>
      <c r="AJ164" s="74" t="n"/>
      <c r="AK164" s="74" t="n"/>
      <c r="AL164" s="74" t="n"/>
      <c r="AM164" s="74" t="n"/>
      <c r="AN164" s="74" t="n"/>
      <c r="AO164" s="74" t="n"/>
      <c r="AP164" s="74" t="n"/>
      <c r="AQ164" s="74" t="n"/>
      <c r="AR164" s="74" t="n"/>
      <c r="AS164" s="74" t="n"/>
      <c r="AT164" s="74" t="n"/>
      <c r="AU164" s="74" t="n"/>
      <c r="AV164" s="74" t="n"/>
      <c r="AX164" s="138" t="n">
        <v>1992</v>
      </c>
      <c r="AY164" s="138" t="n">
        <v>6</v>
      </c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  <c r="W165" s="74" t="n"/>
      <c r="X165" s="74" t="n"/>
      <c r="Y165" s="74" t="n"/>
      <c r="Z165" s="74" t="n"/>
      <c r="AA165" s="74" t="n"/>
      <c r="AB165" s="74" t="n"/>
      <c r="AC165" s="74" t="n"/>
      <c r="AD165" s="74" t="n"/>
      <c r="AE165" s="74" t="n"/>
      <c r="AF165" s="74" t="n"/>
      <c r="AG165" s="74" t="n"/>
      <c r="AH165" s="74" t="n"/>
      <c r="AI165" s="74" t="n"/>
      <c r="AJ165" s="74" t="n"/>
      <c r="AK165" s="74" t="n"/>
      <c r="AL165" s="74" t="n"/>
      <c r="AM165" s="74" t="n"/>
      <c r="AN165" s="74" t="n"/>
      <c r="AO165" s="74" t="n"/>
      <c r="AP165" s="74" t="n"/>
      <c r="AQ165" s="74" t="n"/>
      <c r="AR165" s="74" t="n"/>
      <c r="AS165" s="74" t="n"/>
      <c r="AT165" s="74" t="n"/>
      <c r="AU165" s="74" t="n"/>
      <c r="AV165" s="74" t="n"/>
      <c r="AX165" s="138" t="n">
        <v>1992</v>
      </c>
      <c r="AY165" s="138" t="n">
        <v>5</v>
      </c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  <c r="W166" s="74" t="n"/>
      <c r="X166" s="74" t="n"/>
      <c r="Y166" s="74" t="n"/>
      <c r="Z166" s="74" t="n"/>
      <c r="AA166" s="74" t="n"/>
      <c r="AB166" s="74" t="n"/>
      <c r="AC166" s="74" t="n"/>
      <c r="AD166" s="74" t="n"/>
      <c r="AE166" s="74" t="n"/>
      <c r="AF166" s="74" t="n"/>
      <c r="AG166" s="74" t="n"/>
      <c r="AH166" s="74" t="n"/>
      <c r="AI166" s="74" t="n"/>
      <c r="AJ166" s="74" t="n"/>
      <c r="AK166" s="74" t="n"/>
      <c r="AL166" s="74" t="n"/>
      <c r="AM166" s="74" t="n"/>
      <c r="AN166" s="74" t="n"/>
      <c r="AO166" s="74" t="n"/>
      <c r="AP166" s="74" t="n"/>
      <c r="AQ166" s="74" t="n"/>
      <c r="AR166" s="74" t="n"/>
      <c r="AS166" s="74" t="n"/>
      <c r="AT166" s="74" t="n"/>
      <c r="AU166" s="74" t="n"/>
      <c r="AV166" s="74" t="n"/>
      <c r="AX166" s="138" t="n">
        <v>1992</v>
      </c>
      <c r="AY166" s="138" t="n">
        <v>5</v>
      </c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  <c r="W167" s="74" t="n"/>
      <c r="X167" s="74" t="n"/>
      <c r="Y167" s="74" t="n"/>
      <c r="Z167" s="74" t="n"/>
      <c r="AA167" s="74" t="n"/>
      <c r="AB167" s="74" t="n"/>
      <c r="AC167" s="74" t="n"/>
      <c r="AD167" s="74" t="n"/>
      <c r="AE167" s="74" t="n"/>
      <c r="AF167" s="74" t="n"/>
      <c r="AG167" s="74" t="n"/>
      <c r="AH167" s="74" t="n"/>
      <c r="AI167" s="74" t="n"/>
      <c r="AJ167" s="74" t="n"/>
      <c r="AK167" s="74" t="n"/>
      <c r="AL167" s="74" t="n"/>
      <c r="AM167" s="74" t="n"/>
      <c r="AN167" s="74" t="n"/>
      <c r="AO167" s="74" t="n"/>
      <c r="AP167" s="74" t="n"/>
      <c r="AQ167" s="74" t="n"/>
      <c r="AR167" s="74" t="n"/>
      <c r="AS167" s="74" t="n"/>
      <c r="AT167" s="74" t="n"/>
      <c r="AU167" s="74" t="n"/>
      <c r="AV167" s="74" t="n"/>
      <c r="AX167" s="138" t="n">
        <v>1994</v>
      </c>
      <c r="AY167" s="138" t="n">
        <v>3</v>
      </c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  <c r="W168" s="74" t="n"/>
      <c r="X168" s="74" t="n"/>
      <c r="Y168" s="74" t="n"/>
      <c r="Z168" s="74" t="n"/>
      <c r="AA168" s="74" t="n"/>
      <c r="AB168" s="74" t="n"/>
      <c r="AC168" s="74" t="n"/>
      <c r="AD168" s="74" t="n"/>
      <c r="AE168" s="74" t="n"/>
      <c r="AF168" s="74" t="n"/>
      <c r="AG168" s="74" t="n"/>
      <c r="AH168" s="74" t="n"/>
      <c r="AI168" s="74" t="n"/>
      <c r="AJ168" s="74" t="n"/>
      <c r="AK168" s="74" t="n"/>
      <c r="AL168" s="74" t="n"/>
      <c r="AM168" s="74" t="n"/>
      <c r="AN168" s="74" t="n"/>
      <c r="AO168" s="74" t="n"/>
      <c r="AP168" s="74" t="n"/>
      <c r="AQ168" s="74" t="n"/>
      <c r="AR168" s="74" t="n"/>
      <c r="AS168" s="74" t="n"/>
      <c r="AT168" s="74" t="n"/>
      <c r="AU168" s="74" t="n"/>
      <c r="AV168" s="74" t="n"/>
      <c r="AX168" s="138" t="n">
        <v>1992</v>
      </c>
      <c r="AY168" s="138" t="n">
        <v>6</v>
      </c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  <c r="W169" s="74" t="n"/>
      <c r="X169" s="74" t="n"/>
      <c r="Y169" s="74" t="n"/>
      <c r="Z169" s="74" t="n"/>
      <c r="AA169" s="74" t="n"/>
      <c r="AB169" s="74" t="n"/>
      <c r="AC169" s="74" t="n"/>
      <c r="AD169" s="74" t="n"/>
      <c r="AE169" s="74" t="n"/>
      <c r="AF169" s="74" t="n"/>
      <c r="AG169" s="74" t="n"/>
      <c r="AH169" s="74" t="n"/>
      <c r="AI169" s="74" t="n"/>
      <c r="AJ169" s="74" t="n"/>
      <c r="AK169" s="74" t="n"/>
      <c r="AL169" s="74" t="n"/>
      <c r="AM169" s="74" t="n"/>
      <c r="AN169" s="74" t="n"/>
      <c r="AO169" s="74" t="n"/>
      <c r="AP169" s="74" t="n"/>
      <c r="AQ169" s="74" t="n"/>
      <c r="AR169" s="74" t="n"/>
      <c r="AS169" s="74" t="n"/>
      <c r="AT169" s="74" t="n"/>
      <c r="AU169" s="74" t="n"/>
      <c r="AV169" s="74" t="n"/>
      <c r="AX169" s="138" t="n">
        <v>1992</v>
      </c>
      <c r="AY169" s="138" t="n">
        <v>6</v>
      </c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  <c r="W170" s="74" t="n"/>
      <c r="X170" s="74" t="n"/>
      <c r="Y170" s="74" t="n"/>
      <c r="Z170" s="74" t="n"/>
      <c r="AA170" s="74" t="n"/>
      <c r="AB170" s="74" t="n"/>
      <c r="AC170" s="74" t="n"/>
      <c r="AD170" s="74" t="n"/>
      <c r="AE170" s="74" t="n"/>
      <c r="AF170" s="74" t="n"/>
      <c r="AG170" s="74" t="n"/>
      <c r="AH170" s="74" t="n"/>
      <c r="AI170" s="74" t="n"/>
      <c r="AJ170" s="74" t="n"/>
      <c r="AK170" s="74" t="n"/>
      <c r="AL170" s="74" t="n"/>
      <c r="AM170" s="74" t="n"/>
      <c r="AN170" s="74" t="n"/>
      <c r="AO170" s="74" t="n"/>
      <c r="AP170" s="74" t="n"/>
      <c r="AQ170" s="74" t="n"/>
      <c r="AR170" s="74" t="n"/>
      <c r="AS170" s="74" t="n"/>
      <c r="AT170" s="74" t="n"/>
      <c r="AU170" s="74" t="n"/>
      <c r="AV170" s="74" t="n"/>
      <c r="AX170" s="138" t="n">
        <v>1992</v>
      </c>
      <c r="AY170" s="138" t="n">
        <v>7</v>
      </c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  <c r="W171" s="74" t="n"/>
      <c r="X171" s="74" t="n"/>
      <c r="Y171" s="74" t="n"/>
      <c r="Z171" s="74" t="n"/>
      <c r="AA171" s="74" t="n"/>
      <c r="AB171" s="74" t="n"/>
      <c r="AC171" s="74" t="n"/>
      <c r="AD171" s="74" t="n"/>
      <c r="AE171" s="74" t="n"/>
      <c r="AF171" s="74" t="n"/>
      <c r="AG171" s="74" t="n"/>
      <c r="AH171" s="74" t="n"/>
      <c r="AI171" s="74" t="n"/>
      <c r="AJ171" s="74" t="n"/>
      <c r="AK171" s="74" t="n"/>
      <c r="AL171" s="74" t="n"/>
      <c r="AM171" s="74" t="n"/>
      <c r="AN171" s="74" t="n"/>
      <c r="AO171" s="74" t="n"/>
      <c r="AP171" s="74" t="n"/>
      <c r="AQ171" s="74" t="n"/>
      <c r="AR171" s="74" t="n"/>
      <c r="AS171" s="74" t="n"/>
      <c r="AT171" s="74" t="n"/>
      <c r="AU171" s="74" t="n"/>
      <c r="AV171" s="74" t="n"/>
      <c r="AX171" s="138" t="n">
        <v>1993</v>
      </c>
      <c r="AY171" s="138" t="n">
        <v>11</v>
      </c>
      <c r="AZ171" s="138" t="n"/>
      <c r="BA171" s="121" t="inlineStr">
        <is>
          <t>20평대</t>
        </is>
      </c>
      <c r="BB171" s="139" t="n">
        <v>0</v>
      </c>
      <c r="BC171" s="139" t="n">
        <v>0</v>
      </c>
      <c r="BD171" s="139" t="n">
        <v>0</v>
      </c>
      <c r="BE171" s="139" t="n">
        <v>0</v>
      </c>
      <c r="BF171" s="139" t="n">
        <v>0</v>
      </c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  <c r="W172" s="74" t="n"/>
      <c r="X172" s="74" t="n"/>
      <c r="Y172" s="74" t="n"/>
      <c r="Z172" s="74" t="n"/>
      <c r="AA172" s="74" t="n"/>
      <c r="AB172" s="74" t="n"/>
      <c r="AC172" s="74" t="n"/>
      <c r="AD172" s="74" t="n"/>
      <c r="AE172" s="74" t="n"/>
      <c r="AF172" s="74" t="n"/>
      <c r="AG172" s="74" t="n"/>
      <c r="AH172" s="74" t="n"/>
      <c r="AI172" s="74" t="n"/>
      <c r="AJ172" s="74" t="n"/>
      <c r="AK172" s="74" t="n"/>
      <c r="AL172" s="74" t="n"/>
      <c r="AM172" s="74" t="n"/>
      <c r="AN172" s="74" t="n"/>
      <c r="AO172" s="74" t="n"/>
      <c r="AP172" s="74" t="n"/>
      <c r="AQ172" s="74" t="n"/>
      <c r="AR172" s="74" t="n"/>
      <c r="AS172" s="74" t="n"/>
      <c r="AT172" s="74" t="n"/>
      <c r="AU172" s="74" t="n"/>
      <c r="AV172" s="74" t="n"/>
      <c r="AX172" s="138" t="n">
        <v>1993</v>
      </c>
      <c r="AY172" s="138" t="n">
        <v>11</v>
      </c>
      <c r="AZ172" s="138" t="n"/>
      <c r="BA172" s="121" t="inlineStr">
        <is>
          <t>30평대</t>
        </is>
      </c>
      <c r="BB172" s="139" t="n">
        <v>0</v>
      </c>
      <c r="BC172" s="139" t="n">
        <v>0</v>
      </c>
      <c r="BD172" s="139" t="n">
        <v>0</v>
      </c>
      <c r="BE172" s="139" t="n">
        <v>0</v>
      </c>
      <c r="BF172" s="139" t="n">
        <v>0</v>
      </c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  <c r="W173" s="74" t="n"/>
      <c r="X173" s="74" t="n"/>
      <c r="Y173" s="74" t="n"/>
      <c r="Z173" s="74" t="n"/>
      <c r="AA173" s="74" t="n"/>
      <c r="AB173" s="74" t="n"/>
      <c r="AC173" s="74" t="n"/>
      <c r="AD173" s="74" t="n"/>
      <c r="AE173" s="74" t="n"/>
      <c r="AF173" s="74" t="n"/>
      <c r="AG173" s="74" t="n"/>
      <c r="AH173" s="74" t="n"/>
      <c r="AI173" s="74" t="n"/>
      <c r="AJ173" s="74" t="n"/>
      <c r="AK173" s="74" t="n"/>
      <c r="AL173" s="74" t="n"/>
      <c r="AM173" s="74" t="n"/>
      <c r="AN173" s="74" t="n"/>
      <c r="AO173" s="74" t="n"/>
      <c r="AP173" s="74" t="n"/>
      <c r="AQ173" s="74" t="n"/>
      <c r="AR173" s="74" t="n"/>
      <c r="AS173" s="74" t="n"/>
      <c r="AT173" s="74" t="n"/>
      <c r="AU173" s="74" t="n"/>
      <c r="AV173" s="74" t="n"/>
      <c r="AX173" s="138" t="n">
        <v>1993</v>
      </c>
      <c r="AY173" s="138" t="n">
        <v>11</v>
      </c>
      <c r="AZ173" s="138" t="n"/>
      <c r="BA173" s="73" t="inlineStr">
        <is>
          <t>40평대↑</t>
        </is>
      </c>
      <c r="BB173" s="140" t="n">
        <v>0</v>
      </c>
      <c r="BC173" s="140" t="n">
        <v>0</v>
      </c>
      <c r="BD173" s="140" t="n">
        <v>0</v>
      </c>
      <c r="BE173" s="140" t="n">
        <v>0</v>
      </c>
      <c r="BF173" s="140" t="n">
        <v>0</v>
      </c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  <c r="W174" s="74" t="n"/>
      <c r="X174" s="74" t="n"/>
      <c r="Y174" s="74" t="n"/>
      <c r="Z174" s="74" t="n"/>
      <c r="AA174" s="74" t="n"/>
      <c r="AB174" s="74" t="n"/>
      <c r="AC174" s="74" t="n"/>
      <c r="AD174" s="74" t="n"/>
      <c r="AE174" s="74" t="n"/>
      <c r="AF174" s="74" t="n"/>
      <c r="AG174" s="74" t="n"/>
      <c r="AH174" s="74" t="n"/>
      <c r="AI174" s="74" t="n"/>
      <c r="AJ174" s="74" t="n"/>
      <c r="AK174" s="74" t="n"/>
      <c r="AL174" s="74" t="n"/>
      <c r="AM174" s="74" t="n"/>
      <c r="AN174" s="74" t="n"/>
      <c r="AO174" s="74" t="n"/>
      <c r="AP174" s="74" t="n"/>
      <c r="AQ174" s="74" t="n"/>
      <c r="AR174" s="74" t="n"/>
      <c r="AS174" s="74" t="n"/>
      <c r="AT174" s="74" t="n"/>
      <c r="AU174" s="74" t="n"/>
      <c r="AV174" s="74" t="n"/>
      <c r="AX174" s="138" t="n">
        <v>1993</v>
      </c>
      <c r="AY174" s="138" t="n">
        <v>11</v>
      </c>
      <c r="AZ174" s="138" t="n"/>
      <c r="BA174" s="121" t="inlineStr">
        <is>
          <t>합계</t>
        </is>
      </c>
      <c r="BB174" s="139" t="n">
        <v>0</v>
      </c>
      <c r="BC174" s="139" t="n">
        <v>0</v>
      </c>
      <c r="BD174" s="139" t="n">
        <v>0</v>
      </c>
      <c r="BE174" s="139" t="n">
        <v>0</v>
      </c>
      <c r="BF174" s="139" t="n">
        <v>0</v>
      </c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  <c r="W175" s="74" t="n"/>
      <c r="X175" s="74" t="n"/>
      <c r="Y175" s="74" t="n"/>
      <c r="Z175" s="74" t="n"/>
      <c r="AA175" s="74" t="n"/>
      <c r="AB175" s="74" t="n"/>
      <c r="AC175" s="74" t="n"/>
      <c r="AD175" s="74" t="n"/>
      <c r="AE175" s="74" t="n"/>
      <c r="AF175" s="74" t="n"/>
      <c r="AG175" s="74" t="n"/>
      <c r="AH175" s="74" t="n"/>
      <c r="AI175" s="74" t="n"/>
      <c r="AJ175" s="74" t="n"/>
      <c r="AK175" s="74" t="n"/>
      <c r="AL175" s="74" t="n"/>
      <c r="AM175" s="74" t="n"/>
      <c r="AN175" s="74" t="n"/>
      <c r="AO175" s="74" t="n"/>
      <c r="AP175" s="74" t="n"/>
      <c r="AQ175" s="74" t="n"/>
      <c r="AR175" s="74" t="n"/>
      <c r="AS175" s="74" t="n"/>
      <c r="AT175" s="74" t="n"/>
      <c r="AU175" s="74" t="n"/>
      <c r="AV175" s="74" t="n"/>
      <c r="AX175" s="138" t="n">
        <v>1995</v>
      </c>
      <c r="AY175" s="138" t="n">
        <v>12</v>
      </c>
      <c r="AZ175" s="138" t="n"/>
      <c r="BA175" s="121" t="n"/>
      <c r="BB175" s="121" t="inlineStr">
        <is>
          <t>10년 이하</t>
        </is>
      </c>
      <c r="BC175" s="121" t="inlineStr">
        <is>
          <t>10~20년</t>
        </is>
      </c>
      <c r="BD175" s="121" t="inlineStr">
        <is>
          <t>20~30년</t>
        </is>
      </c>
      <c r="BE175" s="121" t="inlineStr">
        <is>
          <t>30년 이상</t>
        </is>
      </c>
      <c r="BF175" s="121" t="inlineStr">
        <is>
          <t>합계</t>
        </is>
      </c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  <c r="W176" s="74" t="n"/>
      <c r="X176" s="74" t="n"/>
      <c r="Y176" s="74" t="n"/>
      <c r="Z176" s="74" t="n"/>
      <c r="AA176" s="74" t="n"/>
      <c r="AB176" s="74" t="n"/>
      <c r="AC176" s="74" t="n"/>
      <c r="AD176" s="74" t="n"/>
      <c r="AE176" s="74" t="n"/>
      <c r="AF176" s="74" t="n"/>
      <c r="AG176" s="74" t="n"/>
      <c r="AH176" s="74" t="n"/>
      <c r="AI176" s="74" t="n"/>
      <c r="AJ176" s="74" t="n"/>
      <c r="AK176" s="74" t="n"/>
      <c r="AL176" s="74" t="n"/>
      <c r="AM176" s="74" t="n"/>
      <c r="AN176" s="74" t="n"/>
      <c r="AO176" s="74" t="n"/>
      <c r="AP176" s="74" t="n"/>
      <c r="AQ176" s="74" t="n"/>
      <c r="AR176" s="74" t="n"/>
      <c r="AS176" s="74" t="n"/>
      <c r="AT176" s="74" t="n"/>
      <c r="AU176" s="74" t="n"/>
      <c r="AV176" s="74" t="n"/>
      <c r="AX176" s="138" t="n">
        <v>1995</v>
      </c>
      <c r="AY176" s="138" t="n">
        <v>12</v>
      </c>
      <c r="BA176" s="121" t="inlineStr">
        <is>
          <t>20평대</t>
        </is>
      </c>
      <c r="BB176" s="141" t="e">
        <v>#DIV/0!</v>
      </c>
      <c r="BC176" s="141" t="e">
        <v>#DIV/0!</v>
      </c>
      <c r="BD176" s="141" t="e">
        <v>#DIV/0!</v>
      </c>
      <c r="BE176" s="141" t="e">
        <v>#DIV/0!</v>
      </c>
      <c r="BF176" s="141" t="e">
        <v>#DIV/0!</v>
      </c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  <c r="W177" s="74" t="n"/>
      <c r="X177" s="74" t="n"/>
      <c r="Y177" s="74" t="n"/>
      <c r="Z177" s="74" t="n"/>
      <c r="AA177" s="74" t="n"/>
      <c r="AB177" s="74" t="n"/>
      <c r="AC177" s="74" t="n"/>
      <c r="AD177" s="74" t="n"/>
      <c r="AE177" s="74" t="n"/>
      <c r="AF177" s="74" t="n"/>
      <c r="AG177" s="74" t="n"/>
      <c r="AH177" s="74" t="n"/>
      <c r="AI177" s="74" t="n"/>
      <c r="AJ177" s="74" t="n"/>
      <c r="AK177" s="74" t="n"/>
      <c r="AL177" s="74" t="n"/>
      <c r="AM177" s="74" t="n"/>
      <c r="AN177" s="74" t="n"/>
      <c r="AO177" s="74" t="n"/>
      <c r="AP177" s="74" t="n"/>
      <c r="AQ177" s="74" t="n"/>
      <c r="AR177" s="74" t="n"/>
      <c r="AS177" s="74" t="n"/>
      <c r="AT177" s="74" t="n"/>
      <c r="AU177" s="74" t="n"/>
      <c r="AV177" s="74" t="n"/>
      <c r="AX177" s="138" t="n">
        <v>1997</v>
      </c>
      <c r="AY177" s="138" t="n">
        <v>5</v>
      </c>
      <c r="BA177" s="73" t="inlineStr">
        <is>
          <t>40평대↑</t>
        </is>
      </c>
      <c r="BB177" s="142" t="e">
        <v>#DIV/0!</v>
      </c>
      <c r="BC177" s="142" t="e">
        <v>#DIV/0!</v>
      </c>
      <c r="BD177" s="142" t="e">
        <v>#DIV/0!</v>
      </c>
      <c r="BE177" s="142" t="e">
        <v>#DIV/0!</v>
      </c>
      <c r="BF177" s="142" t="e">
        <v>#DIV/0!</v>
      </c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  <c r="W178" s="74" t="n"/>
      <c r="X178" s="74" t="n"/>
      <c r="Y178" s="74" t="n"/>
      <c r="Z178" s="74" t="n"/>
      <c r="AA178" s="74" t="n"/>
      <c r="AB178" s="74" t="n"/>
      <c r="AC178" s="74" t="n"/>
      <c r="AD178" s="74" t="n"/>
      <c r="AE178" s="74" t="n"/>
      <c r="AF178" s="74" t="n"/>
      <c r="AG178" s="74" t="n"/>
      <c r="AH178" s="74" t="n"/>
      <c r="AI178" s="74" t="n"/>
      <c r="AJ178" s="74" t="n"/>
      <c r="AK178" s="74" t="n"/>
      <c r="AL178" s="74" t="n"/>
      <c r="AM178" s="74" t="n"/>
      <c r="AN178" s="74" t="n"/>
      <c r="AO178" s="74" t="n"/>
      <c r="AP178" s="74" t="n"/>
      <c r="AQ178" s="74" t="n"/>
      <c r="AR178" s="74" t="n"/>
      <c r="AS178" s="74" t="n"/>
      <c r="AT178" s="74" t="n"/>
      <c r="AU178" s="74" t="n"/>
      <c r="AV178" s="74" t="n"/>
      <c r="AX178" s="138" t="n">
        <v>1997</v>
      </c>
      <c r="AY178" s="138" t="n">
        <v>5</v>
      </c>
      <c r="BA178" s="121" t="inlineStr">
        <is>
          <t>합계</t>
        </is>
      </c>
      <c r="BB178" s="141" t="e">
        <v>#DIV/0!</v>
      </c>
      <c r="BC178" s="141" t="e">
        <v>#DIV/0!</v>
      </c>
      <c r="BD178" s="141" t="e">
        <v>#DIV/0!</v>
      </c>
      <c r="BE178" s="141" t="e">
        <v>#DIV/0!</v>
      </c>
      <c r="BF178" s="141" t="e">
        <v>#DIV/0!</v>
      </c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  <c r="W179" s="74" t="n"/>
      <c r="X179" s="74" t="n"/>
      <c r="Y179" s="74" t="n"/>
      <c r="Z179" s="74" t="n"/>
      <c r="AA179" s="74" t="n"/>
      <c r="AB179" s="74" t="n"/>
      <c r="AC179" s="74" t="n"/>
      <c r="AD179" s="74" t="n"/>
      <c r="AE179" s="74" t="n"/>
      <c r="AF179" s="74" t="n"/>
      <c r="AG179" s="74" t="n"/>
      <c r="AH179" s="74" t="n"/>
      <c r="AI179" s="74" t="n"/>
      <c r="AJ179" s="74" t="n"/>
      <c r="AK179" s="74" t="n"/>
      <c r="AL179" s="74" t="n"/>
      <c r="AM179" s="74" t="n"/>
      <c r="AN179" s="74" t="n"/>
      <c r="AO179" s="74" t="n"/>
      <c r="AP179" s="74" t="n"/>
      <c r="AQ179" s="74" t="n"/>
      <c r="AR179" s="74" t="n"/>
      <c r="AS179" s="74" t="n"/>
      <c r="AT179" s="74" t="n"/>
      <c r="AU179" s="74" t="n"/>
      <c r="AV179" s="74" t="n"/>
      <c r="AX179" s="138" t="n">
        <v>1994</v>
      </c>
      <c r="AY179" s="138" t="n">
        <v>12</v>
      </c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  <c r="W180" s="74" t="n"/>
      <c r="X180" s="74" t="n"/>
      <c r="Y180" s="74" t="n"/>
      <c r="Z180" s="74" t="n"/>
      <c r="AA180" s="74" t="n"/>
      <c r="AB180" s="74" t="n"/>
      <c r="AC180" s="74" t="n"/>
      <c r="AD180" s="74" t="n"/>
      <c r="AE180" s="74" t="n"/>
      <c r="AF180" s="74" t="n"/>
      <c r="AG180" s="74" t="n"/>
      <c r="AH180" s="74" t="n"/>
      <c r="AI180" s="74" t="n"/>
      <c r="AJ180" s="74" t="n"/>
      <c r="AK180" s="74" t="n"/>
      <c r="AL180" s="74" t="n"/>
      <c r="AM180" s="74" t="n"/>
      <c r="AN180" s="74" t="n"/>
      <c r="AO180" s="74" t="n"/>
      <c r="AP180" s="74" t="n"/>
      <c r="AQ180" s="74" t="n"/>
      <c r="AR180" s="74" t="n"/>
      <c r="AS180" s="74" t="n"/>
      <c r="AT180" s="74" t="n"/>
      <c r="AU180" s="74" t="n"/>
      <c r="AV180" s="74" t="n"/>
      <c r="AX180" s="138" t="n">
        <v>1994</v>
      </c>
      <c r="AY180" s="138" t="n">
        <v>12</v>
      </c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  <c r="W181" s="74" t="n"/>
      <c r="X181" s="74" t="n"/>
      <c r="Y181" s="74" t="n"/>
      <c r="Z181" s="74" t="n"/>
      <c r="AA181" s="74" t="n"/>
      <c r="AB181" s="74" t="n"/>
      <c r="AC181" s="74" t="n"/>
      <c r="AD181" s="74" t="n"/>
      <c r="AE181" s="74" t="n"/>
      <c r="AF181" s="74" t="n"/>
      <c r="AG181" s="74" t="n"/>
      <c r="AH181" s="74" t="n"/>
      <c r="AI181" s="74" t="n"/>
      <c r="AJ181" s="74" t="n"/>
      <c r="AK181" s="74" t="n"/>
      <c r="AL181" s="74" t="n"/>
      <c r="AM181" s="74" t="n"/>
      <c r="AN181" s="74" t="n"/>
      <c r="AO181" s="74" t="n"/>
      <c r="AP181" s="74" t="n"/>
      <c r="AQ181" s="74" t="n"/>
      <c r="AR181" s="74" t="n"/>
      <c r="AS181" s="74" t="n"/>
      <c r="AT181" s="74" t="n"/>
      <c r="AU181" s="74" t="n"/>
      <c r="AV181" s="74" t="n"/>
      <c r="AX181" s="138" t="n">
        <v>1994</v>
      </c>
      <c r="AY181" s="138" t="n">
        <v>12</v>
      </c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  <c r="W182" s="74" t="n"/>
      <c r="X182" s="74" t="n"/>
      <c r="Y182" s="74" t="n"/>
      <c r="Z182" s="74" t="n"/>
      <c r="AA182" s="74" t="n"/>
      <c r="AB182" s="74" t="n"/>
      <c r="AC182" s="74" t="n"/>
      <c r="AD182" s="74" t="n"/>
      <c r="AE182" s="74" t="n"/>
      <c r="AF182" s="74" t="n"/>
      <c r="AG182" s="74" t="n"/>
      <c r="AH182" s="74" t="n"/>
      <c r="AI182" s="74" t="n"/>
      <c r="AJ182" s="74" t="n"/>
      <c r="AK182" s="74" t="n"/>
      <c r="AL182" s="74" t="n"/>
      <c r="AM182" s="74" t="n"/>
      <c r="AN182" s="74" t="n"/>
      <c r="AO182" s="74" t="n"/>
      <c r="AP182" s="74" t="n"/>
      <c r="AQ182" s="74" t="n"/>
      <c r="AR182" s="74" t="n"/>
      <c r="AS182" s="74" t="n"/>
      <c r="AT182" s="74" t="n"/>
      <c r="AU182" s="74" t="n"/>
      <c r="AV182" s="74" t="n"/>
      <c r="AX182" s="138" t="n">
        <v>1994</v>
      </c>
      <c r="AY182" s="138" t="n">
        <v>12</v>
      </c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  <c r="W183" s="74" t="n"/>
      <c r="X183" s="74" t="n"/>
      <c r="Y183" s="74" t="n"/>
      <c r="Z183" s="74" t="n"/>
      <c r="AA183" s="74" t="n"/>
      <c r="AB183" s="74" t="n"/>
      <c r="AC183" s="74" t="n"/>
      <c r="AD183" s="74" t="n"/>
      <c r="AE183" s="74" t="n"/>
      <c r="AF183" s="74" t="n"/>
      <c r="AG183" s="74" t="n"/>
      <c r="AH183" s="74" t="n"/>
      <c r="AI183" s="74" t="n"/>
      <c r="AJ183" s="74" t="n"/>
      <c r="AK183" s="74" t="n"/>
      <c r="AL183" s="74" t="n"/>
      <c r="AM183" s="74" t="n"/>
      <c r="AN183" s="74" t="n"/>
      <c r="AO183" s="74" t="n"/>
      <c r="AP183" s="74" t="n"/>
      <c r="AQ183" s="74" t="n"/>
      <c r="AR183" s="74" t="n"/>
      <c r="AS183" s="74" t="n"/>
      <c r="AT183" s="74" t="n"/>
      <c r="AU183" s="74" t="n"/>
      <c r="AV183" s="74" t="n"/>
      <c r="AX183" s="138" t="n">
        <v>1997</v>
      </c>
      <c r="AY183" s="138" t="n">
        <v>7</v>
      </c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  <c r="W184" s="74" t="n"/>
      <c r="X184" s="74" t="n"/>
      <c r="Y184" s="74" t="n"/>
      <c r="Z184" s="74" t="n"/>
      <c r="AA184" s="74" t="n"/>
      <c r="AB184" s="74" t="n"/>
      <c r="AC184" s="74" t="n"/>
      <c r="AD184" s="74" t="n"/>
      <c r="AE184" s="74" t="n"/>
      <c r="AF184" s="74" t="n"/>
      <c r="AG184" s="74" t="n"/>
      <c r="AH184" s="74" t="n"/>
      <c r="AI184" s="74" t="n"/>
      <c r="AJ184" s="74" t="n"/>
      <c r="AK184" s="74" t="n"/>
      <c r="AL184" s="74" t="n"/>
      <c r="AM184" s="74" t="n"/>
      <c r="AN184" s="74" t="n"/>
      <c r="AO184" s="74" t="n"/>
      <c r="AP184" s="74" t="n"/>
      <c r="AQ184" s="74" t="n"/>
      <c r="AR184" s="74" t="n"/>
      <c r="AS184" s="74" t="n"/>
      <c r="AT184" s="74" t="n"/>
      <c r="AU184" s="74" t="n"/>
      <c r="AV184" s="74" t="n"/>
      <c r="AX184" s="138" t="n">
        <v>1997</v>
      </c>
      <c r="AY184" s="138" t="n">
        <v>7</v>
      </c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  <c r="W185" s="74" t="n"/>
      <c r="X185" s="74" t="n"/>
      <c r="Y185" s="74" t="n"/>
      <c r="Z185" s="74" t="n"/>
      <c r="AA185" s="74" t="n"/>
      <c r="AB185" s="74" t="n"/>
      <c r="AC185" s="74" t="n"/>
      <c r="AD185" s="74" t="n"/>
      <c r="AE185" s="74" t="n"/>
      <c r="AF185" s="74" t="n"/>
      <c r="AG185" s="74" t="n"/>
      <c r="AH185" s="74" t="n"/>
      <c r="AI185" s="74" t="n"/>
      <c r="AJ185" s="74" t="n"/>
      <c r="AK185" s="74" t="n"/>
      <c r="AL185" s="74" t="n"/>
      <c r="AM185" s="74" t="n"/>
      <c r="AN185" s="74" t="n"/>
      <c r="AO185" s="74" t="n"/>
      <c r="AP185" s="74" t="n"/>
      <c r="AQ185" s="74" t="n"/>
      <c r="AR185" s="74" t="n"/>
      <c r="AS185" s="74" t="n"/>
      <c r="AT185" s="74" t="n"/>
      <c r="AU185" s="74" t="n"/>
      <c r="AV185" s="74" t="n"/>
      <c r="AX185" s="138" t="n">
        <v>1996</v>
      </c>
      <c r="AY185" s="138" t="n">
        <v>3</v>
      </c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  <c r="W186" s="74" t="n"/>
      <c r="X186" s="74" t="n"/>
      <c r="Y186" s="74" t="n"/>
      <c r="Z186" s="74" t="n"/>
      <c r="AA186" s="74" t="n"/>
      <c r="AB186" s="74" t="n"/>
      <c r="AC186" s="74" t="n"/>
      <c r="AD186" s="74" t="n"/>
      <c r="AE186" s="74" t="n"/>
      <c r="AF186" s="74" t="n"/>
      <c r="AG186" s="74" t="n"/>
      <c r="AH186" s="74" t="n"/>
      <c r="AI186" s="74" t="n"/>
      <c r="AJ186" s="74" t="n"/>
      <c r="AK186" s="74" t="n"/>
      <c r="AL186" s="74" t="n"/>
      <c r="AM186" s="74" t="n"/>
      <c r="AN186" s="74" t="n"/>
      <c r="AO186" s="74" t="n"/>
      <c r="AP186" s="74" t="n"/>
      <c r="AQ186" s="74" t="n"/>
      <c r="AR186" s="74" t="n"/>
      <c r="AS186" s="74" t="n"/>
      <c r="AT186" s="74" t="n"/>
      <c r="AU186" s="74" t="n"/>
      <c r="AV186" s="74" t="n"/>
      <c r="AX186" s="138" t="n">
        <v>1996</v>
      </c>
      <c r="AY186" s="138" t="n">
        <v>3</v>
      </c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  <c r="W187" s="74" t="n"/>
      <c r="X187" s="74" t="n"/>
      <c r="Y187" s="74" t="n"/>
      <c r="Z187" s="74" t="n"/>
      <c r="AA187" s="74" t="n"/>
      <c r="AB187" s="74" t="n"/>
      <c r="AC187" s="74" t="n"/>
      <c r="AD187" s="74" t="n"/>
      <c r="AE187" s="74" t="n"/>
      <c r="AF187" s="74" t="n"/>
      <c r="AG187" s="74" t="n"/>
      <c r="AH187" s="74" t="n"/>
      <c r="AI187" s="74" t="n"/>
      <c r="AJ187" s="74" t="n"/>
      <c r="AK187" s="74" t="n"/>
      <c r="AL187" s="74" t="n"/>
      <c r="AM187" s="74" t="n"/>
      <c r="AN187" s="74" t="n"/>
      <c r="AO187" s="74" t="n"/>
      <c r="AP187" s="74" t="n"/>
      <c r="AQ187" s="74" t="n"/>
      <c r="AR187" s="74" t="n"/>
      <c r="AS187" s="74" t="n"/>
      <c r="AT187" s="74" t="n"/>
      <c r="AU187" s="74" t="n"/>
      <c r="AV187" s="74" t="n"/>
      <c r="AX187" s="138" t="n">
        <v>1995</v>
      </c>
      <c r="AY187" s="138" t="n">
        <v>1</v>
      </c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  <c r="W188" s="74" t="n"/>
      <c r="X188" s="74" t="n"/>
      <c r="Y188" s="74" t="n"/>
      <c r="Z188" s="74" t="n"/>
      <c r="AA188" s="74" t="n"/>
      <c r="AB188" s="74" t="n"/>
      <c r="AC188" s="74" t="n"/>
      <c r="AD188" s="74" t="n"/>
      <c r="AE188" s="74" t="n"/>
      <c r="AF188" s="74" t="n"/>
      <c r="AG188" s="74" t="n"/>
      <c r="AH188" s="74" t="n"/>
      <c r="AI188" s="74" t="n"/>
      <c r="AJ188" s="74" t="n"/>
      <c r="AK188" s="74" t="n"/>
      <c r="AL188" s="74" t="n"/>
      <c r="AM188" s="74" t="n"/>
      <c r="AN188" s="74" t="n"/>
      <c r="AO188" s="74" t="n"/>
      <c r="AP188" s="74" t="n"/>
      <c r="AQ188" s="74" t="n"/>
      <c r="AR188" s="74" t="n"/>
      <c r="AS188" s="74" t="n"/>
      <c r="AT188" s="74" t="n"/>
      <c r="AU188" s="74" t="n"/>
      <c r="AV188" s="74" t="n"/>
      <c r="AX188" s="138" t="n">
        <v>1995</v>
      </c>
      <c r="AY188" s="138" t="n">
        <v>1</v>
      </c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  <c r="W189" s="74" t="n"/>
      <c r="X189" s="74" t="n"/>
      <c r="Y189" s="74" t="n"/>
      <c r="Z189" s="74" t="n"/>
      <c r="AA189" s="74" t="n"/>
      <c r="AB189" s="74" t="n"/>
      <c r="AC189" s="74" t="n"/>
      <c r="AD189" s="74" t="n"/>
      <c r="AE189" s="74" t="n"/>
      <c r="AF189" s="74" t="n"/>
      <c r="AG189" s="74" t="n"/>
      <c r="AH189" s="74" t="n"/>
      <c r="AI189" s="74" t="n"/>
      <c r="AJ189" s="74" t="n"/>
      <c r="AK189" s="74" t="n"/>
      <c r="AL189" s="74" t="n"/>
      <c r="AM189" s="74" t="n"/>
      <c r="AN189" s="74" t="n"/>
      <c r="AO189" s="74" t="n"/>
      <c r="AP189" s="74" t="n"/>
      <c r="AQ189" s="74" t="n"/>
      <c r="AR189" s="74" t="n"/>
      <c r="AS189" s="74" t="n"/>
      <c r="AT189" s="74" t="n"/>
      <c r="AU189" s="74" t="n"/>
      <c r="AV189" s="74" t="n"/>
      <c r="AX189" s="138" t="n">
        <v>1995</v>
      </c>
      <c r="AY189" s="138" t="n">
        <v>1</v>
      </c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  <c r="W190" s="74" t="n"/>
      <c r="X190" s="74" t="n"/>
      <c r="Y190" s="74" t="n"/>
      <c r="Z190" s="74" t="n"/>
      <c r="AA190" s="74" t="n"/>
      <c r="AB190" s="74" t="n"/>
      <c r="AC190" s="74" t="n"/>
      <c r="AD190" s="74" t="n"/>
      <c r="AE190" s="74" t="n"/>
      <c r="AF190" s="74" t="n"/>
      <c r="AG190" s="74" t="n"/>
      <c r="AH190" s="74" t="n"/>
      <c r="AI190" s="74" t="n"/>
      <c r="AJ190" s="74" t="n"/>
      <c r="AK190" s="74" t="n"/>
      <c r="AL190" s="74" t="n"/>
      <c r="AM190" s="74" t="n"/>
      <c r="AN190" s="74" t="n"/>
      <c r="AO190" s="74" t="n"/>
      <c r="AP190" s="74" t="n"/>
      <c r="AQ190" s="74" t="n"/>
      <c r="AR190" s="74" t="n"/>
      <c r="AS190" s="74" t="n"/>
      <c r="AT190" s="74" t="n"/>
      <c r="AU190" s="74" t="n"/>
      <c r="AV190" s="74" t="n"/>
      <c r="AX190" s="138" t="n">
        <v>1998</v>
      </c>
      <c r="AY190" s="138" t="n">
        <v>8</v>
      </c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  <c r="W191" s="74" t="n"/>
      <c r="X191" s="74" t="n"/>
      <c r="Y191" s="74" t="n"/>
      <c r="Z191" s="74" t="n"/>
      <c r="AA191" s="74" t="n"/>
      <c r="AB191" s="74" t="n"/>
      <c r="AC191" s="74" t="n"/>
      <c r="AD191" s="74" t="n"/>
      <c r="AE191" s="74" t="n"/>
      <c r="AF191" s="74" t="n"/>
      <c r="AG191" s="74" t="n"/>
      <c r="AH191" s="74" t="n"/>
      <c r="AI191" s="74" t="n"/>
      <c r="AJ191" s="74" t="n"/>
      <c r="AK191" s="74" t="n"/>
      <c r="AL191" s="74" t="n"/>
      <c r="AM191" s="74" t="n"/>
      <c r="AN191" s="74" t="n"/>
      <c r="AO191" s="74" t="n"/>
      <c r="AP191" s="74" t="n"/>
      <c r="AQ191" s="74" t="n"/>
      <c r="AR191" s="74" t="n"/>
      <c r="AS191" s="74" t="n"/>
      <c r="AT191" s="74" t="n"/>
      <c r="AU191" s="74" t="n"/>
      <c r="AV191" s="74" t="n"/>
      <c r="AX191" s="138" t="n">
        <v>1998</v>
      </c>
      <c r="AY191" s="138" t="n">
        <v>8</v>
      </c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  <c r="W192" s="74" t="n"/>
      <c r="X192" s="74" t="n"/>
      <c r="Y192" s="74" t="n"/>
      <c r="Z192" s="74" t="n"/>
      <c r="AA192" s="74" t="n"/>
      <c r="AB192" s="74" t="n"/>
      <c r="AC192" s="74" t="n"/>
      <c r="AD192" s="74" t="n"/>
      <c r="AE192" s="74" t="n"/>
      <c r="AF192" s="74" t="n"/>
      <c r="AG192" s="74" t="n"/>
      <c r="AH192" s="74" t="n"/>
      <c r="AI192" s="74" t="n"/>
      <c r="AJ192" s="74" t="n"/>
      <c r="AK192" s="74" t="n"/>
      <c r="AL192" s="74" t="n"/>
      <c r="AM192" s="74" t="n"/>
      <c r="AN192" s="74" t="n"/>
      <c r="AO192" s="74" t="n"/>
      <c r="AP192" s="74" t="n"/>
      <c r="AQ192" s="74" t="n"/>
      <c r="AR192" s="74" t="n"/>
      <c r="AS192" s="74" t="n"/>
      <c r="AT192" s="74" t="n"/>
      <c r="AU192" s="74" t="n"/>
      <c r="AV192" s="74" t="n"/>
      <c r="AX192" s="138" t="n">
        <v>1998</v>
      </c>
      <c r="AY192" s="138" t="n">
        <v>8</v>
      </c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  <c r="W193" s="74" t="n"/>
      <c r="X193" s="74" t="n"/>
      <c r="Y193" s="74" t="n"/>
      <c r="Z193" s="74" t="n"/>
      <c r="AA193" s="74" t="n"/>
      <c r="AB193" s="74" t="n"/>
      <c r="AC193" s="74" t="n"/>
      <c r="AD193" s="74" t="n"/>
      <c r="AE193" s="74" t="n"/>
      <c r="AF193" s="74" t="n"/>
      <c r="AG193" s="74" t="n"/>
      <c r="AH193" s="74" t="n"/>
      <c r="AI193" s="74" t="n"/>
      <c r="AJ193" s="74" t="n"/>
      <c r="AK193" s="74" t="n"/>
      <c r="AL193" s="74" t="n"/>
      <c r="AM193" s="74" t="n"/>
      <c r="AN193" s="74" t="n"/>
      <c r="AO193" s="74" t="n"/>
      <c r="AP193" s="74" t="n"/>
      <c r="AQ193" s="74" t="n"/>
      <c r="AR193" s="74" t="n"/>
      <c r="AS193" s="74" t="n"/>
      <c r="AT193" s="74" t="n"/>
      <c r="AU193" s="74" t="n"/>
      <c r="AV193" s="74" t="n"/>
      <c r="AX193" s="138" t="n">
        <v>1996</v>
      </c>
      <c r="AY193" s="138" t="n">
        <v>1</v>
      </c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  <c r="W194" s="74" t="n"/>
      <c r="X194" s="74" t="n"/>
      <c r="Y194" s="74" t="n"/>
      <c r="Z194" s="74" t="n"/>
      <c r="AA194" s="74" t="n"/>
      <c r="AB194" s="74" t="n"/>
      <c r="AC194" s="74" t="n"/>
      <c r="AD194" s="74" t="n"/>
      <c r="AE194" s="74" t="n"/>
      <c r="AF194" s="74" t="n"/>
      <c r="AG194" s="74" t="n"/>
      <c r="AH194" s="74" t="n"/>
      <c r="AI194" s="74" t="n"/>
      <c r="AJ194" s="74" t="n"/>
      <c r="AK194" s="74" t="n"/>
      <c r="AL194" s="74" t="n"/>
      <c r="AM194" s="74" t="n"/>
      <c r="AN194" s="74" t="n"/>
      <c r="AO194" s="74" t="n"/>
      <c r="AP194" s="74" t="n"/>
      <c r="AQ194" s="74" t="n"/>
      <c r="AR194" s="74" t="n"/>
      <c r="AS194" s="74" t="n"/>
      <c r="AT194" s="74" t="n"/>
      <c r="AU194" s="74" t="n"/>
      <c r="AV194" s="74" t="n"/>
      <c r="AX194" s="138" t="n">
        <v>1996</v>
      </c>
      <c r="AY194" s="138" t="n">
        <v>1</v>
      </c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  <c r="W195" s="74" t="n"/>
      <c r="X195" s="74" t="n"/>
      <c r="Y195" s="74" t="n"/>
      <c r="Z195" s="74" t="n"/>
      <c r="AA195" s="74" t="n"/>
      <c r="AB195" s="74" t="n"/>
      <c r="AC195" s="74" t="n"/>
      <c r="AD195" s="74" t="n"/>
      <c r="AE195" s="74" t="n"/>
      <c r="AF195" s="74" t="n"/>
      <c r="AG195" s="74" t="n"/>
      <c r="AH195" s="74" t="n"/>
      <c r="AI195" s="74" t="n"/>
      <c r="AJ195" s="74" t="n"/>
      <c r="AK195" s="74" t="n"/>
      <c r="AL195" s="74" t="n"/>
      <c r="AM195" s="74" t="n"/>
      <c r="AN195" s="74" t="n"/>
      <c r="AO195" s="74" t="n"/>
      <c r="AP195" s="74" t="n"/>
      <c r="AQ195" s="74" t="n"/>
      <c r="AR195" s="74" t="n"/>
      <c r="AS195" s="74" t="n"/>
      <c r="AT195" s="74" t="n"/>
      <c r="AU195" s="74" t="n"/>
      <c r="AV195" s="74" t="n"/>
      <c r="AX195" s="138" t="n">
        <v>1996</v>
      </c>
      <c r="AY195" s="138" t="n">
        <v>1</v>
      </c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  <c r="W196" s="74" t="n"/>
      <c r="X196" s="74" t="n"/>
      <c r="Y196" s="74" t="n"/>
      <c r="Z196" s="74" t="n"/>
      <c r="AA196" s="74" t="n"/>
      <c r="AB196" s="74" t="n"/>
      <c r="AC196" s="74" t="n"/>
      <c r="AD196" s="74" t="n"/>
      <c r="AE196" s="74" t="n"/>
      <c r="AF196" s="74" t="n"/>
      <c r="AG196" s="74" t="n"/>
      <c r="AH196" s="74" t="n"/>
      <c r="AI196" s="74" t="n"/>
      <c r="AJ196" s="74" t="n"/>
      <c r="AK196" s="74" t="n"/>
      <c r="AL196" s="74" t="n"/>
      <c r="AM196" s="74" t="n"/>
      <c r="AN196" s="74" t="n"/>
      <c r="AO196" s="74" t="n"/>
      <c r="AP196" s="74" t="n"/>
      <c r="AQ196" s="74" t="n"/>
      <c r="AR196" s="74" t="n"/>
      <c r="AS196" s="74" t="n"/>
      <c r="AT196" s="74" t="n"/>
      <c r="AU196" s="74" t="n"/>
      <c r="AV196" s="74" t="n"/>
      <c r="AX196" s="138" t="n">
        <v>1997</v>
      </c>
      <c r="AY196" s="138" t="n">
        <v>12</v>
      </c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  <c r="W197" s="74" t="n"/>
      <c r="X197" s="74" t="n"/>
      <c r="Y197" s="74" t="n"/>
      <c r="Z197" s="74" t="n"/>
      <c r="AA197" s="74" t="n"/>
      <c r="AB197" s="74" t="n"/>
      <c r="AC197" s="74" t="n"/>
      <c r="AD197" s="74" t="n"/>
      <c r="AE197" s="74" t="n"/>
      <c r="AF197" s="74" t="n"/>
      <c r="AG197" s="74" t="n"/>
      <c r="AH197" s="74" t="n"/>
      <c r="AI197" s="74" t="n"/>
      <c r="AJ197" s="74" t="n"/>
      <c r="AK197" s="74" t="n"/>
      <c r="AL197" s="74" t="n"/>
      <c r="AM197" s="74" t="n"/>
      <c r="AN197" s="74" t="n"/>
      <c r="AO197" s="74" t="n"/>
      <c r="AP197" s="74" t="n"/>
      <c r="AQ197" s="74" t="n"/>
      <c r="AR197" s="74" t="n"/>
      <c r="AS197" s="74" t="n"/>
      <c r="AT197" s="74" t="n"/>
      <c r="AU197" s="74" t="n"/>
      <c r="AV197" s="74" t="n"/>
      <c r="AX197" s="138" t="n">
        <v>1997</v>
      </c>
      <c r="AY197" s="138" t="n">
        <v>12</v>
      </c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  <c r="W198" s="74" t="n"/>
      <c r="X198" s="74" t="n"/>
      <c r="Y198" s="74" t="n"/>
      <c r="Z198" s="74" t="n"/>
      <c r="AA198" s="74" t="n"/>
      <c r="AB198" s="74" t="n"/>
      <c r="AC198" s="74" t="n"/>
      <c r="AD198" s="74" t="n"/>
      <c r="AE198" s="74" t="n"/>
      <c r="AF198" s="74" t="n"/>
      <c r="AG198" s="74" t="n"/>
      <c r="AH198" s="74" t="n"/>
      <c r="AI198" s="74" t="n"/>
      <c r="AJ198" s="74" t="n"/>
      <c r="AK198" s="74" t="n"/>
      <c r="AL198" s="74" t="n"/>
      <c r="AM198" s="74" t="n"/>
      <c r="AN198" s="74" t="n"/>
      <c r="AO198" s="74" t="n"/>
      <c r="AP198" s="74" t="n"/>
      <c r="AQ198" s="74" t="n"/>
      <c r="AR198" s="74" t="n"/>
      <c r="AS198" s="74" t="n"/>
      <c r="AT198" s="74" t="n"/>
      <c r="AU198" s="74" t="n"/>
      <c r="AV198" s="74" t="n"/>
      <c r="AX198" s="138" t="n">
        <v>1998</v>
      </c>
      <c r="AY198" s="138" t="n">
        <v>3</v>
      </c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  <c r="W199" s="74" t="n"/>
      <c r="X199" s="74" t="n"/>
      <c r="Y199" s="74" t="n"/>
      <c r="Z199" s="74" t="n"/>
      <c r="AA199" s="74" t="n"/>
      <c r="AB199" s="74" t="n"/>
      <c r="AC199" s="74" t="n"/>
      <c r="AD199" s="74" t="n"/>
      <c r="AE199" s="74" t="n"/>
      <c r="AF199" s="74" t="n"/>
      <c r="AG199" s="74" t="n"/>
      <c r="AH199" s="74" t="n"/>
      <c r="AI199" s="74" t="n"/>
      <c r="AJ199" s="74" t="n"/>
      <c r="AK199" s="74" t="n"/>
      <c r="AL199" s="74" t="n"/>
      <c r="AM199" s="74" t="n"/>
      <c r="AN199" s="74" t="n"/>
      <c r="AO199" s="74" t="n"/>
      <c r="AP199" s="74" t="n"/>
      <c r="AQ199" s="74" t="n"/>
      <c r="AR199" s="74" t="n"/>
      <c r="AS199" s="74" t="n"/>
      <c r="AT199" s="74" t="n"/>
      <c r="AU199" s="74" t="n"/>
      <c r="AV199" s="74" t="n"/>
      <c r="AX199" s="138" t="n">
        <v>1998</v>
      </c>
      <c r="AY199" s="138" t="n">
        <v>3</v>
      </c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  <c r="W200" s="74" t="n"/>
      <c r="X200" s="74" t="n"/>
      <c r="Y200" s="74" t="n"/>
      <c r="Z200" s="74" t="n"/>
      <c r="AA200" s="74" t="n"/>
      <c r="AB200" s="74" t="n"/>
      <c r="AC200" s="74" t="n"/>
      <c r="AD200" s="74" t="n"/>
      <c r="AE200" s="74" t="n"/>
      <c r="AF200" s="74" t="n"/>
      <c r="AG200" s="74" t="n"/>
      <c r="AH200" s="74" t="n"/>
      <c r="AI200" s="74" t="n"/>
      <c r="AJ200" s="74" t="n"/>
      <c r="AK200" s="74" t="n"/>
      <c r="AL200" s="74" t="n"/>
      <c r="AM200" s="74" t="n"/>
      <c r="AN200" s="74" t="n"/>
      <c r="AO200" s="74" t="n"/>
      <c r="AP200" s="74" t="n"/>
      <c r="AQ200" s="74" t="n"/>
      <c r="AR200" s="74" t="n"/>
      <c r="AS200" s="74" t="n"/>
      <c r="AT200" s="74" t="n"/>
      <c r="AU200" s="74" t="n"/>
      <c r="AV200" s="74" t="n"/>
      <c r="AX200" s="138" t="n">
        <v>1998</v>
      </c>
      <c r="AY200" s="138" t="n">
        <v>3</v>
      </c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  <c r="W201" s="74" t="n"/>
      <c r="X201" s="74" t="n"/>
      <c r="Y201" s="74" t="n"/>
      <c r="Z201" s="74" t="n"/>
      <c r="AA201" s="74" t="n"/>
      <c r="AB201" s="74" t="n"/>
      <c r="AC201" s="74" t="n"/>
      <c r="AD201" s="74" t="n"/>
      <c r="AE201" s="74" t="n"/>
      <c r="AF201" s="74" t="n"/>
      <c r="AG201" s="74" t="n"/>
      <c r="AH201" s="74" t="n"/>
      <c r="AI201" s="74" t="n"/>
      <c r="AJ201" s="74" t="n"/>
      <c r="AK201" s="74" t="n"/>
      <c r="AL201" s="74" t="n"/>
      <c r="AM201" s="74" t="n"/>
      <c r="AN201" s="74" t="n"/>
      <c r="AO201" s="74" t="n"/>
      <c r="AP201" s="74" t="n"/>
      <c r="AQ201" s="74" t="n"/>
      <c r="AR201" s="74" t="n"/>
      <c r="AS201" s="74" t="n"/>
      <c r="AT201" s="74" t="n"/>
      <c r="AU201" s="74" t="n"/>
      <c r="AV201" s="74" t="n"/>
      <c r="AX201" s="138" t="n">
        <v>1998</v>
      </c>
      <c r="AY201" s="138" t="n">
        <v>3</v>
      </c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  <c r="W202" s="74" t="n"/>
      <c r="X202" s="74" t="n"/>
      <c r="Y202" s="74" t="n"/>
      <c r="Z202" s="74" t="n"/>
      <c r="AA202" s="74" t="n"/>
      <c r="AB202" s="74" t="n"/>
      <c r="AC202" s="74" t="n"/>
      <c r="AD202" s="74" t="n"/>
      <c r="AE202" s="74" t="n"/>
      <c r="AF202" s="74" t="n"/>
      <c r="AG202" s="74" t="n"/>
      <c r="AH202" s="74" t="n"/>
      <c r="AI202" s="74" t="n"/>
      <c r="AJ202" s="74" t="n"/>
      <c r="AK202" s="74" t="n"/>
      <c r="AL202" s="74" t="n"/>
      <c r="AM202" s="74" t="n"/>
      <c r="AN202" s="74" t="n"/>
      <c r="AO202" s="74" t="n"/>
      <c r="AP202" s="74" t="n"/>
      <c r="AQ202" s="74" t="n"/>
      <c r="AR202" s="74" t="n"/>
      <c r="AS202" s="74" t="n"/>
      <c r="AT202" s="74" t="n"/>
      <c r="AU202" s="74" t="n"/>
      <c r="AV202" s="74" t="n"/>
      <c r="AX202" s="138" t="n">
        <v>1997</v>
      </c>
      <c r="AY202" s="138" t="n">
        <v>8</v>
      </c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  <c r="W203" s="74" t="n"/>
      <c r="X203" s="74" t="n"/>
      <c r="Y203" s="74" t="n"/>
      <c r="Z203" s="74" t="n"/>
      <c r="AA203" s="74" t="n"/>
      <c r="AB203" s="74" t="n"/>
      <c r="AC203" s="74" t="n"/>
      <c r="AD203" s="74" t="n"/>
      <c r="AE203" s="74" t="n"/>
      <c r="AF203" s="74" t="n"/>
      <c r="AG203" s="74" t="n"/>
      <c r="AH203" s="74" t="n"/>
      <c r="AI203" s="74" t="n"/>
      <c r="AJ203" s="74" t="n"/>
      <c r="AK203" s="74" t="n"/>
      <c r="AL203" s="74" t="n"/>
      <c r="AM203" s="74" t="n"/>
      <c r="AN203" s="74" t="n"/>
      <c r="AO203" s="74" t="n"/>
      <c r="AP203" s="74" t="n"/>
      <c r="AQ203" s="74" t="n"/>
      <c r="AR203" s="74" t="n"/>
      <c r="AS203" s="74" t="n"/>
      <c r="AT203" s="74" t="n"/>
      <c r="AU203" s="74" t="n"/>
      <c r="AV203" s="74" t="n"/>
      <c r="AX203" s="138" t="n">
        <v>1997</v>
      </c>
      <c r="AY203" s="138" t="n">
        <v>8</v>
      </c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  <c r="W204" s="74" t="n"/>
      <c r="X204" s="74" t="n"/>
      <c r="Y204" s="74" t="n"/>
      <c r="Z204" s="74" t="n"/>
      <c r="AA204" s="74" t="n"/>
      <c r="AB204" s="74" t="n"/>
      <c r="AC204" s="74" t="n"/>
      <c r="AD204" s="74" t="n"/>
      <c r="AE204" s="74" t="n"/>
      <c r="AF204" s="74" t="n"/>
      <c r="AG204" s="74" t="n"/>
      <c r="AH204" s="74" t="n"/>
      <c r="AI204" s="74" t="n"/>
      <c r="AJ204" s="74" t="n"/>
      <c r="AK204" s="74" t="n"/>
      <c r="AL204" s="74" t="n"/>
      <c r="AM204" s="74" t="n"/>
      <c r="AN204" s="74" t="n"/>
      <c r="AO204" s="74" t="n"/>
      <c r="AP204" s="74" t="n"/>
      <c r="AQ204" s="74" t="n"/>
      <c r="AR204" s="74" t="n"/>
      <c r="AS204" s="74" t="n"/>
      <c r="AT204" s="74" t="n"/>
      <c r="AU204" s="74" t="n"/>
      <c r="AV204" s="74" t="n"/>
      <c r="AX204" s="138" t="n">
        <v>1997</v>
      </c>
      <c r="AY204" s="138" t="n">
        <v>8</v>
      </c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  <c r="W205" s="74" t="n"/>
      <c r="X205" s="74" t="n"/>
      <c r="Y205" s="74" t="n"/>
      <c r="Z205" s="74" t="n"/>
      <c r="AA205" s="74" t="n"/>
      <c r="AB205" s="74" t="n"/>
      <c r="AC205" s="74" t="n"/>
      <c r="AD205" s="74" t="n"/>
      <c r="AE205" s="74" t="n"/>
      <c r="AF205" s="74" t="n"/>
      <c r="AG205" s="74" t="n"/>
      <c r="AH205" s="74" t="n"/>
      <c r="AI205" s="74" t="n"/>
      <c r="AJ205" s="74" t="n"/>
      <c r="AK205" s="74" t="n"/>
      <c r="AL205" s="74" t="n"/>
      <c r="AM205" s="74" t="n"/>
      <c r="AN205" s="74" t="n"/>
      <c r="AO205" s="74" t="n"/>
      <c r="AP205" s="74" t="n"/>
      <c r="AQ205" s="74" t="n"/>
      <c r="AR205" s="74" t="n"/>
      <c r="AS205" s="74" t="n"/>
      <c r="AT205" s="74" t="n"/>
      <c r="AU205" s="74" t="n"/>
      <c r="AV205" s="74" t="n"/>
      <c r="AX205" s="138" t="n">
        <v>1996</v>
      </c>
      <c r="AY205" s="138" t="n">
        <v>9</v>
      </c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  <c r="W206" s="74" t="n"/>
      <c r="X206" s="74" t="n"/>
      <c r="Y206" s="74" t="n"/>
      <c r="Z206" s="74" t="n"/>
      <c r="AA206" s="74" t="n"/>
      <c r="AB206" s="74" t="n"/>
      <c r="AC206" s="74" t="n"/>
      <c r="AD206" s="74" t="n"/>
      <c r="AE206" s="74" t="n"/>
      <c r="AF206" s="74" t="n"/>
      <c r="AG206" s="74" t="n"/>
      <c r="AH206" s="74" t="n"/>
      <c r="AI206" s="74" t="n"/>
      <c r="AJ206" s="74" t="n"/>
      <c r="AK206" s="74" t="n"/>
      <c r="AL206" s="74" t="n"/>
      <c r="AM206" s="74" t="n"/>
      <c r="AN206" s="74" t="n"/>
      <c r="AO206" s="74" t="n"/>
      <c r="AP206" s="74" t="n"/>
      <c r="AQ206" s="74" t="n"/>
      <c r="AR206" s="74" t="n"/>
      <c r="AS206" s="74" t="n"/>
      <c r="AT206" s="74" t="n"/>
      <c r="AU206" s="74" t="n"/>
      <c r="AV206" s="74" t="n"/>
      <c r="AX206" s="138" t="n">
        <v>1996</v>
      </c>
      <c r="AY206" s="138" t="n">
        <v>9</v>
      </c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  <c r="W207" s="74" t="n"/>
      <c r="X207" s="74" t="n"/>
      <c r="Y207" s="74" t="n"/>
      <c r="Z207" s="74" t="n"/>
      <c r="AA207" s="74" t="n"/>
      <c r="AB207" s="74" t="n"/>
      <c r="AC207" s="74" t="n"/>
      <c r="AD207" s="74" t="n"/>
      <c r="AE207" s="74" t="n"/>
      <c r="AF207" s="74" t="n"/>
      <c r="AG207" s="74" t="n"/>
      <c r="AH207" s="74" t="n"/>
      <c r="AI207" s="74" t="n"/>
      <c r="AJ207" s="74" t="n"/>
      <c r="AK207" s="74" t="n"/>
      <c r="AL207" s="74" t="n"/>
      <c r="AM207" s="74" t="n"/>
      <c r="AN207" s="74" t="n"/>
      <c r="AO207" s="74" t="n"/>
      <c r="AP207" s="74" t="n"/>
      <c r="AQ207" s="74" t="n"/>
      <c r="AR207" s="74" t="n"/>
      <c r="AS207" s="74" t="n"/>
      <c r="AT207" s="74" t="n"/>
      <c r="AU207" s="74" t="n"/>
      <c r="AV207" s="74" t="n"/>
      <c r="AX207" s="138" t="n">
        <v>1994</v>
      </c>
      <c r="AY207" s="138" t="n">
        <v>11</v>
      </c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  <c r="W208" s="74" t="n"/>
      <c r="X208" s="74" t="n"/>
      <c r="Y208" s="74" t="n"/>
      <c r="Z208" s="74" t="n"/>
      <c r="AA208" s="74" t="n"/>
      <c r="AB208" s="74" t="n"/>
      <c r="AC208" s="74" t="n"/>
      <c r="AD208" s="74" t="n"/>
      <c r="AE208" s="74" t="n"/>
      <c r="AF208" s="74" t="n"/>
      <c r="AG208" s="74" t="n"/>
      <c r="AH208" s="74" t="n"/>
      <c r="AI208" s="74" t="n"/>
      <c r="AJ208" s="74" t="n"/>
      <c r="AK208" s="74" t="n"/>
      <c r="AL208" s="74" t="n"/>
      <c r="AM208" s="74" t="n"/>
      <c r="AN208" s="74" t="n"/>
      <c r="AO208" s="74" t="n"/>
      <c r="AP208" s="74" t="n"/>
      <c r="AQ208" s="74" t="n"/>
      <c r="AR208" s="74" t="n"/>
      <c r="AS208" s="74" t="n"/>
      <c r="AT208" s="74" t="n"/>
      <c r="AU208" s="74" t="n"/>
      <c r="AV208" s="74" t="n"/>
      <c r="AX208" s="138" t="n">
        <v>1994</v>
      </c>
      <c r="AY208" s="138" t="n">
        <v>11</v>
      </c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  <c r="W209" s="74" t="n"/>
      <c r="X209" s="74" t="n"/>
      <c r="Y209" s="74" t="n"/>
      <c r="Z209" s="74" t="n"/>
      <c r="AA209" s="74" t="n"/>
      <c r="AB209" s="74" t="n"/>
      <c r="AC209" s="74" t="n"/>
      <c r="AD209" s="74" t="n"/>
      <c r="AE209" s="74" t="n"/>
      <c r="AF209" s="74" t="n"/>
      <c r="AG209" s="74" t="n"/>
      <c r="AH209" s="74" t="n"/>
      <c r="AI209" s="74" t="n"/>
      <c r="AJ209" s="74" t="n"/>
      <c r="AK209" s="74" t="n"/>
      <c r="AL209" s="74" t="n"/>
      <c r="AM209" s="74" t="n"/>
      <c r="AN209" s="74" t="n"/>
      <c r="AO209" s="74" t="n"/>
      <c r="AP209" s="74" t="n"/>
      <c r="AQ209" s="74" t="n"/>
      <c r="AR209" s="74" t="n"/>
      <c r="AS209" s="74" t="n"/>
      <c r="AT209" s="74" t="n"/>
      <c r="AU209" s="74" t="n"/>
      <c r="AV209" s="74" t="n"/>
      <c r="AX209" s="138" t="n">
        <v>1984</v>
      </c>
      <c r="AY209" s="138" t="n">
        <v>1</v>
      </c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  <c r="W210" s="74" t="n"/>
      <c r="X210" s="74" t="n"/>
      <c r="Y210" s="74" t="n"/>
      <c r="Z210" s="74" t="n"/>
      <c r="AA210" s="74" t="n"/>
      <c r="AB210" s="74" t="n"/>
      <c r="AC210" s="74" t="n"/>
      <c r="AD210" s="74" t="n"/>
      <c r="AE210" s="74" t="n"/>
      <c r="AF210" s="74" t="n"/>
      <c r="AG210" s="74" t="n"/>
      <c r="AH210" s="74" t="n"/>
      <c r="AI210" s="74" t="n"/>
      <c r="AJ210" s="74" t="n"/>
      <c r="AK210" s="74" t="n"/>
      <c r="AL210" s="74" t="n"/>
      <c r="AM210" s="74" t="n"/>
      <c r="AN210" s="74" t="n"/>
      <c r="AO210" s="74" t="n"/>
      <c r="AP210" s="74" t="n"/>
      <c r="AQ210" s="74" t="n"/>
      <c r="AR210" s="74" t="n"/>
      <c r="AS210" s="74" t="n"/>
      <c r="AT210" s="74" t="n"/>
      <c r="AU210" s="74" t="n"/>
      <c r="AV210" s="74" t="n"/>
      <c r="AX210" s="138" t="n">
        <v>1984</v>
      </c>
      <c r="AY210" s="138" t="n">
        <v>1</v>
      </c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  <c r="W211" s="74" t="n"/>
      <c r="X211" s="74" t="n"/>
      <c r="Y211" s="74" t="n"/>
      <c r="Z211" s="74" t="n"/>
      <c r="AA211" s="74" t="n"/>
      <c r="AB211" s="74" t="n"/>
      <c r="AC211" s="74" t="n"/>
      <c r="AD211" s="74" t="n"/>
      <c r="AE211" s="74" t="n"/>
      <c r="AF211" s="74" t="n"/>
      <c r="AG211" s="74" t="n"/>
      <c r="AH211" s="74" t="n"/>
      <c r="AI211" s="74" t="n"/>
      <c r="AJ211" s="74" t="n"/>
      <c r="AK211" s="74" t="n"/>
      <c r="AL211" s="74" t="n"/>
      <c r="AM211" s="74" t="n"/>
      <c r="AN211" s="74" t="n"/>
      <c r="AO211" s="74" t="n"/>
      <c r="AP211" s="74" t="n"/>
      <c r="AQ211" s="74" t="n"/>
      <c r="AR211" s="74" t="n"/>
      <c r="AS211" s="74" t="n"/>
      <c r="AT211" s="74" t="n"/>
      <c r="AU211" s="74" t="n"/>
      <c r="AV211" s="74" t="n"/>
      <c r="AX211" s="138" t="n">
        <v>1994</v>
      </c>
      <c r="AY211" s="138" t="n">
        <v>1</v>
      </c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  <c r="W212" s="74" t="n"/>
      <c r="X212" s="74" t="n"/>
      <c r="Y212" s="74" t="n"/>
      <c r="Z212" s="74" t="n"/>
      <c r="AA212" s="74" t="n"/>
      <c r="AB212" s="74" t="n"/>
      <c r="AC212" s="74" t="n"/>
      <c r="AD212" s="74" t="n"/>
      <c r="AE212" s="74" t="n"/>
      <c r="AF212" s="74" t="n"/>
      <c r="AG212" s="74" t="n"/>
      <c r="AH212" s="74" t="n"/>
      <c r="AI212" s="74" t="n"/>
      <c r="AJ212" s="74" t="n"/>
      <c r="AK212" s="74" t="n"/>
      <c r="AL212" s="74" t="n"/>
      <c r="AM212" s="74" t="n"/>
      <c r="AN212" s="74" t="n"/>
      <c r="AO212" s="74" t="n"/>
      <c r="AP212" s="74" t="n"/>
      <c r="AQ212" s="74" t="n"/>
      <c r="AR212" s="74" t="n"/>
      <c r="AS212" s="74" t="n"/>
      <c r="AT212" s="74" t="n"/>
      <c r="AU212" s="74" t="n"/>
      <c r="AV212" s="74" t="n"/>
      <c r="AX212" s="138" t="n">
        <v>1994</v>
      </c>
      <c r="AY212" s="138" t="n">
        <v>1</v>
      </c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  <c r="W213" s="74" t="n"/>
      <c r="X213" s="74" t="n"/>
      <c r="Y213" s="74" t="n"/>
      <c r="Z213" s="74" t="n"/>
      <c r="AA213" s="74" t="n"/>
      <c r="AB213" s="74" t="n"/>
      <c r="AC213" s="74" t="n"/>
      <c r="AD213" s="74" t="n"/>
      <c r="AE213" s="74" t="n"/>
      <c r="AF213" s="74" t="n"/>
      <c r="AG213" s="74" t="n"/>
      <c r="AH213" s="74" t="n"/>
      <c r="AI213" s="74" t="n"/>
      <c r="AJ213" s="74" t="n"/>
      <c r="AK213" s="74" t="n"/>
      <c r="AL213" s="74" t="n"/>
      <c r="AM213" s="74" t="n"/>
      <c r="AN213" s="74" t="n"/>
      <c r="AO213" s="74" t="n"/>
      <c r="AP213" s="74" t="n"/>
      <c r="AQ213" s="74" t="n"/>
      <c r="AR213" s="74" t="n"/>
      <c r="AS213" s="74" t="n"/>
      <c r="AT213" s="74" t="n"/>
      <c r="AU213" s="74" t="n"/>
      <c r="AV213" s="74" t="n"/>
      <c r="AX213" s="138" t="n">
        <v>1997</v>
      </c>
      <c r="AY213" s="138" t="n">
        <v>5</v>
      </c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  <c r="W214" s="74" t="n"/>
      <c r="X214" s="74" t="n"/>
      <c r="Y214" s="74" t="n"/>
      <c r="Z214" s="74" t="n"/>
      <c r="AA214" s="74" t="n"/>
      <c r="AB214" s="74" t="n"/>
      <c r="AC214" s="74" t="n"/>
      <c r="AD214" s="74" t="n"/>
      <c r="AE214" s="74" t="n"/>
      <c r="AF214" s="74" t="n"/>
      <c r="AG214" s="74" t="n"/>
      <c r="AH214" s="74" t="n"/>
      <c r="AI214" s="74" t="n"/>
      <c r="AJ214" s="74" t="n"/>
      <c r="AK214" s="74" t="n"/>
      <c r="AL214" s="74" t="n"/>
      <c r="AM214" s="74" t="n"/>
      <c r="AN214" s="74" t="n"/>
      <c r="AO214" s="74" t="n"/>
      <c r="AP214" s="74" t="n"/>
      <c r="AQ214" s="74" t="n"/>
      <c r="AR214" s="74" t="n"/>
      <c r="AS214" s="74" t="n"/>
      <c r="AT214" s="74" t="n"/>
      <c r="AU214" s="74" t="n"/>
      <c r="AV214" s="74" t="n"/>
      <c r="AX214" s="138" t="n">
        <v>1997</v>
      </c>
      <c r="AY214" s="138" t="n">
        <v>5</v>
      </c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  <c r="W215" s="74" t="n"/>
      <c r="X215" s="74" t="n"/>
      <c r="Y215" s="74" t="n"/>
      <c r="Z215" s="74" t="n"/>
      <c r="AA215" s="74" t="n"/>
      <c r="AB215" s="74" t="n"/>
      <c r="AC215" s="74" t="n"/>
      <c r="AD215" s="74" t="n"/>
      <c r="AE215" s="74" t="n"/>
      <c r="AF215" s="74" t="n"/>
      <c r="AG215" s="74" t="n"/>
      <c r="AH215" s="74" t="n"/>
      <c r="AI215" s="74" t="n"/>
      <c r="AJ215" s="74" t="n"/>
      <c r="AK215" s="74" t="n"/>
      <c r="AL215" s="74" t="n"/>
      <c r="AM215" s="74" t="n"/>
      <c r="AN215" s="74" t="n"/>
      <c r="AO215" s="74" t="n"/>
      <c r="AP215" s="74" t="n"/>
      <c r="AQ215" s="74" t="n"/>
      <c r="AR215" s="74" t="n"/>
      <c r="AS215" s="74" t="n"/>
      <c r="AT215" s="74" t="n"/>
      <c r="AU215" s="74" t="n"/>
      <c r="AV215" s="74" t="n"/>
      <c r="AX215" s="138" t="n">
        <v>1997</v>
      </c>
      <c r="AY215" s="138" t="n">
        <v>5</v>
      </c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  <c r="W216" s="74" t="n"/>
      <c r="X216" s="74" t="n"/>
      <c r="Y216" s="74" t="n"/>
      <c r="Z216" s="74" t="n"/>
      <c r="AA216" s="74" t="n"/>
      <c r="AB216" s="74" t="n"/>
      <c r="AC216" s="74" t="n"/>
      <c r="AD216" s="74" t="n"/>
      <c r="AE216" s="74" t="n"/>
      <c r="AF216" s="74" t="n"/>
      <c r="AG216" s="74" t="n"/>
      <c r="AH216" s="74" t="n"/>
      <c r="AI216" s="74" t="n"/>
      <c r="AJ216" s="74" t="n"/>
      <c r="AK216" s="74" t="n"/>
      <c r="AL216" s="74" t="n"/>
      <c r="AM216" s="74" t="n"/>
      <c r="AN216" s="74" t="n"/>
      <c r="AO216" s="74" t="n"/>
      <c r="AP216" s="74" t="n"/>
      <c r="AQ216" s="74" t="n"/>
      <c r="AR216" s="74" t="n"/>
      <c r="AS216" s="74" t="n"/>
      <c r="AT216" s="74" t="n"/>
      <c r="AU216" s="74" t="n"/>
      <c r="AV216" s="74" t="n"/>
      <c r="AX216" s="138" t="n">
        <v>1997</v>
      </c>
      <c r="AY216" s="138" t="n">
        <v>11</v>
      </c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  <c r="W217" s="74" t="n"/>
      <c r="X217" s="74" t="n"/>
      <c r="Y217" s="74" t="n"/>
      <c r="Z217" s="74" t="n"/>
      <c r="AA217" s="74" t="n"/>
      <c r="AB217" s="74" t="n"/>
      <c r="AC217" s="74" t="n"/>
      <c r="AD217" s="74" t="n"/>
      <c r="AE217" s="74" t="n"/>
      <c r="AF217" s="74" t="n"/>
      <c r="AG217" s="74" t="n"/>
      <c r="AH217" s="74" t="n"/>
      <c r="AI217" s="74" t="n"/>
      <c r="AJ217" s="74" t="n"/>
      <c r="AK217" s="74" t="n"/>
      <c r="AL217" s="74" t="n"/>
      <c r="AM217" s="74" t="n"/>
      <c r="AN217" s="74" t="n"/>
      <c r="AO217" s="74" t="n"/>
      <c r="AP217" s="74" t="n"/>
      <c r="AQ217" s="74" t="n"/>
      <c r="AR217" s="74" t="n"/>
      <c r="AS217" s="74" t="n"/>
      <c r="AT217" s="74" t="n"/>
      <c r="AU217" s="74" t="n"/>
      <c r="AV217" s="74" t="n"/>
      <c r="AX217" s="138" t="n">
        <v>1997</v>
      </c>
      <c r="AY217" s="138" t="n">
        <v>11</v>
      </c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  <c r="W218" s="74" t="n"/>
      <c r="X218" s="74" t="n"/>
      <c r="Y218" s="74" t="n"/>
      <c r="Z218" s="74" t="n"/>
      <c r="AA218" s="74" t="n"/>
      <c r="AB218" s="74" t="n"/>
      <c r="AC218" s="74" t="n"/>
      <c r="AD218" s="74" t="n"/>
      <c r="AE218" s="74" t="n"/>
      <c r="AF218" s="74" t="n"/>
      <c r="AG218" s="74" t="n"/>
      <c r="AH218" s="74" t="n"/>
      <c r="AI218" s="74" t="n"/>
      <c r="AJ218" s="74" t="n"/>
      <c r="AK218" s="74" t="n"/>
      <c r="AL218" s="74" t="n"/>
      <c r="AM218" s="74" t="n"/>
      <c r="AN218" s="74" t="n"/>
      <c r="AO218" s="74" t="n"/>
      <c r="AP218" s="74" t="n"/>
      <c r="AQ218" s="74" t="n"/>
      <c r="AR218" s="74" t="n"/>
      <c r="AS218" s="74" t="n"/>
      <c r="AT218" s="74" t="n"/>
      <c r="AU218" s="74" t="n"/>
      <c r="AV218" s="74" t="n"/>
      <c r="AX218" s="138" t="n">
        <v>1997</v>
      </c>
      <c r="AY218" s="138" t="n">
        <v>11</v>
      </c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  <c r="W219" s="74" t="n"/>
      <c r="X219" s="74" t="n"/>
      <c r="Y219" s="74" t="n"/>
      <c r="Z219" s="74" t="n"/>
      <c r="AA219" s="74" t="n"/>
      <c r="AB219" s="74" t="n"/>
      <c r="AC219" s="74" t="n"/>
      <c r="AD219" s="74" t="n"/>
      <c r="AE219" s="74" t="n"/>
      <c r="AF219" s="74" t="n"/>
      <c r="AG219" s="74" t="n"/>
      <c r="AH219" s="74" t="n"/>
      <c r="AI219" s="74" t="n"/>
      <c r="AJ219" s="74" t="n"/>
      <c r="AK219" s="74" t="n"/>
      <c r="AL219" s="74" t="n"/>
      <c r="AM219" s="74" t="n"/>
      <c r="AN219" s="74" t="n"/>
      <c r="AO219" s="74" t="n"/>
      <c r="AP219" s="74" t="n"/>
      <c r="AQ219" s="74" t="n"/>
      <c r="AR219" s="74" t="n"/>
      <c r="AS219" s="74" t="n"/>
      <c r="AT219" s="74" t="n"/>
      <c r="AU219" s="74" t="n"/>
      <c r="AV219" s="74" t="n"/>
      <c r="AX219" s="138" t="n">
        <v>2002</v>
      </c>
      <c r="AY219" s="138" t="n">
        <v>6</v>
      </c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  <c r="W220" s="74" t="n"/>
      <c r="X220" s="74" t="n"/>
      <c r="Y220" s="74" t="n"/>
      <c r="Z220" s="74" t="n"/>
      <c r="AA220" s="74" t="n"/>
      <c r="AB220" s="74" t="n"/>
      <c r="AC220" s="74" t="n"/>
      <c r="AD220" s="74" t="n"/>
      <c r="AE220" s="74" t="n"/>
      <c r="AF220" s="74" t="n"/>
      <c r="AG220" s="74" t="n"/>
      <c r="AH220" s="74" t="n"/>
      <c r="AI220" s="74" t="n"/>
      <c r="AJ220" s="74" t="n"/>
      <c r="AK220" s="74" t="n"/>
      <c r="AL220" s="74" t="n"/>
      <c r="AM220" s="74" t="n"/>
      <c r="AN220" s="74" t="n"/>
      <c r="AO220" s="74" t="n"/>
      <c r="AP220" s="74" t="n"/>
      <c r="AQ220" s="74" t="n"/>
      <c r="AR220" s="74" t="n"/>
      <c r="AS220" s="74" t="n"/>
      <c r="AT220" s="74" t="n"/>
      <c r="AU220" s="74" t="n"/>
      <c r="AV220" s="74" t="n"/>
      <c r="AX220" s="138" t="n">
        <v>2002</v>
      </c>
      <c r="AY220" s="138" t="n">
        <v>6</v>
      </c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  <c r="W221" s="74" t="n"/>
      <c r="X221" s="74" t="n"/>
      <c r="Y221" s="74" t="n"/>
      <c r="Z221" s="74" t="n"/>
      <c r="AA221" s="74" t="n"/>
      <c r="AB221" s="74" t="n"/>
      <c r="AC221" s="74" t="n"/>
      <c r="AD221" s="74" t="n"/>
      <c r="AE221" s="74" t="n"/>
      <c r="AF221" s="74" t="n"/>
      <c r="AG221" s="74" t="n"/>
      <c r="AH221" s="74" t="n"/>
      <c r="AI221" s="74" t="n"/>
      <c r="AJ221" s="74" t="n"/>
      <c r="AK221" s="74" t="n"/>
      <c r="AL221" s="74" t="n"/>
      <c r="AM221" s="74" t="n"/>
      <c r="AN221" s="74" t="n"/>
      <c r="AO221" s="74" t="n"/>
      <c r="AP221" s="74" t="n"/>
      <c r="AQ221" s="74" t="n"/>
      <c r="AR221" s="74" t="n"/>
      <c r="AS221" s="74" t="n"/>
      <c r="AT221" s="74" t="n"/>
      <c r="AU221" s="74" t="n"/>
      <c r="AV221" s="74" t="n"/>
      <c r="AX221" s="138" t="n">
        <v>1990</v>
      </c>
      <c r="AY221" s="138" t="n">
        <v>6</v>
      </c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  <c r="W222" s="74" t="n"/>
      <c r="X222" s="74" t="n"/>
      <c r="Y222" s="74" t="n"/>
      <c r="Z222" s="74" t="n"/>
      <c r="AA222" s="74" t="n"/>
      <c r="AB222" s="74" t="n"/>
      <c r="AC222" s="74" t="n"/>
      <c r="AD222" s="74" t="n"/>
      <c r="AE222" s="74" t="n"/>
      <c r="AF222" s="74" t="n"/>
      <c r="AG222" s="74" t="n"/>
      <c r="AH222" s="74" t="n"/>
      <c r="AI222" s="74" t="n"/>
      <c r="AJ222" s="74" t="n"/>
      <c r="AK222" s="74" t="n"/>
      <c r="AL222" s="74" t="n"/>
      <c r="AM222" s="74" t="n"/>
      <c r="AN222" s="74" t="n"/>
      <c r="AO222" s="74" t="n"/>
      <c r="AP222" s="74" t="n"/>
      <c r="AQ222" s="74" t="n"/>
      <c r="AR222" s="74" t="n"/>
      <c r="AS222" s="74" t="n"/>
      <c r="AT222" s="74" t="n"/>
      <c r="AU222" s="74" t="n"/>
      <c r="AV222" s="74" t="n"/>
      <c r="AX222" s="138" t="n">
        <v>1990</v>
      </c>
      <c r="AY222" s="138" t="n">
        <v>6</v>
      </c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  <c r="W223" s="74" t="n"/>
      <c r="X223" s="74" t="n"/>
      <c r="Y223" s="74" t="n"/>
      <c r="Z223" s="74" t="n"/>
      <c r="AA223" s="74" t="n"/>
      <c r="AB223" s="74" t="n"/>
      <c r="AC223" s="74" t="n"/>
      <c r="AD223" s="74" t="n"/>
      <c r="AE223" s="74" t="n"/>
      <c r="AF223" s="74" t="n"/>
      <c r="AG223" s="74" t="n"/>
      <c r="AH223" s="74" t="n"/>
      <c r="AI223" s="74" t="n"/>
      <c r="AJ223" s="74" t="n"/>
      <c r="AK223" s="74" t="n"/>
      <c r="AL223" s="74" t="n"/>
      <c r="AM223" s="74" t="n"/>
      <c r="AN223" s="74" t="n"/>
      <c r="AO223" s="74" t="n"/>
      <c r="AP223" s="74" t="n"/>
      <c r="AQ223" s="74" t="n"/>
      <c r="AR223" s="74" t="n"/>
      <c r="AS223" s="74" t="n"/>
      <c r="AT223" s="74" t="n"/>
      <c r="AU223" s="74" t="n"/>
      <c r="AV223" s="74" t="n"/>
      <c r="AX223" s="138" t="n">
        <v>1994</v>
      </c>
      <c r="AY223" s="138" t="n">
        <v>1</v>
      </c>
      <c r="AZ223" s="138" t="n"/>
      <c r="BA223" s="121" t="inlineStr">
        <is>
          <t>20평대</t>
        </is>
      </c>
      <c r="BB223" s="139" t="n">
        <v>0</v>
      </c>
      <c r="BC223" s="139" t="n">
        <v>0</v>
      </c>
      <c r="BD223" s="139" t="n">
        <v>0</v>
      </c>
      <c r="BE223" s="139" t="n">
        <v>0</v>
      </c>
      <c r="BF223" s="139" t="n">
        <v>0</v>
      </c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  <c r="W224" s="74" t="n"/>
      <c r="X224" s="74" t="n"/>
      <c r="Y224" s="74" t="n"/>
      <c r="Z224" s="74" t="n"/>
      <c r="AA224" s="74" t="n"/>
      <c r="AB224" s="74" t="n"/>
      <c r="AC224" s="74" t="n"/>
      <c r="AD224" s="74" t="n"/>
      <c r="AE224" s="74" t="n"/>
      <c r="AF224" s="74" t="n"/>
      <c r="AG224" s="74" t="n"/>
      <c r="AH224" s="74" t="n"/>
      <c r="AI224" s="74" t="n"/>
      <c r="AJ224" s="74" t="n"/>
      <c r="AK224" s="74" t="n"/>
      <c r="AL224" s="74" t="n"/>
      <c r="AM224" s="74" t="n"/>
      <c r="AN224" s="74" t="n"/>
      <c r="AO224" s="74" t="n"/>
      <c r="AP224" s="74" t="n"/>
      <c r="AQ224" s="74" t="n"/>
      <c r="AR224" s="74" t="n"/>
      <c r="AS224" s="74" t="n"/>
      <c r="AT224" s="74" t="n"/>
      <c r="AU224" s="74" t="n"/>
      <c r="AV224" s="74" t="n"/>
      <c r="AX224" s="138" t="n">
        <v>1994</v>
      </c>
      <c r="AY224" s="138" t="n">
        <v>1</v>
      </c>
      <c r="AZ224" s="138" t="n"/>
      <c r="BA224" s="121" t="inlineStr">
        <is>
          <t>30평대</t>
        </is>
      </c>
      <c r="BB224" s="139" t="n">
        <v>0</v>
      </c>
      <c r="BC224" s="139" t="n">
        <v>0</v>
      </c>
      <c r="BD224" s="139" t="n">
        <v>0</v>
      </c>
      <c r="BE224" s="139" t="n">
        <v>0</v>
      </c>
      <c r="BF224" s="139" t="n">
        <v>0</v>
      </c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  <c r="W225" s="74" t="n"/>
      <c r="X225" s="74" t="n"/>
      <c r="Y225" s="74" t="n"/>
      <c r="Z225" s="74" t="n"/>
      <c r="AA225" s="74" t="n"/>
      <c r="AB225" s="74" t="n"/>
      <c r="AC225" s="74" t="n"/>
      <c r="AD225" s="74" t="n"/>
      <c r="AE225" s="74" t="n"/>
      <c r="AF225" s="74" t="n"/>
      <c r="AG225" s="74" t="n"/>
      <c r="AH225" s="74" t="n"/>
      <c r="AI225" s="74" t="n"/>
      <c r="AJ225" s="74" t="n"/>
      <c r="AK225" s="74" t="n"/>
      <c r="AL225" s="74" t="n"/>
      <c r="AM225" s="74" t="n"/>
      <c r="AN225" s="74" t="n"/>
      <c r="AO225" s="74" t="n"/>
      <c r="AP225" s="74" t="n"/>
      <c r="AQ225" s="74" t="n"/>
      <c r="AR225" s="74" t="n"/>
      <c r="AS225" s="74" t="n"/>
      <c r="AT225" s="74" t="n"/>
      <c r="AU225" s="74" t="n"/>
      <c r="AV225" s="74" t="n"/>
      <c r="AX225" s="138" t="n">
        <v>1995</v>
      </c>
      <c r="AY225" s="138" t="n">
        <v>3</v>
      </c>
      <c r="AZ225" s="138" t="n"/>
      <c r="BA225" s="121" t="inlineStr">
        <is>
          <t>합계</t>
        </is>
      </c>
      <c r="BB225" s="139" t="n">
        <v>0</v>
      </c>
      <c r="BC225" s="139" t="n">
        <v>0</v>
      </c>
      <c r="BD225" s="139" t="n">
        <v>0</v>
      </c>
      <c r="BE225" s="139" t="n">
        <v>0</v>
      </c>
      <c r="BF225" s="139" t="n">
        <v>0</v>
      </c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  <c r="W226" s="74" t="n"/>
      <c r="X226" s="74" t="n"/>
      <c r="Y226" s="74" t="n"/>
      <c r="Z226" s="74" t="n"/>
      <c r="AA226" s="74" t="n"/>
      <c r="AB226" s="74" t="n"/>
      <c r="AC226" s="74" t="n"/>
      <c r="AD226" s="74" t="n"/>
      <c r="AE226" s="74" t="n"/>
      <c r="AF226" s="74" t="n"/>
      <c r="AG226" s="74" t="n"/>
      <c r="AH226" s="74" t="n"/>
      <c r="AI226" s="74" t="n"/>
      <c r="AJ226" s="74" t="n"/>
      <c r="AK226" s="74" t="n"/>
      <c r="AL226" s="74" t="n"/>
      <c r="AM226" s="74" t="n"/>
      <c r="AN226" s="74" t="n"/>
      <c r="AO226" s="74" t="n"/>
      <c r="AP226" s="74" t="n"/>
      <c r="AQ226" s="74" t="n"/>
      <c r="AR226" s="74" t="n"/>
      <c r="AS226" s="74" t="n"/>
      <c r="AT226" s="74" t="n"/>
      <c r="AU226" s="74" t="n"/>
      <c r="AV226" s="74" t="n"/>
      <c r="AX226" s="138" t="n">
        <v>1995</v>
      </c>
      <c r="AY226" s="138" t="n">
        <v>3</v>
      </c>
      <c r="AZ226" s="138" t="n"/>
      <c r="BA226" s="2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  <c r="W227" s="74" t="n"/>
      <c r="X227" s="74" t="n"/>
      <c r="Y227" s="74" t="n"/>
      <c r="Z227" s="74" t="n"/>
      <c r="AA227" s="74" t="n"/>
      <c r="AB227" s="74" t="n"/>
      <c r="AC227" s="74" t="n"/>
      <c r="AD227" s="74" t="n"/>
      <c r="AE227" s="74" t="n"/>
      <c r="AF227" s="74" t="n"/>
      <c r="AG227" s="74" t="n"/>
      <c r="AH227" s="74" t="n"/>
      <c r="AI227" s="74" t="n"/>
      <c r="AJ227" s="74" t="n"/>
      <c r="AK227" s="74" t="n"/>
      <c r="AL227" s="74" t="n"/>
      <c r="AM227" s="74" t="n"/>
      <c r="AN227" s="74" t="n"/>
      <c r="AO227" s="74" t="n"/>
      <c r="AP227" s="74" t="n"/>
      <c r="AQ227" s="74" t="n"/>
      <c r="AR227" s="74" t="n"/>
      <c r="AS227" s="74" t="n"/>
      <c r="AT227" s="74" t="n"/>
      <c r="AU227" s="74" t="n"/>
      <c r="AV227" s="74" t="n"/>
      <c r="AX227" s="138" t="n">
        <v>1995</v>
      </c>
      <c r="AY227" s="138" t="n">
        <v>3</v>
      </c>
      <c r="AZ227" s="138" t="n"/>
      <c r="BA227" s="121" t="n"/>
      <c r="BB227" s="121" t="inlineStr">
        <is>
          <t>10년 이하</t>
        </is>
      </c>
      <c r="BC227" s="121" t="inlineStr">
        <is>
          <t>10~20년</t>
        </is>
      </c>
      <c r="BD227" s="121" t="inlineStr">
        <is>
          <t>20~30년</t>
        </is>
      </c>
      <c r="BE227" s="121" t="inlineStr">
        <is>
          <t>30년 이상</t>
        </is>
      </c>
      <c r="BF227" s="121" t="inlineStr">
        <is>
          <t>합계</t>
        </is>
      </c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  <c r="W228" s="74" t="n"/>
      <c r="X228" s="74" t="n"/>
      <c r="Y228" s="74" t="n"/>
      <c r="Z228" s="74" t="n"/>
      <c r="AA228" s="74" t="n"/>
      <c r="AB228" s="74" t="n"/>
      <c r="AC228" s="74" t="n"/>
      <c r="AD228" s="74" t="n"/>
      <c r="AE228" s="74" t="n"/>
      <c r="AF228" s="74" t="n"/>
      <c r="AG228" s="74" t="n"/>
      <c r="AH228" s="74" t="n"/>
      <c r="AI228" s="74" t="n"/>
      <c r="AJ228" s="74" t="n"/>
      <c r="AK228" s="74" t="n"/>
      <c r="AL228" s="74" t="n"/>
      <c r="AM228" s="74" t="n"/>
      <c r="AN228" s="74" t="n"/>
      <c r="AO228" s="74" t="n"/>
      <c r="AP228" s="74" t="n"/>
      <c r="AQ228" s="74" t="n"/>
      <c r="AR228" s="74" t="n"/>
      <c r="AS228" s="74" t="n"/>
      <c r="AT228" s="74" t="n"/>
      <c r="AU228" s="74" t="n"/>
      <c r="AV228" s="74" t="n"/>
      <c r="AX228" s="138" t="n">
        <v>1994</v>
      </c>
      <c r="AY228" s="138" t="n">
        <v>9</v>
      </c>
      <c r="BA228" s="121" t="inlineStr">
        <is>
          <t>30평대</t>
        </is>
      </c>
      <c r="BB228" s="141" t="e">
        <v>#DIV/0!</v>
      </c>
      <c r="BC228" s="141" t="e">
        <v>#DIV/0!</v>
      </c>
      <c r="BD228" s="141" t="e">
        <v>#DIV/0!</v>
      </c>
      <c r="BE228" s="141" t="e">
        <v>#DIV/0!</v>
      </c>
      <c r="BF228" s="141" t="e">
        <v>#DIV/0!</v>
      </c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  <c r="W229" s="74" t="n"/>
      <c r="X229" s="74" t="n"/>
      <c r="Y229" s="74" t="n"/>
      <c r="Z229" s="74" t="n"/>
      <c r="AA229" s="74" t="n"/>
      <c r="AB229" s="74" t="n"/>
      <c r="AC229" s="74" t="n"/>
      <c r="AD229" s="74" t="n"/>
      <c r="AE229" s="74" t="n"/>
      <c r="AF229" s="74" t="n"/>
      <c r="AG229" s="74" t="n"/>
      <c r="AH229" s="74" t="n"/>
      <c r="AI229" s="74" t="n"/>
      <c r="AJ229" s="74" t="n"/>
      <c r="AK229" s="74" t="n"/>
      <c r="AL229" s="74" t="n"/>
      <c r="AM229" s="74" t="n"/>
      <c r="AN229" s="74" t="n"/>
      <c r="AO229" s="74" t="n"/>
      <c r="AP229" s="74" t="n"/>
      <c r="AQ229" s="74" t="n"/>
      <c r="AR229" s="74" t="n"/>
      <c r="AS229" s="74" t="n"/>
      <c r="AT229" s="74" t="n"/>
      <c r="AU229" s="74" t="n"/>
      <c r="AV229" s="74" t="n"/>
      <c r="AX229" s="138" t="n">
        <v>1993</v>
      </c>
      <c r="AY229" s="138" t="n">
        <v>11</v>
      </c>
      <c r="BA229" s="121" t="inlineStr">
        <is>
          <t>합계</t>
        </is>
      </c>
      <c r="BB229" s="141" t="e">
        <v>#DIV/0!</v>
      </c>
      <c r="BC229" s="141" t="e">
        <v>#DIV/0!</v>
      </c>
      <c r="BD229" s="141" t="e">
        <v>#DIV/0!</v>
      </c>
      <c r="BE229" s="141" t="e">
        <v>#DIV/0!</v>
      </c>
      <c r="BF229" s="141" t="e">
        <v>#DIV/0!</v>
      </c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  <c r="W230" s="74" t="n"/>
      <c r="X230" s="74" t="n"/>
      <c r="Y230" s="74" t="n"/>
      <c r="Z230" s="74" t="n"/>
      <c r="AA230" s="74" t="n"/>
      <c r="AB230" s="74" t="n"/>
      <c r="AC230" s="74" t="n"/>
      <c r="AD230" s="74" t="n"/>
      <c r="AE230" s="74" t="n"/>
      <c r="AF230" s="74" t="n"/>
      <c r="AG230" s="74" t="n"/>
      <c r="AH230" s="74" t="n"/>
      <c r="AI230" s="74" t="n"/>
      <c r="AJ230" s="74" t="n"/>
      <c r="AK230" s="74" t="n"/>
      <c r="AL230" s="74" t="n"/>
      <c r="AM230" s="74" t="n"/>
      <c r="AN230" s="74" t="n"/>
      <c r="AO230" s="74" t="n"/>
      <c r="AP230" s="74" t="n"/>
      <c r="AQ230" s="74" t="n"/>
      <c r="AR230" s="74" t="n"/>
      <c r="AS230" s="74" t="n"/>
      <c r="AT230" s="74" t="n"/>
      <c r="AU230" s="74" t="n"/>
      <c r="AV230" s="74" t="n"/>
      <c r="AX230" s="138" t="n">
        <v>2000</v>
      </c>
      <c r="AY230" s="138" t="n">
        <v>6</v>
      </c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  <c r="W231" s="74" t="n"/>
      <c r="X231" s="74" t="n"/>
      <c r="Y231" s="74" t="n"/>
      <c r="Z231" s="74" t="n"/>
      <c r="AA231" s="74" t="n"/>
      <c r="AB231" s="74" t="n"/>
      <c r="AC231" s="74" t="n"/>
      <c r="AD231" s="74" t="n"/>
      <c r="AE231" s="74" t="n"/>
      <c r="AF231" s="74" t="n"/>
      <c r="AG231" s="74" t="n"/>
      <c r="AH231" s="74" t="n"/>
      <c r="AI231" s="74" t="n"/>
      <c r="AJ231" s="74" t="n"/>
      <c r="AK231" s="74" t="n"/>
      <c r="AL231" s="74" t="n"/>
      <c r="AM231" s="74" t="n"/>
      <c r="AN231" s="74" t="n"/>
      <c r="AO231" s="74" t="n"/>
      <c r="AP231" s="74" t="n"/>
      <c r="AQ231" s="74" t="n"/>
      <c r="AR231" s="74" t="n"/>
      <c r="AS231" s="74" t="n"/>
      <c r="AT231" s="74" t="n"/>
      <c r="AU231" s="74" t="n"/>
      <c r="AV231" s="74" t="n"/>
      <c r="AX231" s="138" t="n">
        <v>2000</v>
      </c>
      <c r="AY231" s="138" t="n">
        <v>6</v>
      </c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  <c r="W232" s="74" t="n"/>
      <c r="X232" s="74" t="n"/>
      <c r="Y232" s="74" t="n"/>
      <c r="Z232" s="74" t="n"/>
      <c r="AA232" s="74" t="n"/>
      <c r="AB232" s="74" t="n"/>
      <c r="AC232" s="74" t="n"/>
      <c r="AD232" s="74" t="n"/>
      <c r="AE232" s="74" t="n"/>
      <c r="AF232" s="74" t="n"/>
      <c r="AG232" s="74" t="n"/>
      <c r="AH232" s="74" t="n"/>
      <c r="AI232" s="74" t="n"/>
      <c r="AJ232" s="74" t="n"/>
      <c r="AK232" s="74" t="n"/>
      <c r="AL232" s="74" t="n"/>
      <c r="AM232" s="74" t="n"/>
      <c r="AN232" s="74" t="n"/>
      <c r="AO232" s="74" t="n"/>
      <c r="AP232" s="74" t="n"/>
      <c r="AQ232" s="74" t="n"/>
      <c r="AR232" s="74" t="n"/>
      <c r="AS232" s="74" t="n"/>
      <c r="AT232" s="74" t="n"/>
      <c r="AU232" s="74" t="n"/>
      <c r="AV232" s="74" t="n"/>
      <c r="AX232" s="138" t="n">
        <v>1994</v>
      </c>
      <c r="AY232" s="138" t="n">
        <v>3</v>
      </c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  <c r="W233" s="74" t="n"/>
      <c r="X233" s="74" t="n"/>
      <c r="Y233" s="74" t="n"/>
      <c r="Z233" s="74" t="n"/>
      <c r="AA233" s="74" t="n"/>
      <c r="AB233" s="74" t="n"/>
      <c r="AC233" s="74" t="n"/>
      <c r="AD233" s="74" t="n"/>
      <c r="AE233" s="74" t="n"/>
      <c r="AF233" s="74" t="n"/>
      <c r="AG233" s="74" t="n"/>
      <c r="AH233" s="74" t="n"/>
      <c r="AI233" s="74" t="n"/>
      <c r="AJ233" s="74" t="n"/>
      <c r="AK233" s="74" t="n"/>
      <c r="AL233" s="74" t="n"/>
      <c r="AM233" s="74" t="n"/>
      <c r="AN233" s="74" t="n"/>
      <c r="AO233" s="74" t="n"/>
      <c r="AP233" s="74" t="n"/>
      <c r="AQ233" s="74" t="n"/>
      <c r="AR233" s="74" t="n"/>
      <c r="AS233" s="74" t="n"/>
      <c r="AT233" s="74" t="n"/>
      <c r="AU233" s="74" t="n"/>
      <c r="AV233" s="74" t="n"/>
      <c r="AX233" s="138" t="n">
        <v>1993</v>
      </c>
      <c r="AY233" s="138" t="n">
        <v>6</v>
      </c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  <c r="W234" s="74" t="n"/>
      <c r="X234" s="74" t="n"/>
      <c r="Y234" s="74" t="n"/>
      <c r="Z234" s="74" t="n"/>
      <c r="AA234" s="74" t="n"/>
      <c r="AB234" s="74" t="n"/>
      <c r="AC234" s="74" t="n"/>
      <c r="AD234" s="74" t="n"/>
      <c r="AE234" s="74" t="n"/>
      <c r="AF234" s="74" t="n"/>
      <c r="AG234" s="74" t="n"/>
      <c r="AH234" s="74" t="n"/>
      <c r="AI234" s="74" t="n"/>
      <c r="AJ234" s="74" t="n"/>
      <c r="AK234" s="74" t="n"/>
      <c r="AL234" s="74" t="n"/>
      <c r="AM234" s="74" t="n"/>
      <c r="AN234" s="74" t="n"/>
      <c r="AO234" s="74" t="n"/>
      <c r="AP234" s="74" t="n"/>
      <c r="AQ234" s="74" t="n"/>
      <c r="AR234" s="74" t="n"/>
      <c r="AS234" s="74" t="n"/>
      <c r="AT234" s="74" t="n"/>
      <c r="AU234" s="74" t="n"/>
      <c r="AV234" s="74" t="n"/>
      <c r="AX234" s="138" t="n"/>
      <c r="AY234" s="138" t="n"/>
      <c r="AZ234" s="6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  <c r="W235" s="74" t="n"/>
      <c r="X235" s="74" t="n"/>
      <c r="Y235" s="74" t="n"/>
      <c r="Z235" s="74" t="n"/>
      <c r="AA235" s="74" t="n"/>
      <c r="AB235" s="74" t="n"/>
      <c r="AC235" s="74" t="n"/>
      <c r="AD235" s="74" t="n"/>
      <c r="AE235" s="74" t="n"/>
      <c r="AF235" s="74" t="n"/>
      <c r="AG235" s="74" t="n"/>
      <c r="AH235" s="74" t="n"/>
      <c r="AI235" s="74" t="n"/>
      <c r="AJ235" s="74" t="n"/>
      <c r="AK235" s="74" t="n"/>
      <c r="AL235" s="74" t="n"/>
      <c r="AM235" s="74" t="n"/>
      <c r="AN235" s="74" t="n"/>
      <c r="AO235" s="74" t="n"/>
      <c r="AP235" s="74" t="n"/>
      <c r="AQ235" s="74" t="n"/>
      <c r="AR235" s="74" t="n"/>
      <c r="AS235" s="74" t="n"/>
      <c r="AT235" s="74" t="n"/>
      <c r="AU235" s="74" t="n"/>
      <c r="AV235" s="74" t="n"/>
      <c r="AX235" s="138" t="n"/>
      <c r="AY235" s="138" t="n"/>
      <c r="AZ235" s="6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  <c r="W236" s="74" t="n"/>
      <c r="X236" s="74" t="n"/>
      <c r="Y236" s="74" t="n"/>
      <c r="Z236" s="74" t="n"/>
      <c r="AA236" s="74" t="n"/>
      <c r="AB236" s="74" t="n"/>
      <c r="AC236" s="74" t="n"/>
      <c r="AD236" s="74" t="n"/>
      <c r="AE236" s="74" t="n"/>
      <c r="AF236" s="74" t="n"/>
      <c r="AG236" s="74" t="n"/>
      <c r="AH236" s="74" t="n"/>
      <c r="AI236" s="74" t="n"/>
      <c r="AJ236" s="74" t="n"/>
      <c r="AK236" s="74" t="n"/>
      <c r="AL236" s="74" t="n"/>
      <c r="AM236" s="74" t="n"/>
      <c r="AN236" s="74" t="n"/>
      <c r="AO236" s="74" t="n"/>
      <c r="AP236" s="74" t="n"/>
      <c r="AQ236" s="74" t="n"/>
      <c r="AR236" s="74" t="n"/>
      <c r="AS236" s="74" t="n"/>
      <c r="AT236" s="74" t="n"/>
      <c r="AU236" s="74" t="n"/>
      <c r="AV236" s="74" t="n"/>
      <c r="AX236" s="138" t="n"/>
      <c r="AY236" s="138" t="n"/>
      <c r="AZ236" s="6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  <c r="W237" s="74" t="n"/>
      <c r="X237" s="74" t="n"/>
      <c r="Y237" s="74" t="n"/>
      <c r="Z237" s="74" t="n"/>
      <c r="AA237" s="74" t="n"/>
      <c r="AB237" s="74" t="n"/>
      <c r="AC237" s="74" t="n"/>
      <c r="AD237" s="74" t="n"/>
      <c r="AE237" s="74" t="n"/>
      <c r="AF237" s="74" t="n"/>
      <c r="AG237" s="74" t="n"/>
      <c r="AH237" s="74" t="n"/>
      <c r="AI237" s="74" t="n"/>
      <c r="AJ237" s="74" t="n"/>
      <c r="AK237" s="74" t="n"/>
      <c r="AL237" s="74" t="n"/>
      <c r="AM237" s="74" t="n"/>
      <c r="AN237" s="74" t="n"/>
      <c r="AO237" s="74" t="n"/>
      <c r="AP237" s="74" t="n"/>
      <c r="AQ237" s="74" t="n"/>
      <c r="AR237" s="74" t="n"/>
      <c r="AS237" s="74" t="n"/>
      <c r="AT237" s="74" t="n"/>
      <c r="AU237" s="74" t="n"/>
      <c r="AV237" s="74" t="n"/>
      <c r="AX237" s="138" t="n"/>
      <c r="AY237" s="138" t="n"/>
      <c r="AZ237" s="6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  <c r="W238" s="74" t="n"/>
      <c r="X238" s="74" t="n"/>
      <c r="Y238" s="74" t="n"/>
      <c r="Z238" s="74" t="n"/>
      <c r="AA238" s="74" t="n"/>
      <c r="AB238" s="74" t="n"/>
      <c r="AC238" s="74" t="n"/>
      <c r="AD238" s="74" t="n"/>
      <c r="AE238" s="74" t="n"/>
      <c r="AF238" s="74" t="n"/>
      <c r="AG238" s="74" t="n"/>
      <c r="AH238" s="74" t="n"/>
      <c r="AI238" s="74" t="n"/>
      <c r="AJ238" s="74" t="n"/>
      <c r="AK238" s="74" t="n"/>
      <c r="AL238" s="74" t="n"/>
      <c r="AM238" s="74" t="n"/>
      <c r="AN238" s="74" t="n"/>
      <c r="AO238" s="74" t="n"/>
      <c r="AP238" s="74" t="n"/>
      <c r="AQ238" s="74" t="n"/>
      <c r="AR238" s="74" t="n"/>
      <c r="AS238" s="74" t="n"/>
      <c r="AT238" s="74" t="n"/>
      <c r="AU238" s="74" t="n"/>
      <c r="AV238" s="74" t="n"/>
      <c r="AX238" s="138" t="n"/>
      <c r="AY238" s="138" t="n"/>
      <c r="AZ238" s="6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  <c r="W239" s="74" t="n"/>
      <c r="X239" s="74" t="n"/>
      <c r="Y239" s="74" t="n"/>
      <c r="Z239" s="74" t="n"/>
      <c r="AA239" s="74" t="n"/>
      <c r="AB239" s="74" t="n"/>
      <c r="AC239" s="74" t="n"/>
      <c r="AD239" s="74" t="n"/>
      <c r="AE239" s="74" t="n"/>
      <c r="AF239" s="74" t="n"/>
      <c r="AG239" s="74" t="n"/>
      <c r="AH239" s="74" t="n"/>
      <c r="AI239" s="74" t="n"/>
      <c r="AJ239" s="74" t="n"/>
      <c r="AK239" s="74" t="n"/>
      <c r="AL239" s="74" t="n"/>
      <c r="AM239" s="74" t="n"/>
      <c r="AN239" s="74" t="n"/>
      <c r="AO239" s="74" t="n"/>
      <c r="AP239" s="74" t="n"/>
      <c r="AQ239" s="74" t="n"/>
      <c r="AR239" s="74" t="n"/>
      <c r="AS239" s="74" t="n"/>
      <c r="AT239" s="74" t="n"/>
      <c r="AU239" s="74" t="n"/>
      <c r="AV239" s="74" t="n"/>
      <c r="AX239" s="138" t="n"/>
      <c r="AY239" s="138" t="n"/>
      <c r="AZ239" s="6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  <c r="W240" s="74" t="n"/>
      <c r="X240" s="74" t="n"/>
      <c r="Y240" s="74" t="n"/>
      <c r="Z240" s="74" t="n"/>
      <c r="AA240" s="74" t="n"/>
      <c r="AB240" s="74" t="n"/>
      <c r="AC240" s="74" t="n"/>
      <c r="AD240" s="74" t="n"/>
      <c r="AE240" s="74" t="n"/>
      <c r="AF240" s="74" t="n"/>
      <c r="AG240" s="74" t="n"/>
      <c r="AH240" s="74" t="n"/>
      <c r="AI240" s="74" t="n"/>
      <c r="AJ240" s="74" t="n"/>
      <c r="AK240" s="74" t="n"/>
      <c r="AL240" s="74" t="n"/>
      <c r="AM240" s="74" t="n"/>
      <c r="AN240" s="74" t="n"/>
      <c r="AO240" s="74" t="n"/>
      <c r="AP240" s="74" t="n"/>
      <c r="AQ240" s="74" t="n"/>
      <c r="AR240" s="74" t="n"/>
      <c r="AS240" s="74" t="n"/>
      <c r="AT240" s="74" t="n"/>
      <c r="AU240" s="74" t="n"/>
      <c r="AV240" s="74" t="n"/>
      <c r="AX240" s="138" t="n"/>
      <c r="AY240" s="138" t="n"/>
      <c r="AZ240" s="6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  <c r="W241" s="74" t="n"/>
      <c r="X241" s="74" t="n"/>
      <c r="Y241" s="74" t="n"/>
      <c r="Z241" s="74" t="n"/>
      <c r="AA241" s="74" t="n"/>
      <c r="AB241" s="74" t="n"/>
      <c r="AC241" s="74" t="n"/>
      <c r="AD241" s="74" t="n"/>
      <c r="AE241" s="74" t="n"/>
      <c r="AF241" s="74" t="n"/>
      <c r="AG241" s="74" t="n"/>
      <c r="AH241" s="74" t="n"/>
      <c r="AI241" s="74" t="n"/>
      <c r="AJ241" s="74" t="n"/>
      <c r="AK241" s="74" t="n"/>
      <c r="AL241" s="74" t="n"/>
      <c r="AM241" s="74" t="n"/>
      <c r="AN241" s="74" t="n"/>
      <c r="AO241" s="74" t="n"/>
      <c r="AP241" s="74" t="n"/>
      <c r="AQ241" s="74" t="n"/>
      <c r="AR241" s="74" t="n"/>
      <c r="AS241" s="74" t="n"/>
      <c r="AT241" s="74" t="n"/>
      <c r="AU241" s="74" t="n"/>
      <c r="AV241" s="74" t="n"/>
      <c r="AX241" s="138" t="n"/>
      <c r="AY241" s="138" t="n"/>
      <c r="AZ241" s="6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  <c r="W242" s="74" t="n"/>
      <c r="X242" s="74" t="n"/>
      <c r="Y242" s="74" t="n"/>
      <c r="Z242" s="74" t="n"/>
      <c r="AA242" s="74" t="n"/>
      <c r="AB242" s="74" t="n"/>
      <c r="AC242" s="74" t="n"/>
      <c r="AD242" s="74" t="n"/>
      <c r="AE242" s="74" t="n"/>
      <c r="AF242" s="74" t="n"/>
      <c r="AG242" s="74" t="n"/>
      <c r="AH242" s="74" t="n"/>
      <c r="AI242" s="74" t="n"/>
      <c r="AJ242" s="74" t="n"/>
      <c r="AK242" s="74" t="n"/>
      <c r="AL242" s="74" t="n"/>
      <c r="AM242" s="74" t="n"/>
      <c r="AN242" s="74" t="n"/>
      <c r="AO242" s="74" t="n"/>
      <c r="AP242" s="74" t="n"/>
      <c r="AQ242" s="74" t="n"/>
      <c r="AR242" s="74" t="n"/>
      <c r="AS242" s="74" t="n"/>
      <c r="AT242" s="74" t="n"/>
      <c r="AU242" s="74" t="n"/>
      <c r="AV242" s="74" t="n"/>
      <c r="AX242" s="138" t="n"/>
      <c r="AY242" s="138" t="n"/>
      <c r="AZ242" s="6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  <c r="W243" s="74" t="n"/>
      <c r="X243" s="74" t="n"/>
      <c r="Y243" s="74" t="n"/>
      <c r="Z243" s="74" t="n"/>
      <c r="AA243" s="74" t="n"/>
      <c r="AB243" s="74" t="n"/>
      <c r="AC243" s="74" t="n"/>
      <c r="AD243" s="74" t="n"/>
      <c r="AE243" s="74" t="n"/>
      <c r="AF243" s="74" t="n"/>
      <c r="AG243" s="74" t="n"/>
      <c r="AH243" s="74" t="n"/>
      <c r="AI243" s="74" t="n"/>
      <c r="AJ243" s="74" t="n"/>
      <c r="AK243" s="74" t="n"/>
      <c r="AL243" s="74" t="n"/>
      <c r="AM243" s="74" t="n"/>
      <c r="AN243" s="74" t="n"/>
      <c r="AO243" s="74" t="n"/>
      <c r="AP243" s="74" t="n"/>
      <c r="AQ243" s="74" t="n"/>
      <c r="AR243" s="74" t="n"/>
      <c r="AS243" s="74" t="n"/>
      <c r="AT243" s="74" t="n"/>
      <c r="AU243" s="74" t="n"/>
      <c r="AV243" s="74" t="n"/>
      <c r="AX243" s="138" t="n"/>
      <c r="AY243" s="138" t="n"/>
      <c r="AZ243" s="6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8" t="n"/>
      <c r="AY244" s="138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8" t="n"/>
      <c r="AY245" s="138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8" t="n"/>
      <c r="AY246" s="138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8" t="n"/>
      <c r="AY247" s="138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8" t="n"/>
      <c r="AY248" s="138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8" t="n"/>
      <c r="AY249" s="138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8" t="n"/>
      <c r="AY250" s="138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8" t="n"/>
      <c r="AY251" s="138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8" t="n"/>
      <c r="AY252" s="138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8" t="n"/>
      <c r="AY253" s="138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8" t="n"/>
      <c r="AY254" s="138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8" t="n"/>
      <c r="AY255" s="138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8" t="n"/>
      <c r="AY256" s="138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8" t="n"/>
      <c r="AY257" s="138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8" t="n"/>
      <c r="AY258" s="138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8" t="n"/>
      <c r="AY259" s="138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8" t="n"/>
      <c r="AY260" s="138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8" t="n"/>
      <c r="AY261" s="138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8" t="n"/>
      <c r="AY262" s="138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8" t="n"/>
      <c r="AY263" s="138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8" t="n"/>
      <c r="AY264" s="138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8" t="n"/>
      <c r="AY265" s="138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8" t="n"/>
      <c r="AY266" s="138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8" t="n"/>
      <c r="AY267" s="138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8" t="n"/>
      <c r="AY268" s="138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8" t="n"/>
      <c r="AY269" s="138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8" t="n"/>
      <c r="AY270" s="138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8" t="n"/>
      <c r="AY271" s="138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8" t="n"/>
      <c r="AY272" s="138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8" t="n"/>
      <c r="AY273" s="138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8" t="n"/>
      <c r="AY274" s="138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8" t="n"/>
      <c r="AY275" s="138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8" t="n"/>
      <c r="AY276" s="138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8" t="n"/>
      <c r="AY277" s="138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8" t="n"/>
      <c r="AY278" s="138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8" t="n"/>
      <c r="AY279" s="138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8" t="n"/>
      <c r="AY280" s="138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8" t="n"/>
      <c r="AY281" s="138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8" t="n"/>
      <c r="AY282" s="138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8" t="n"/>
      <c r="AY283" s="138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8" t="n"/>
      <c r="AY284" s="138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8" t="n"/>
      <c r="AY285" s="138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8" t="n"/>
      <c r="AY286" s="138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8" t="n"/>
      <c r="AY287" s="138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8" t="n"/>
      <c r="AY288" s="138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8" t="n"/>
      <c r="AY289" s="138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8" t="n"/>
      <c r="AY290" s="138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8" t="n"/>
      <c r="AY291" s="138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8" t="n"/>
      <c r="AY292" s="138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8" t="n"/>
      <c r="AY293" s="138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8" t="n"/>
      <c r="AY294" s="138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8" t="n"/>
      <c r="AY295" s="138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8" t="n"/>
      <c r="AY296" s="138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8" t="n"/>
      <c r="AY297" s="138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8" t="n"/>
      <c r="AY298" s="138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8" t="n"/>
      <c r="AY299" s="138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8" t="n"/>
      <c r="AY300" s="138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8" t="n"/>
      <c r="AY301" s="138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8" t="n"/>
      <c r="AY302" s="138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8" t="n"/>
      <c r="AY303" s="138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8" t="n"/>
      <c r="AY304" s="138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8" t="n"/>
      <c r="AY305" s="138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8" t="n"/>
      <c r="AY306" s="138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8" t="n"/>
      <c r="AY307" s="138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8" t="n"/>
      <c r="AY308" s="138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8" t="n"/>
      <c r="AY309" s="138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8" t="n"/>
      <c r="AY310" s="138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8" t="n"/>
      <c r="AY311" s="138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8" t="n"/>
      <c r="AY312" s="138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8" t="n"/>
      <c r="AY313" s="138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8" t="n"/>
      <c r="AY314" s="138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8" t="n"/>
      <c r="AY315" s="138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8" t="n"/>
      <c r="AY316" s="138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8" t="n"/>
      <c r="AY317" s="138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8" t="n"/>
      <c r="AY318" s="138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8" t="n"/>
      <c r="AY319" s="138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8" t="n"/>
      <c r="AY320" s="138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8" t="n"/>
      <c r="AY321" s="138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8" t="n"/>
      <c r="AY322" s="138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8" t="n"/>
      <c r="AY323" s="138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8" t="n"/>
      <c r="AY324" s="138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8" t="n"/>
      <c r="AY325" s="138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8" t="n"/>
      <c r="AY326" s="138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8" t="n"/>
      <c r="AY327" s="138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8" t="n"/>
      <c r="AY328" s="138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8" t="n"/>
      <c r="AY329" s="138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8" t="n"/>
      <c r="AY330" s="138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8" t="n"/>
      <c r="AY331" s="138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8" t="n"/>
      <c r="AY332" s="138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8" t="n"/>
      <c r="AY333" s="138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8" t="n"/>
      <c r="AY334" s="138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8" t="n"/>
      <c r="AY335" s="138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8" t="n"/>
      <c r="AY336" s="138" t="n"/>
      <c r="AZ336" s="138" t="n"/>
      <c r="BA336" s="121" t="inlineStr">
        <is>
          <t>20평대</t>
        </is>
      </c>
      <c r="BB336" s="139" t="n">
        <v>0</v>
      </c>
      <c r="BC336" s="139" t="n">
        <v>0</v>
      </c>
      <c r="BD336" s="139" t="n">
        <v>0</v>
      </c>
      <c r="BE336" s="139" t="n">
        <v>0</v>
      </c>
      <c r="BF336" s="139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8" t="n"/>
      <c r="AY337" s="138" t="n"/>
      <c r="AZ337" s="138" t="n"/>
      <c r="BA337" s="121" t="inlineStr">
        <is>
          <t>30평대</t>
        </is>
      </c>
      <c r="BB337" s="139" t="n">
        <v>0</v>
      </c>
      <c r="BC337" s="139" t="n">
        <v>0</v>
      </c>
      <c r="BD337" s="139" t="n">
        <v>0</v>
      </c>
      <c r="BE337" s="139" t="n">
        <v>0</v>
      </c>
      <c r="BF337" s="139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8" t="n"/>
      <c r="AY338" s="138" t="n"/>
      <c r="AZ338" s="138" t="n"/>
      <c r="BA338" s="73" t="inlineStr">
        <is>
          <t>40평대↑</t>
        </is>
      </c>
      <c r="BB338" s="140" t="n">
        <v>0</v>
      </c>
      <c r="BC338" s="140" t="n">
        <v>0</v>
      </c>
      <c r="BD338" s="140" t="n">
        <v>0</v>
      </c>
      <c r="BE338" s="140" t="n">
        <v>0</v>
      </c>
      <c r="BF338" s="140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8" t="n"/>
      <c r="AY339" s="138" t="n"/>
      <c r="AZ339" s="138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8" t="n"/>
      <c r="AY340" s="138" t="n"/>
      <c r="AZ340" s="138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8" t="n"/>
      <c r="AY341" s="138" t="n"/>
      <c r="BA341" s="121" t="inlineStr">
        <is>
          <t>20평대</t>
        </is>
      </c>
      <c r="BB341" s="141" t="e">
        <v>#DIV/0!</v>
      </c>
      <c r="BC341" s="141" t="e">
        <v>#DIV/0!</v>
      </c>
      <c r="BD341" s="141" t="e">
        <v>#DIV/0!</v>
      </c>
      <c r="BE341" s="141" t="e">
        <v>#DIV/0!</v>
      </c>
      <c r="BF341" s="141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8" t="n"/>
      <c r="AY342" s="138" t="n"/>
      <c r="BA342" s="73" t="inlineStr">
        <is>
          <t>40평대↑</t>
        </is>
      </c>
      <c r="BB342" s="142" t="e">
        <v>#DIV/0!</v>
      </c>
      <c r="BC342" s="142" t="e">
        <v>#DIV/0!</v>
      </c>
      <c r="BD342" s="142" t="e">
        <v>#DIV/0!</v>
      </c>
      <c r="BE342" s="142" t="e">
        <v>#DIV/0!</v>
      </c>
      <c r="BF342" s="142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8" t="n"/>
      <c r="AY343" s="138" t="n"/>
      <c r="BA343" s="121" t="inlineStr">
        <is>
          <t>합계</t>
        </is>
      </c>
      <c r="BB343" s="141" t="e">
        <v>#DIV/0!</v>
      </c>
      <c r="BC343" s="141" t="e">
        <v>#DIV/0!</v>
      </c>
      <c r="BD343" s="141" t="e">
        <v>#DIV/0!</v>
      </c>
      <c r="BE343" s="141" t="e">
        <v>#DIV/0!</v>
      </c>
      <c r="BF343" s="141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8" t="n"/>
      <c r="AY344" s="138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8" t="n"/>
      <c r="AY345" s="138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8" t="n"/>
      <c r="AY346" s="138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8" t="n"/>
      <c r="AY347" s="138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8" t="n"/>
      <c r="AY348" s="138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8" t="n"/>
      <c r="AY349" s="138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8" t="n"/>
      <c r="AY350" s="138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8" t="n"/>
      <c r="AY351" s="138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8" t="n"/>
      <c r="AY352" s="138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8" t="n"/>
      <c r="AY353" s="138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8" t="n"/>
      <c r="AY354" s="138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8" t="n"/>
      <c r="AY355" s="138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8" t="n"/>
      <c r="AY356" s="138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8" t="n"/>
      <c r="AY357" s="138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8" t="n"/>
      <c r="AY358" s="138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8" t="n"/>
      <c r="AY359" s="138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8" t="n"/>
      <c r="AY360" s="138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8" t="n"/>
      <c r="AY361" s="138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8" t="n"/>
      <c r="AY362" s="138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8" t="n"/>
      <c r="AY363" s="138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8" t="n"/>
      <c r="AY364" s="138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8" t="n"/>
      <c r="AY365" s="138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8" t="n"/>
      <c r="AY366" s="138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8" t="n"/>
      <c r="AY367" s="138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8" t="n"/>
      <c r="AY368" s="138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8" t="n"/>
      <c r="AY369" s="138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8" t="n"/>
      <c r="AY370" s="138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8" t="n"/>
      <c r="AY371" s="138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8" t="n"/>
      <c r="AY372" s="138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8" t="n"/>
      <c r="AY373" s="138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8" t="n"/>
      <c r="AY374" s="138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8" t="n"/>
      <c r="AY375" s="138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8" t="n"/>
      <c r="AY376" s="138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8" t="n"/>
      <c r="AY377" s="138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8" t="n"/>
      <c r="AY378" s="138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8" t="n"/>
      <c r="AY379" s="138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8" t="n"/>
      <c r="AY380" s="138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8" t="n"/>
      <c r="AY381" s="138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8" t="n"/>
      <c r="AY382" s="138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8" t="n"/>
      <c r="AY383" s="138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8" t="n"/>
      <c r="AY384" s="138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8" t="n"/>
      <c r="AY385" s="138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8" t="n"/>
      <c r="AY386" s="138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8" t="n"/>
      <c r="AY387" s="138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8" t="n"/>
      <c r="AY388" s="138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8" t="n"/>
      <c r="AY389" s="138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8" t="n"/>
      <c r="AY390" s="138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8" t="n"/>
      <c r="AY391" s="138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8" t="n"/>
      <c r="AY392" s="138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8" t="n"/>
      <c r="AY393" s="138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8" t="n"/>
      <c r="AY394" s="138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8" t="n"/>
      <c r="AY395" s="138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8" t="n"/>
      <c r="AY396" s="138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8" t="n"/>
      <c r="AY397" s="138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8" t="n"/>
      <c r="AY398" s="138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8" t="n"/>
      <c r="AY399" s="138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8" t="n"/>
      <c r="AY400" s="138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8" t="n"/>
      <c r="AY401" s="138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8" t="n"/>
      <c r="AY402" s="138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8" t="n"/>
      <c r="AY403" s="138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8" t="n"/>
      <c r="AY407" s="138" t="n"/>
      <c r="AZ407" s="138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8" t="n"/>
      <c r="AY409" s="138" t="n"/>
      <c r="BA409" s="121" t="inlineStr">
        <is>
          <t>20평대</t>
        </is>
      </c>
      <c r="BB409" s="141" t="e">
        <v>#DIV/0!</v>
      </c>
      <c r="BC409" s="141" t="e">
        <v>#DIV/0!</v>
      </c>
      <c r="BD409" s="141" t="e">
        <v>#DIV/0!</v>
      </c>
      <c r="BE409" s="141" t="e">
        <v>#DIV/0!</v>
      </c>
      <c r="BF409" s="141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8" t="n"/>
      <c r="AY410" s="138" t="n"/>
      <c r="BA410" s="121" t="inlineStr">
        <is>
          <t>30평대</t>
        </is>
      </c>
      <c r="BB410" s="141" t="e">
        <v>#DIV/0!</v>
      </c>
      <c r="BC410" s="141" t="e">
        <v>#DIV/0!</v>
      </c>
      <c r="BD410" s="141" t="e">
        <v>#DIV/0!</v>
      </c>
      <c r="BE410" s="141" t="e">
        <v>#DIV/0!</v>
      </c>
      <c r="BF410" s="141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8" t="n"/>
      <c r="AY411" s="138" t="n"/>
      <c r="BA411" s="121" t="inlineStr">
        <is>
          <t>합계</t>
        </is>
      </c>
      <c r="BB411" s="141" t="e">
        <v>#DIV/0!</v>
      </c>
      <c r="BC411" s="141" t="e">
        <v>#DIV/0!</v>
      </c>
      <c r="BD411" s="141" t="e">
        <v>#DIV/0!</v>
      </c>
      <c r="BE411" s="141" t="e">
        <v>#DIV/0!</v>
      </c>
      <c r="BF411" s="141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8" t="n"/>
      <c r="AY412" s="138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8" t="n"/>
      <c r="AY413" s="138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8" t="n"/>
      <c r="AY414" s="138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8" t="n"/>
      <c r="AY415" s="138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8" t="n"/>
      <c r="AY416" s="138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8" t="n"/>
      <c r="AY417" s="138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8" t="n"/>
      <c r="AY418" s="138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8" t="n"/>
      <c r="AY419" s="138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8" t="n"/>
      <c r="AY420" s="138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8" t="n"/>
      <c r="AY421" s="138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8" t="n"/>
      <c r="AY424" s="138" t="n"/>
      <c r="AZ424" s="138" t="n"/>
      <c r="BA424" s="73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8" t="n"/>
      <c r="AY425" s="138" t="n"/>
      <c r="AZ425" s="138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8" t="n"/>
      <c r="AY426" s="138" t="n"/>
      <c r="AZ426" s="138" t="n"/>
      <c r="BA426" s="121" t="inlineStr">
        <is>
          <t>10평대</t>
        </is>
      </c>
      <c r="BB426" s="141" t="e">
        <v>#DIV/0!</v>
      </c>
      <c r="BC426" s="141" t="e">
        <v>#DIV/0!</v>
      </c>
      <c r="BD426" s="141" t="e">
        <v>#DIV/0!</v>
      </c>
      <c r="BE426" s="141" t="e">
        <v>#DIV/0!</v>
      </c>
      <c r="BF426" s="141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8" t="n"/>
      <c r="AY427" s="138" t="n"/>
      <c r="BA427" s="121" t="inlineStr">
        <is>
          <t>30평대</t>
        </is>
      </c>
      <c r="BB427" s="141" t="e">
        <v>#DIV/0!</v>
      </c>
      <c r="BC427" s="141" t="e">
        <v>#DIV/0!</v>
      </c>
      <c r="BD427" s="141" t="e">
        <v>#DIV/0!</v>
      </c>
      <c r="BE427" s="141" t="e">
        <v>#DIV/0!</v>
      </c>
      <c r="BF427" s="141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8" t="n"/>
      <c r="AY428" s="138" t="n"/>
      <c r="BA428" s="73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8" t="n"/>
      <c r="AY429" s="138" t="n"/>
      <c r="BA429" s="121" t="inlineStr">
        <is>
          <t>합계</t>
        </is>
      </c>
      <c r="BB429" s="141" t="e">
        <v>#DIV/0!</v>
      </c>
      <c r="BC429" s="141" t="e">
        <v>#DIV/0!</v>
      </c>
      <c r="BD429" s="141" t="e">
        <v>#DIV/0!</v>
      </c>
      <c r="BE429" s="141" t="e">
        <v>#DIV/0!</v>
      </c>
      <c r="BF429" s="141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8" t="n"/>
      <c r="AY430" s="138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8" t="n"/>
      <c r="AY431" s="138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8" t="n"/>
      <c r="AY432" s="138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8" t="n"/>
      <c r="AY433" s="138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8" t="n"/>
      <c r="AY434" s="138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8" t="n"/>
      <c r="AY435" s="138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8" t="n"/>
      <c r="AY436" s="138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8" t="n"/>
      <c r="AY437" s="138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8" t="n"/>
      <c r="AY438" s="138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8" t="n"/>
      <c r="AY439" s="138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8" t="n"/>
      <c r="AY440" s="138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8" t="n"/>
      <c r="AY441" s="138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8" t="n"/>
      <c r="AY442" s="138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8" t="n"/>
      <c r="AY443" s="138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8" t="n"/>
      <c r="AY444" s="138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8" t="n"/>
      <c r="AY445" s="138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8" t="n"/>
      <c r="AY446" s="138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8" t="n"/>
      <c r="AY447" s="138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8" t="n"/>
      <c r="AY448" s="138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8" t="n"/>
      <c r="AY449" s="138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8" t="n"/>
      <c r="AY450" s="138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8" t="n"/>
      <c r="AY451" s="138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8" t="n"/>
      <c r="AY452" s="138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8" t="n"/>
      <c r="AY453" s="138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8" t="n"/>
      <c r="AY454" s="138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8" t="n"/>
      <c r="AY455" s="138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8" t="n"/>
      <c r="AY456" s="138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8" t="n"/>
      <c r="AY457" s="138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8" t="n"/>
      <c r="AY458" s="138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8" t="n"/>
      <c r="AY459" s="138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8" t="n"/>
      <c r="AY460" s="138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8" t="n"/>
      <c r="AY461" s="138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8" t="n"/>
      <c r="AY462" s="138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8" t="n"/>
      <c r="AY463" s="138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8" t="n"/>
      <c r="AY466" s="138" t="n"/>
      <c r="AZ466" s="138" t="n"/>
      <c r="BA466" s="73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8" t="n"/>
      <c r="AY469" s="138" t="n"/>
      <c r="AZ469" s="138" t="n"/>
      <c r="BA469" s="121" t="inlineStr">
        <is>
          <t>10평대</t>
        </is>
      </c>
      <c r="BB469" s="141" t="e">
        <v>#DIV/0!</v>
      </c>
      <c r="BC469" s="141" t="e">
        <v>#DIV/0!</v>
      </c>
      <c r="BD469" s="141" t="e">
        <v>#DIV/0!</v>
      </c>
      <c r="BE469" s="141" t="e">
        <v>#DIV/0!</v>
      </c>
      <c r="BF469" s="141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8" t="n"/>
      <c r="AY470" s="138" t="n"/>
      <c r="BA470" s="121" t="inlineStr">
        <is>
          <t>20평대</t>
        </is>
      </c>
      <c r="BB470" s="141" t="e">
        <v>#DIV/0!</v>
      </c>
      <c r="BC470" s="141" t="e">
        <v>#DIV/0!</v>
      </c>
      <c r="BD470" s="141" t="e">
        <v>#DIV/0!</v>
      </c>
      <c r="BE470" s="141" t="e">
        <v>#DIV/0!</v>
      </c>
      <c r="BF470" s="141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8" t="n"/>
      <c r="AY471" s="138" t="n"/>
      <c r="BA471" s="73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8" t="n"/>
      <c r="AY472" s="138" t="n"/>
      <c r="BA472" s="121" t="inlineStr">
        <is>
          <t>합계</t>
        </is>
      </c>
      <c r="BB472" s="141" t="e">
        <v>#DIV/0!</v>
      </c>
      <c r="BC472" s="141" t="e">
        <v>#DIV/0!</v>
      </c>
      <c r="BD472" s="141" t="e">
        <v>#DIV/0!</v>
      </c>
      <c r="BE472" s="141" t="e">
        <v>#DIV/0!</v>
      </c>
      <c r="BF472" s="141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8" t="n"/>
      <c r="AY473" s="138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8" t="n"/>
      <c r="AY474" s="138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8" t="n"/>
      <c r="AY475" s="138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8" t="n"/>
      <c r="AY476" s="138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8" t="n"/>
      <c r="AY477" s="138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8" t="n"/>
      <c r="AY478" s="138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8" t="n"/>
      <c r="AY479" s="138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8" t="n"/>
      <c r="AY480" s="138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8" t="n"/>
      <c r="AY481" s="138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8" t="n"/>
      <c r="AY482" s="138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8" t="n"/>
      <c r="AY483" s="138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8" t="n"/>
      <c r="AY484" s="138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8" t="n"/>
      <c r="AY485" s="138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8" t="n"/>
      <c r="AY486" s="138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8" t="n"/>
      <c r="AY487" s="138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8" t="n"/>
      <c r="AY488" s="138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8" t="n"/>
      <c r="AY489" s="138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8" t="n"/>
      <c r="AY490" s="138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8" t="n"/>
      <c r="AY491" s="138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8" t="n"/>
      <c r="AY492" s="138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8" t="n"/>
      <c r="AY493" s="138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8" t="n"/>
      <c r="AY494" s="138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8" t="n"/>
      <c r="AY495" s="138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8" t="n"/>
      <c r="AY496" s="138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8" t="n"/>
      <c r="AY497" s="138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8" t="n"/>
      <c r="AY498" s="138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8" t="n"/>
      <c r="AY499" s="138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8" t="n"/>
      <c r="AY500" s="138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8" t="n"/>
      <c r="AY501" s="138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8" t="n"/>
      <c r="AY502" s="138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8" t="n"/>
      <c r="AY503" s="138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8" t="n"/>
      <c r="AY504" s="138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8" t="n"/>
      <c r="AY505" s="138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8" t="n"/>
      <c r="AY506" s="138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8" t="n"/>
      <c r="AY507" s="138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8" t="n"/>
      <c r="AY508" s="138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8" t="n"/>
      <c r="AY509" s="138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8" t="n"/>
      <c r="AY510" s="138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8" t="n"/>
      <c r="AY511" s="138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8" t="n"/>
      <c r="AY512" s="138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8" t="n"/>
      <c r="AY513" s="138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8" t="n"/>
      <c r="AY514" s="138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8" t="n"/>
      <c r="AY515" s="138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8" t="n"/>
      <c r="AY516" s="138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8" t="n"/>
      <c r="AY517" s="138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8" t="n"/>
      <c r="AY518" s="138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8" t="n"/>
      <c r="AY519" s="138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8" t="n"/>
      <c r="AY520" s="138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8" t="n"/>
      <c r="AY521" s="138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8" t="n"/>
      <c r="AY522" s="138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8" t="n"/>
      <c r="AY523" s="138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8" t="n"/>
      <c r="AY524" s="138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8" t="n"/>
      <c r="AY525" s="138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8" t="n"/>
      <c r="AY526" s="138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8" t="n"/>
      <c r="AY527" s="138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8" t="n"/>
      <c r="AY531" s="138" t="n"/>
      <c r="AZ531" s="138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8" t="n"/>
      <c r="AY533" s="138" t="n"/>
      <c r="BA533" s="121" t="inlineStr">
        <is>
          <t>20평대</t>
        </is>
      </c>
      <c r="BB533" s="141" t="e">
        <v>#DIV/0!</v>
      </c>
      <c r="BC533" s="141" t="e">
        <v>#DIV/0!</v>
      </c>
      <c r="BD533" s="141" t="e">
        <v>#DIV/0!</v>
      </c>
      <c r="BE533" s="141" t="e">
        <v>#DIV/0!</v>
      </c>
      <c r="BF533" s="141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8" t="n"/>
      <c r="AY534" s="138" t="n"/>
      <c r="BA534" s="121" t="inlineStr">
        <is>
          <t>30평대</t>
        </is>
      </c>
      <c r="BB534" s="141" t="e">
        <v>#DIV/0!</v>
      </c>
      <c r="BC534" s="141" t="e">
        <v>#DIV/0!</v>
      </c>
      <c r="BD534" s="141" t="e">
        <v>#DIV/0!</v>
      </c>
      <c r="BE534" s="141" t="e">
        <v>#DIV/0!</v>
      </c>
      <c r="BF534" s="141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8" t="n"/>
      <c r="AY535" s="138" t="n"/>
      <c r="BA535" s="121" t="inlineStr">
        <is>
          <t>합계</t>
        </is>
      </c>
      <c r="BB535" s="141" t="e">
        <v>#DIV/0!</v>
      </c>
      <c r="BC535" s="141" t="e">
        <v>#DIV/0!</v>
      </c>
      <c r="BD535" s="141" t="e">
        <v>#DIV/0!</v>
      </c>
      <c r="BE535" s="141" t="e">
        <v>#DIV/0!</v>
      </c>
      <c r="BF535" s="141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8" t="n"/>
      <c r="AY536" s="138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8" t="n"/>
      <c r="AY537" s="138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8" t="n"/>
      <c r="AY538" s="138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2928" operator="lessThan" dxfId="2">
      <formula>15.1</formula>
    </cfRule>
    <cfRule type="cellIs" priority="72929" operator="lessThan" dxfId="2562">
      <formula>18.1</formula>
    </cfRule>
    <cfRule type="cellIs" priority="72930" operator="lessThan" dxfId="2561">
      <formula>21.1</formula>
    </cfRule>
    <cfRule type="cellIs" priority="72931" operator="lessThan" dxfId="2560">
      <formula>24.1</formula>
    </cfRule>
    <cfRule type="cellIs" priority="72932" operator="lessThan" dxfId="1">
      <formula>30</formula>
    </cfRule>
    <cfRule type="cellIs" priority="72933" operator="lessThan" dxfId="2558">
      <formula>34.1</formula>
    </cfRule>
  </conditionalFormatting>
  <conditionalFormatting sqref="Z3">
    <cfRule type="colorScale" priority="7292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2925" operator="greaterThan" dxfId="17">
      <formula>0.9</formula>
    </cfRule>
    <cfRule type="cellIs" priority="72926" operator="greaterThan" dxfId="16">
      <formula>0.85</formula>
    </cfRule>
  </conditionalFormatting>
  <conditionalFormatting sqref="N2">
    <cfRule type="cellIs" priority="72923" operator="greaterThan" dxfId="17">
      <formula>0.9</formula>
    </cfRule>
    <cfRule type="cellIs" priority="72924" operator="greaterThan" dxfId="16">
      <formula>0.85</formula>
    </cfRule>
  </conditionalFormatting>
  <conditionalFormatting sqref="AV4">
    <cfRule type="expression" priority="1097" dxfId="23">
      <formula>AV4="X"</formula>
    </cfRule>
    <cfRule type="expression" priority="1098" dxfId="22">
      <formula>AV4="후보"</formula>
    </cfRule>
  </conditionalFormatting>
  <conditionalFormatting sqref="AC4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">
    <cfRule type="expression" priority="1089" dxfId="3">
      <formula>AND(IF(OR($Q4=1,$Q4=2),1,0),IF($X4&lt;=20,1,0))</formula>
    </cfRule>
    <cfRule type="expression" priority="1090" dxfId="2">
      <formula>AND(IF($Q4=2,1,0),IF($X4&lt;30,1,0))</formula>
    </cfRule>
    <cfRule type="expression" priority="1091" dxfId="1">
      <formula>AND(IF($Q4=3,1,0),IF($X4&lt;30,1,0))</formula>
    </cfRule>
    <cfRule type="expression" priority="1092" dxfId="0">
      <formula>AND(IF($Q4=3,1,IF($Q4=4,1,0)),IF($F4&lt;=85,1,0))</formula>
    </cfRule>
  </conditionalFormatting>
  <conditionalFormatting sqref="X4">
    <cfRule type="expression" priority="1085" dxfId="3">
      <formula>AND(IF(OR($Q4=1,$Q4=2),1,0),IF($X4&lt;=20,1,0))</formula>
    </cfRule>
    <cfRule type="expression" priority="1086" dxfId="2">
      <formula>AND(IF($Q4=2,1,0),IF($X4&lt;30,1,0))</formula>
    </cfRule>
    <cfRule type="expression" priority="1087" dxfId="1">
      <formula>AND(IF($Q4=3,1,0),IF($X4&lt;30,1,0))</formula>
    </cfRule>
    <cfRule type="expression" priority="1088" dxfId="0">
      <formula>AND(IF($Q4=3,1,IF($Q4=4,1,0)),IF($F4&lt;=85,1,0))</formula>
    </cfRule>
  </conditionalFormatting>
  <conditionalFormatting sqref="AI4">
    <cfRule type="expression" priority="1081" dxfId="3">
      <formula>AND(IF(OR($Q4=1,$Q4=2),1,0),IF($X4&lt;=20,1,0))</formula>
    </cfRule>
    <cfRule type="expression" priority="1082" dxfId="2">
      <formula>AND(IF($Q4=2,1,0),IF($X4&lt;30,1,0))</formula>
    </cfRule>
    <cfRule type="expression" priority="1083" dxfId="1">
      <formula>AND(IF($Q4=3,1,0),IF($X4&lt;30,1,0))</formula>
    </cfRule>
    <cfRule type="expression" priority="1084" dxfId="0">
      <formula>AND(IF($Q4=3,1,IF($Q4=4,1,0)),IF($F4&lt;=85,1,0))</formula>
    </cfRule>
  </conditionalFormatting>
  <conditionalFormatting sqref="AV5">
    <cfRule type="expression" priority="1079" dxfId="23">
      <formula>AV5="X"</formula>
    </cfRule>
    <cfRule type="expression" priority="1080" dxfId="22">
      <formula>AV5="후보"</formula>
    </cfRule>
  </conditionalFormatting>
  <conditionalFormatting sqref="AC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">
    <cfRule type="expression" priority="1071" dxfId="3">
      <formula>AND(IF(OR($Q5=1,$Q5=2),1,0),IF($X5&lt;=20,1,0))</formula>
    </cfRule>
    <cfRule type="expression" priority="1072" dxfId="2">
      <formula>AND(IF($Q5=2,1,0),IF($X5&lt;30,1,0))</formula>
    </cfRule>
    <cfRule type="expression" priority="1073" dxfId="1">
      <formula>AND(IF($Q5=3,1,0),IF($X5&lt;30,1,0))</formula>
    </cfRule>
    <cfRule type="expression" priority="1074" dxfId="0">
      <formula>AND(IF($Q5=3,1,IF($Q5=4,1,0)),IF($F5&lt;=85,1,0))</formula>
    </cfRule>
  </conditionalFormatting>
  <conditionalFormatting sqref="X5">
    <cfRule type="expression" priority="1067" dxfId="3">
      <formula>AND(IF(OR($Q5=1,$Q5=2),1,0),IF($X5&lt;=20,1,0))</formula>
    </cfRule>
    <cfRule type="expression" priority="1068" dxfId="2">
      <formula>AND(IF($Q5=2,1,0),IF($X5&lt;30,1,0))</formula>
    </cfRule>
    <cfRule type="expression" priority="1069" dxfId="1">
      <formula>AND(IF($Q5=3,1,0),IF($X5&lt;30,1,0))</formula>
    </cfRule>
    <cfRule type="expression" priority="1070" dxfId="0">
      <formula>AND(IF($Q5=3,1,IF($Q5=4,1,0)),IF($F5&lt;=85,1,0))</formula>
    </cfRule>
  </conditionalFormatting>
  <conditionalFormatting sqref="AI5">
    <cfRule type="expression" priority="1063" dxfId="3">
      <formula>AND(IF(OR($Q5=1,$Q5=2),1,0),IF($X5&lt;=20,1,0))</formula>
    </cfRule>
    <cfRule type="expression" priority="1064" dxfId="2">
      <formula>AND(IF($Q5=2,1,0),IF($X5&lt;30,1,0))</formula>
    </cfRule>
    <cfRule type="expression" priority="1065" dxfId="1">
      <formula>AND(IF($Q5=3,1,0),IF($X5&lt;30,1,0))</formula>
    </cfRule>
    <cfRule type="expression" priority="1066" dxfId="0">
      <formula>AND(IF($Q5=3,1,IF($Q5=4,1,0)),IF($F5&lt;=85,1,0))</formula>
    </cfRule>
  </conditionalFormatting>
  <conditionalFormatting sqref="AV6">
    <cfRule type="expression" priority="1061" dxfId="23">
      <formula>AV6="X"</formula>
    </cfRule>
    <cfRule type="expression" priority="1062" dxfId="22">
      <formula>AV6="후보"</formula>
    </cfRule>
  </conditionalFormatting>
  <conditionalFormatting sqref="AC6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">
    <cfRule type="expression" priority="1053" dxfId="3">
      <formula>AND(IF(OR($Q6=1,$Q6=2),1,0),IF($X6&lt;=20,1,0))</formula>
    </cfRule>
    <cfRule type="expression" priority="1054" dxfId="2">
      <formula>AND(IF($Q6=2,1,0),IF($X6&lt;30,1,0))</formula>
    </cfRule>
    <cfRule type="expression" priority="1055" dxfId="1">
      <formula>AND(IF($Q6=3,1,0),IF($X6&lt;30,1,0))</formula>
    </cfRule>
    <cfRule type="expression" priority="1056" dxfId="0">
      <formula>AND(IF($Q6=3,1,IF($Q6=4,1,0)),IF($F6&lt;=85,1,0))</formula>
    </cfRule>
  </conditionalFormatting>
  <conditionalFormatting sqref="X6">
    <cfRule type="expression" priority="1049" dxfId="3">
      <formula>AND(IF(OR($Q6=1,$Q6=2),1,0),IF($X6&lt;=20,1,0))</formula>
    </cfRule>
    <cfRule type="expression" priority="1050" dxfId="2">
      <formula>AND(IF($Q6=2,1,0),IF($X6&lt;30,1,0))</formula>
    </cfRule>
    <cfRule type="expression" priority="1051" dxfId="1">
      <formula>AND(IF($Q6=3,1,0),IF($X6&lt;30,1,0))</formula>
    </cfRule>
    <cfRule type="expression" priority="1052" dxfId="0">
      <formula>AND(IF($Q6=3,1,IF($Q6=4,1,0)),IF($F6&lt;=85,1,0))</formula>
    </cfRule>
  </conditionalFormatting>
  <conditionalFormatting sqref="AI6">
    <cfRule type="expression" priority="1045" dxfId="3">
      <formula>AND(IF(OR($Q6=1,$Q6=2),1,0),IF($X6&lt;=20,1,0))</formula>
    </cfRule>
    <cfRule type="expression" priority="1046" dxfId="2">
      <formula>AND(IF($Q6=2,1,0),IF($X6&lt;30,1,0))</formula>
    </cfRule>
    <cfRule type="expression" priority="1047" dxfId="1">
      <formula>AND(IF($Q6=3,1,0),IF($X6&lt;30,1,0))</formula>
    </cfRule>
    <cfRule type="expression" priority="1048" dxfId="0">
      <formula>AND(IF($Q6=3,1,IF($Q6=4,1,0)),IF($F6&lt;=85,1,0))</formula>
    </cfRule>
  </conditionalFormatting>
  <conditionalFormatting sqref="AV7">
    <cfRule type="expression" priority="1043" dxfId="23">
      <formula>AV7="X"</formula>
    </cfRule>
    <cfRule type="expression" priority="1044" dxfId="22">
      <formula>AV7="후보"</formula>
    </cfRule>
  </conditionalFormatting>
  <conditionalFormatting sqref="AC7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7">
    <cfRule type="expression" priority="1035" dxfId="3">
      <formula>AND(IF(OR($Q7=1,$Q7=2),1,0),IF($X7&lt;=20,1,0))</formula>
    </cfRule>
    <cfRule type="expression" priority="1036" dxfId="2">
      <formula>AND(IF($Q7=2,1,0),IF($X7&lt;30,1,0))</formula>
    </cfRule>
    <cfRule type="expression" priority="1037" dxfId="1">
      <formula>AND(IF($Q7=3,1,0),IF($X7&lt;30,1,0))</formula>
    </cfRule>
    <cfRule type="expression" priority="1038" dxfId="0">
      <formula>AND(IF($Q7=3,1,IF($Q7=4,1,0)),IF($F7&lt;=85,1,0))</formula>
    </cfRule>
  </conditionalFormatting>
  <conditionalFormatting sqref="X7">
    <cfRule type="expression" priority="1031" dxfId="3">
      <formula>AND(IF(OR($Q7=1,$Q7=2),1,0),IF($X7&lt;=20,1,0))</formula>
    </cfRule>
    <cfRule type="expression" priority="1032" dxfId="2">
      <formula>AND(IF($Q7=2,1,0),IF($X7&lt;30,1,0))</formula>
    </cfRule>
    <cfRule type="expression" priority="1033" dxfId="1">
      <formula>AND(IF($Q7=3,1,0),IF($X7&lt;30,1,0))</formula>
    </cfRule>
    <cfRule type="expression" priority="1034" dxfId="0">
      <formula>AND(IF($Q7=3,1,IF($Q7=4,1,0)),IF($F7&lt;=85,1,0))</formula>
    </cfRule>
  </conditionalFormatting>
  <conditionalFormatting sqref="AI7">
    <cfRule type="expression" priority="1027" dxfId="3">
      <formula>AND(IF(OR($Q7=1,$Q7=2),1,0),IF($X7&lt;=20,1,0))</formula>
    </cfRule>
    <cfRule type="expression" priority="1028" dxfId="2">
      <formula>AND(IF($Q7=2,1,0),IF($X7&lt;30,1,0))</formula>
    </cfRule>
    <cfRule type="expression" priority="1029" dxfId="1">
      <formula>AND(IF($Q7=3,1,0),IF($X7&lt;30,1,0))</formula>
    </cfRule>
    <cfRule type="expression" priority="1030" dxfId="0">
      <formula>AND(IF($Q7=3,1,IF($Q7=4,1,0)),IF($F7&lt;=85,1,0))</formula>
    </cfRule>
  </conditionalFormatting>
  <conditionalFormatting sqref="AV8">
    <cfRule type="expression" priority="1025" dxfId="23">
      <formula>AV8="X"</formula>
    </cfRule>
    <cfRule type="expression" priority="1026" dxfId="22">
      <formula>AV8="후보"</formula>
    </cfRule>
  </conditionalFormatting>
  <conditionalFormatting sqref="AC8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8">
    <cfRule type="expression" priority="1017" dxfId="3">
      <formula>AND(IF(OR($Q8=1,$Q8=2),1,0),IF($X8&lt;=20,1,0))</formula>
    </cfRule>
    <cfRule type="expression" priority="1018" dxfId="2">
      <formula>AND(IF($Q8=2,1,0),IF($X8&lt;30,1,0))</formula>
    </cfRule>
    <cfRule type="expression" priority="1019" dxfId="1">
      <formula>AND(IF($Q8=3,1,0),IF($X8&lt;30,1,0))</formula>
    </cfRule>
    <cfRule type="expression" priority="1020" dxfId="0">
      <formula>AND(IF($Q8=3,1,IF($Q8=4,1,0)),IF($F8&lt;=85,1,0))</formula>
    </cfRule>
  </conditionalFormatting>
  <conditionalFormatting sqref="X8">
    <cfRule type="expression" priority="1013" dxfId="3">
      <formula>AND(IF(OR($Q8=1,$Q8=2),1,0),IF($X8&lt;=20,1,0))</formula>
    </cfRule>
    <cfRule type="expression" priority="1014" dxfId="2">
      <formula>AND(IF($Q8=2,1,0),IF($X8&lt;30,1,0))</formula>
    </cfRule>
    <cfRule type="expression" priority="1015" dxfId="1">
      <formula>AND(IF($Q8=3,1,0),IF($X8&lt;30,1,0))</formula>
    </cfRule>
    <cfRule type="expression" priority="1016" dxfId="0">
      <formula>AND(IF($Q8=3,1,IF($Q8=4,1,0)),IF($F8&lt;=85,1,0))</formula>
    </cfRule>
  </conditionalFormatting>
  <conditionalFormatting sqref="AI8">
    <cfRule type="expression" priority="1009" dxfId="3">
      <formula>AND(IF(OR($Q8=1,$Q8=2),1,0),IF($X8&lt;=20,1,0))</formula>
    </cfRule>
    <cfRule type="expression" priority="1010" dxfId="2">
      <formula>AND(IF($Q8=2,1,0),IF($X8&lt;30,1,0))</formula>
    </cfRule>
    <cfRule type="expression" priority="1011" dxfId="1">
      <formula>AND(IF($Q8=3,1,0),IF($X8&lt;30,1,0))</formula>
    </cfRule>
    <cfRule type="expression" priority="1012" dxfId="0">
      <formula>AND(IF($Q8=3,1,IF($Q8=4,1,0)),IF($F8&lt;=85,1,0))</formula>
    </cfRule>
  </conditionalFormatting>
  <conditionalFormatting sqref="AV9">
    <cfRule type="expression" priority="1007" dxfId="23">
      <formula>AV9="X"</formula>
    </cfRule>
    <cfRule type="expression" priority="1008" dxfId="22">
      <formula>AV9="후보"</formula>
    </cfRule>
  </conditionalFormatting>
  <conditionalFormatting sqref="AC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9">
    <cfRule type="expression" priority="999" dxfId="3">
      <formula>AND(IF(OR($Q9=1,$Q9=2),1,0),IF($X9&lt;=20,1,0))</formula>
    </cfRule>
    <cfRule type="expression" priority="1000" dxfId="2">
      <formula>AND(IF($Q9=2,1,0),IF($X9&lt;30,1,0))</formula>
    </cfRule>
    <cfRule type="expression" priority="1001" dxfId="1">
      <formula>AND(IF($Q9=3,1,0),IF($X9&lt;30,1,0))</formula>
    </cfRule>
    <cfRule type="expression" priority="1002" dxfId="0">
      <formula>AND(IF($Q9=3,1,IF($Q9=4,1,0)),IF($F9&lt;=85,1,0))</formula>
    </cfRule>
  </conditionalFormatting>
  <conditionalFormatting sqref="X9">
    <cfRule type="expression" priority="995" dxfId="3">
      <formula>AND(IF(OR($Q9=1,$Q9=2),1,0),IF($X9&lt;=20,1,0))</formula>
    </cfRule>
    <cfRule type="expression" priority="996" dxfId="2">
      <formula>AND(IF($Q9=2,1,0),IF($X9&lt;30,1,0))</formula>
    </cfRule>
    <cfRule type="expression" priority="997" dxfId="1">
      <formula>AND(IF($Q9=3,1,0),IF($X9&lt;30,1,0))</formula>
    </cfRule>
    <cfRule type="expression" priority="998" dxfId="0">
      <formula>AND(IF($Q9=3,1,IF($Q9=4,1,0)),IF($F9&lt;=85,1,0))</formula>
    </cfRule>
  </conditionalFormatting>
  <conditionalFormatting sqref="AI9">
    <cfRule type="expression" priority="991" dxfId="3">
      <formula>AND(IF(OR($Q9=1,$Q9=2),1,0),IF($X9&lt;=20,1,0))</formula>
    </cfRule>
    <cfRule type="expression" priority="992" dxfId="2">
      <formula>AND(IF($Q9=2,1,0),IF($X9&lt;30,1,0))</formula>
    </cfRule>
    <cfRule type="expression" priority="993" dxfId="1">
      <formula>AND(IF($Q9=3,1,0),IF($X9&lt;30,1,0))</formula>
    </cfRule>
    <cfRule type="expression" priority="994" dxfId="0">
      <formula>AND(IF($Q9=3,1,IF($Q9=4,1,0)),IF($F9&lt;=85,1,0))</formula>
    </cfRule>
  </conditionalFormatting>
  <conditionalFormatting sqref="AV10">
    <cfRule type="expression" priority="989" dxfId="23">
      <formula>AV10="X"</formula>
    </cfRule>
    <cfRule type="expression" priority="990" dxfId="22">
      <formula>AV10="후보"</formula>
    </cfRule>
  </conditionalFormatting>
  <conditionalFormatting sqref="AC1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0">
    <cfRule type="expression" priority="981" dxfId="3">
      <formula>AND(IF(OR($Q10=1,$Q10=2),1,0),IF($X10&lt;=20,1,0))</formula>
    </cfRule>
    <cfRule type="expression" priority="982" dxfId="2">
      <formula>AND(IF($Q10=2,1,0),IF($X10&lt;30,1,0))</formula>
    </cfRule>
    <cfRule type="expression" priority="983" dxfId="1">
      <formula>AND(IF($Q10=3,1,0),IF($X10&lt;30,1,0))</formula>
    </cfRule>
    <cfRule type="expression" priority="984" dxfId="0">
      <formula>AND(IF($Q10=3,1,IF($Q10=4,1,0)),IF($F10&lt;=85,1,0))</formula>
    </cfRule>
  </conditionalFormatting>
  <conditionalFormatting sqref="X10">
    <cfRule type="expression" priority="977" dxfId="3">
      <formula>AND(IF(OR($Q10=1,$Q10=2),1,0),IF($X10&lt;=20,1,0))</formula>
    </cfRule>
    <cfRule type="expression" priority="978" dxfId="2">
      <formula>AND(IF($Q10=2,1,0),IF($X10&lt;30,1,0))</formula>
    </cfRule>
    <cfRule type="expression" priority="979" dxfId="1">
      <formula>AND(IF($Q10=3,1,0),IF($X10&lt;30,1,0))</formula>
    </cfRule>
    <cfRule type="expression" priority="980" dxfId="0">
      <formula>AND(IF($Q10=3,1,IF($Q10=4,1,0)),IF($F10&lt;=85,1,0))</formula>
    </cfRule>
  </conditionalFormatting>
  <conditionalFormatting sqref="AI10">
    <cfRule type="expression" priority="973" dxfId="3">
      <formula>AND(IF(OR($Q10=1,$Q10=2),1,0),IF($X10&lt;=20,1,0))</formula>
    </cfRule>
    <cfRule type="expression" priority="974" dxfId="2">
      <formula>AND(IF($Q10=2,1,0),IF($X10&lt;30,1,0))</formula>
    </cfRule>
    <cfRule type="expression" priority="975" dxfId="1">
      <formula>AND(IF($Q10=3,1,0),IF($X10&lt;30,1,0))</formula>
    </cfRule>
    <cfRule type="expression" priority="976" dxfId="0">
      <formula>AND(IF($Q10=3,1,IF($Q10=4,1,0)),IF($F10&lt;=85,1,0))</formula>
    </cfRule>
  </conditionalFormatting>
  <conditionalFormatting sqref="AV11">
    <cfRule type="expression" priority="971" dxfId="23">
      <formula>AV11="X"</formula>
    </cfRule>
    <cfRule type="expression" priority="972" dxfId="22">
      <formula>AV11="후보"</formula>
    </cfRule>
  </conditionalFormatting>
  <conditionalFormatting sqref="AC11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1">
    <cfRule type="expression" priority="963" dxfId="3">
      <formula>AND(IF(OR($Q11=1,$Q11=2),1,0),IF($X11&lt;=20,1,0))</formula>
    </cfRule>
    <cfRule type="expression" priority="964" dxfId="2">
      <formula>AND(IF($Q11=2,1,0),IF($X11&lt;30,1,0))</formula>
    </cfRule>
    <cfRule type="expression" priority="965" dxfId="1">
      <formula>AND(IF($Q11=3,1,0),IF($X11&lt;30,1,0))</formula>
    </cfRule>
    <cfRule type="expression" priority="966" dxfId="0">
      <formula>AND(IF($Q11=3,1,IF($Q11=4,1,0)),IF($F11&lt;=85,1,0))</formula>
    </cfRule>
  </conditionalFormatting>
  <conditionalFormatting sqref="X11">
    <cfRule type="expression" priority="959" dxfId="3">
      <formula>AND(IF(OR($Q11=1,$Q11=2),1,0),IF($X11&lt;=20,1,0))</formula>
    </cfRule>
    <cfRule type="expression" priority="960" dxfId="2">
      <formula>AND(IF($Q11=2,1,0),IF($X11&lt;30,1,0))</formula>
    </cfRule>
    <cfRule type="expression" priority="961" dxfId="1">
      <formula>AND(IF($Q11=3,1,0),IF($X11&lt;30,1,0))</formula>
    </cfRule>
    <cfRule type="expression" priority="962" dxfId="0">
      <formula>AND(IF($Q11=3,1,IF($Q11=4,1,0)),IF($F11&lt;=85,1,0))</formula>
    </cfRule>
  </conditionalFormatting>
  <conditionalFormatting sqref="AI11">
    <cfRule type="expression" priority="955" dxfId="3">
      <formula>AND(IF(OR($Q11=1,$Q11=2),1,0),IF($X11&lt;=20,1,0))</formula>
    </cfRule>
    <cfRule type="expression" priority="956" dxfId="2">
      <formula>AND(IF($Q11=2,1,0),IF($X11&lt;30,1,0))</formula>
    </cfRule>
    <cfRule type="expression" priority="957" dxfId="1">
      <formula>AND(IF($Q11=3,1,0),IF($X11&lt;30,1,0))</formula>
    </cfRule>
    <cfRule type="expression" priority="958" dxfId="0">
      <formula>AND(IF($Q11=3,1,IF($Q11=4,1,0)),IF($F11&lt;=85,1,0))</formula>
    </cfRule>
  </conditionalFormatting>
  <conditionalFormatting sqref="AV12">
    <cfRule type="expression" priority="953" dxfId="23">
      <formula>AV12="X"</formula>
    </cfRule>
    <cfRule type="expression" priority="954" dxfId="22">
      <formula>AV12="후보"</formula>
    </cfRule>
  </conditionalFormatting>
  <conditionalFormatting sqref="AC1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2">
    <cfRule type="expression" priority="945" dxfId="3">
      <formula>AND(IF(OR($Q12=1,$Q12=2),1,0),IF($X12&lt;=20,1,0))</formula>
    </cfRule>
    <cfRule type="expression" priority="946" dxfId="2">
      <formula>AND(IF($Q12=2,1,0),IF($X12&lt;30,1,0))</formula>
    </cfRule>
    <cfRule type="expression" priority="947" dxfId="1">
      <formula>AND(IF($Q12=3,1,0),IF($X12&lt;30,1,0))</formula>
    </cfRule>
    <cfRule type="expression" priority="948" dxfId="0">
      <formula>AND(IF($Q12=3,1,IF($Q12=4,1,0)),IF($F12&lt;=85,1,0))</formula>
    </cfRule>
  </conditionalFormatting>
  <conditionalFormatting sqref="X12">
    <cfRule type="expression" priority="941" dxfId="3">
      <formula>AND(IF(OR($Q12=1,$Q12=2),1,0),IF($X12&lt;=20,1,0))</formula>
    </cfRule>
    <cfRule type="expression" priority="942" dxfId="2">
      <formula>AND(IF($Q12=2,1,0),IF($X12&lt;30,1,0))</formula>
    </cfRule>
    <cfRule type="expression" priority="943" dxfId="1">
      <formula>AND(IF($Q12=3,1,0),IF($X12&lt;30,1,0))</formula>
    </cfRule>
    <cfRule type="expression" priority="944" dxfId="0">
      <formula>AND(IF($Q12=3,1,IF($Q12=4,1,0)),IF($F12&lt;=85,1,0))</formula>
    </cfRule>
  </conditionalFormatting>
  <conditionalFormatting sqref="AI12">
    <cfRule type="expression" priority="937" dxfId="3">
      <formula>AND(IF(OR($Q12=1,$Q12=2),1,0),IF($X12&lt;=20,1,0))</formula>
    </cfRule>
    <cfRule type="expression" priority="938" dxfId="2">
      <formula>AND(IF($Q12=2,1,0),IF($X12&lt;30,1,0))</formula>
    </cfRule>
    <cfRule type="expression" priority="939" dxfId="1">
      <formula>AND(IF($Q12=3,1,0),IF($X12&lt;30,1,0))</formula>
    </cfRule>
    <cfRule type="expression" priority="940" dxfId="0">
      <formula>AND(IF($Q12=3,1,IF($Q12=4,1,0)),IF($F12&lt;=85,1,0))</formula>
    </cfRule>
  </conditionalFormatting>
  <conditionalFormatting sqref="AV13">
    <cfRule type="expression" priority="935" dxfId="23">
      <formula>AV13="X"</formula>
    </cfRule>
    <cfRule type="expression" priority="936" dxfId="22">
      <formula>AV13="후보"</formula>
    </cfRule>
  </conditionalFormatting>
  <conditionalFormatting sqref="AC1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3">
    <cfRule type="expression" priority="927" dxfId="3">
      <formula>AND(IF(OR($Q13=1,$Q13=2),1,0),IF($X13&lt;=20,1,0))</formula>
    </cfRule>
    <cfRule type="expression" priority="928" dxfId="2">
      <formula>AND(IF($Q13=2,1,0),IF($X13&lt;30,1,0))</formula>
    </cfRule>
    <cfRule type="expression" priority="929" dxfId="1">
      <formula>AND(IF($Q13=3,1,0),IF($X13&lt;30,1,0))</formula>
    </cfRule>
    <cfRule type="expression" priority="930" dxfId="0">
      <formula>AND(IF($Q13=3,1,IF($Q13=4,1,0)),IF($F13&lt;=85,1,0))</formula>
    </cfRule>
  </conditionalFormatting>
  <conditionalFormatting sqref="X13">
    <cfRule type="expression" priority="923" dxfId="3">
      <formula>AND(IF(OR($Q13=1,$Q13=2),1,0),IF($X13&lt;=20,1,0))</formula>
    </cfRule>
    <cfRule type="expression" priority="924" dxfId="2">
      <formula>AND(IF($Q13=2,1,0),IF($X13&lt;30,1,0))</formula>
    </cfRule>
    <cfRule type="expression" priority="925" dxfId="1">
      <formula>AND(IF($Q13=3,1,0),IF($X13&lt;30,1,0))</formula>
    </cfRule>
    <cfRule type="expression" priority="926" dxfId="0">
      <formula>AND(IF($Q13=3,1,IF($Q13=4,1,0)),IF($F13&lt;=85,1,0))</formula>
    </cfRule>
  </conditionalFormatting>
  <conditionalFormatting sqref="AI13">
    <cfRule type="expression" priority="919" dxfId="3">
      <formula>AND(IF(OR($Q13=1,$Q13=2),1,0),IF($X13&lt;=20,1,0))</formula>
    </cfRule>
    <cfRule type="expression" priority="920" dxfId="2">
      <formula>AND(IF($Q13=2,1,0),IF($X13&lt;30,1,0))</formula>
    </cfRule>
    <cfRule type="expression" priority="921" dxfId="1">
      <formula>AND(IF($Q13=3,1,0),IF($X13&lt;30,1,0))</formula>
    </cfRule>
    <cfRule type="expression" priority="922" dxfId="0">
      <formula>AND(IF($Q13=3,1,IF($Q13=4,1,0)),IF($F13&lt;=85,1,0))</formula>
    </cfRule>
  </conditionalFormatting>
  <conditionalFormatting sqref="AV14">
    <cfRule type="expression" priority="917" dxfId="23">
      <formula>AV14="X"</formula>
    </cfRule>
    <cfRule type="expression" priority="918" dxfId="22">
      <formula>AV14="후보"</formula>
    </cfRule>
  </conditionalFormatting>
  <conditionalFormatting sqref="AC1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4">
    <cfRule type="expression" priority="909" dxfId="3">
      <formula>AND(IF(OR($Q14=1,$Q14=2),1,0),IF($X14&lt;=20,1,0))</formula>
    </cfRule>
    <cfRule type="expression" priority="910" dxfId="2">
      <formula>AND(IF($Q14=2,1,0),IF($X14&lt;30,1,0))</formula>
    </cfRule>
    <cfRule type="expression" priority="911" dxfId="1">
      <formula>AND(IF($Q14=3,1,0),IF($X14&lt;30,1,0))</formula>
    </cfRule>
    <cfRule type="expression" priority="912" dxfId="0">
      <formula>AND(IF($Q14=3,1,IF($Q14=4,1,0)),IF($F14&lt;=85,1,0))</formula>
    </cfRule>
  </conditionalFormatting>
  <conditionalFormatting sqref="X14">
    <cfRule type="expression" priority="905" dxfId="3">
      <formula>AND(IF(OR($Q14=1,$Q14=2),1,0),IF($X14&lt;=20,1,0))</formula>
    </cfRule>
    <cfRule type="expression" priority="906" dxfId="2">
      <formula>AND(IF($Q14=2,1,0),IF($X14&lt;30,1,0))</formula>
    </cfRule>
    <cfRule type="expression" priority="907" dxfId="1">
      <formula>AND(IF($Q14=3,1,0),IF($X14&lt;30,1,0))</formula>
    </cfRule>
    <cfRule type="expression" priority="908" dxfId="0">
      <formula>AND(IF($Q14=3,1,IF($Q14=4,1,0)),IF($F14&lt;=85,1,0))</formula>
    </cfRule>
  </conditionalFormatting>
  <conditionalFormatting sqref="AI14">
    <cfRule type="expression" priority="901" dxfId="3">
      <formula>AND(IF(OR($Q14=1,$Q14=2),1,0),IF($X14&lt;=20,1,0))</formula>
    </cfRule>
    <cfRule type="expression" priority="902" dxfId="2">
      <formula>AND(IF($Q14=2,1,0),IF($X14&lt;30,1,0))</formula>
    </cfRule>
    <cfRule type="expression" priority="903" dxfId="1">
      <formula>AND(IF($Q14=3,1,0),IF($X14&lt;30,1,0))</formula>
    </cfRule>
    <cfRule type="expression" priority="904" dxfId="0">
      <formula>AND(IF($Q14=3,1,IF($Q14=4,1,0)),IF($F14&lt;=85,1,0))</formula>
    </cfRule>
  </conditionalFormatting>
  <conditionalFormatting sqref="AV15">
    <cfRule type="expression" priority="899" dxfId="23">
      <formula>AV15="X"</formula>
    </cfRule>
    <cfRule type="expression" priority="900" dxfId="22">
      <formula>AV15="후보"</formula>
    </cfRule>
  </conditionalFormatting>
  <conditionalFormatting sqref="AC15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5">
    <cfRule type="expression" priority="891" dxfId="3">
      <formula>AND(IF(OR($Q15=1,$Q15=2),1,0),IF($X15&lt;=20,1,0))</formula>
    </cfRule>
    <cfRule type="expression" priority="892" dxfId="2">
      <formula>AND(IF($Q15=2,1,0),IF($X15&lt;30,1,0))</formula>
    </cfRule>
    <cfRule type="expression" priority="893" dxfId="1">
      <formula>AND(IF($Q15=3,1,0),IF($X15&lt;30,1,0))</formula>
    </cfRule>
    <cfRule type="expression" priority="894" dxfId="0">
      <formula>AND(IF($Q15=3,1,IF($Q15=4,1,0)),IF($F15&lt;=85,1,0))</formula>
    </cfRule>
  </conditionalFormatting>
  <conditionalFormatting sqref="X15">
    <cfRule type="expression" priority="887" dxfId="3">
      <formula>AND(IF(OR($Q15=1,$Q15=2),1,0),IF($X15&lt;=20,1,0))</formula>
    </cfRule>
    <cfRule type="expression" priority="888" dxfId="2">
      <formula>AND(IF($Q15=2,1,0),IF($X15&lt;30,1,0))</formula>
    </cfRule>
    <cfRule type="expression" priority="889" dxfId="1">
      <formula>AND(IF($Q15=3,1,0),IF($X15&lt;30,1,0))</formula>
    </cfRule>
    <cfRule type="expression" priority="890" dxfId="0">
      <formula>AND(IF($Q15=3,1,IF($Q15=4,1,0)),IF($F15&lt;=85,1,0))</formula>
    </cfRule>
  </conditionalFormatting>
  <conditionalFormatting sqref="AI15">
    <cfRule type="expression" priority="883" dxfId="3">
      <formula>AND(IF(OR($Q15=1,$Q15=2),1,0),IF($X15&lt;=20,1,0))</formula>
    </cfRule>
    <cfRule type="expression" priority="884" dxfId="2">
      <formula>AND(IF($Q15=2,1,0),IF($X15&lt;30,1,0))</formula>
    </cfRule>
    <cfRule type="expression" priority="885" dxfId="1">
      <formula>AND(IF($Q15=3,1,0),IF($X15&lt;30,1,0))</formula>
    </cfRule>
    <cfRule type="expression" priority="886" dxfId="0">
      <formula>AND(IF($Q15=3,1,IF($Q15=4,1,0)),IF($F15&lt;=85,1,0))</formula>
    </cfRule>
  </conditionalFormatting>
  <conditionalFormatting sqref="AV16">
    <cfRule type="expression" priority="881" dxfId="23">
      <formula>AV16="X"</formula>
    </cfRule>
    <cfRule type="expression" priority="882" dxfId="22">
      <formula>AV16="후보"</formula>
    </cfRule>
  </conditionalFormatting>
  <conditionalFormatting sqref="AC16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6">
    <cfRule type="expression" priority="873" dxfId="3">
      <formula>AND(IF(OR($Q16=1,$Q16=2),1,0),IF($X16&lt;=20,1,0))</formula>
    </cfRule>
    <cfRule type="expression" priority="874" dxfId="2">
      <formula>AND(IF($Q16=2,1,0),IF($X16&lt;30,1,0))</formula>
    </cfRule>
    <cfRule type="expression" priority="875" dxfId="1">
      <formula>AND(IF($Q16=3,1,0),IF($X16&lt;30,1,0))</formula>
    </cfRule>
    <cfRule type="expression" priority="876" dxfId="0">
      <formula>AND(IF($Q16=3,1,IF($Q16=4,1,0)),IF($F16&lt;=85,1,0))</formula>
    </cfRule>
  </conditionalFormatting>
  <conditionalFormatting sqref="X16">
    <cfRule type="expression" priority="869" dxfId="3">
      <formula>AND(IF(OR($Q16=1,$Q16=2),1,0),IF($X16&lt;=20,1,0))</formula>
    </cfRule>
    <cfRule type="expression" priority="870" dxfId="2">
      <formula>AND(IF($Q16=2,1,0),IF($X16&lt;30,1,0))</formula>
    </cfRule>
    <cfRule type="expression" priority="871" dxfId="1">
      <formula>AND(IF($Q16=3,1,0),IF($X16&lt;30,1,0))</formula>
    </cfRule>
    <cfRule type="expression" priority="872" dxfId="0">
      <formula>AND(IF($Q16=3,1,IF($Q16=4,1,0)),IF($F16&lt;=85,1,0))</formula>
    </cfRule>
  </conditionalFormatting>
  <conditionalFormatting sqref="AI16">
    <cfRule type="expression" priority="865" dxfId="3">
      <formula>AND(IF(OR($Q16=1,$Q16=2),1,0),IF($X16&lt;=20,1,0))</formula>
    </cfRule>
    <cfRule type="expression" priority="866" dxfId="2">
      <formula>AND(IF($Q16=2,1,0),IF($X16&lt;30,1,0))</formula>
    </cfRule>
    <cfRule type="expression" priority="867" dxfId="1">
      <formula>AND(IF($Q16=3,1,0),IF($X16&lt;30,1,0))</formula>
    </cfRule>
    <cfRule type="expression" priority="868" dxfId="0">
      <formula>AND(IF($Q16=3,1,IF($Q16=4,1,0)),IF($F16&lt;=85,1,0))</formula>
    </cfRule>
  </conditionalFormatting>
  <conditionalFormatting sqref="AV17">
    <cfRule type="expression" priority="863" dxfId="23">
      <formula>AV17="X"</formula>
    </cfRule>
    <cfRule type="expression" priority="864" dxfId="22">
      <formula>AV17="후보"</formula>
    </cfRule>
  </conditionalFormatting>
  <conditionalFormatting sqref="AC1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7">
    <cfRule type="expression" priority="855" dxfId="3">
      <formula>AND(IF(OR($Q17=1,$Q17=2),1,0),IF($X17&lt;=20,1,0))</formula>
    </cfRule>
    <cfRule type="expression" priority="856" dxfId="2">
      <formula>AND(IF($Q17=2,1,0),IF($X17&lt;30,1,0))</formula>
    </cfRule>
    <cfRule type="expression" priority="857" dxfId="1">
      <formula>AND(IF($Q17=3,1,0),IF($X17&lt;30,1,0))</formula>
    </cfRule>
    <cfRule type="expression" priority="858" dxfId="0">
      <formula>AND(IF($Q17=3,1,IF($Q17=4,1,0)),IF($F17&lt;=85,1,0))</formula>
    </cfRule>
  </conditionalFormatting>
  <conditionalFormatting sqref="X17">
    <cfRule type="expression" priority="851" dxfId="3">
      <formula>AND(IF(OR($Q17=1,$Q17=2),1,0),IF($X17&lt;=20,1,0))</formula>
    </cfRule>
    <cfRule type="expression" priority="852" dxfId="2">
      <formula>AND(IF($Q17=2,1,0),IF($X17&lt;30,1,0))</formula>
    </cfRule>
    <cfRule type="expression" priority="853" dxfId="1">
      <formula>AND(IF($Q17=3,1,0),IF($X17&lt;30,1,0))</formula>
    </cfRule>
    <cfRule type="expression" priority="854" dxfId="0">
      <formula>AND(IF($Q17=3,1,IF($Q17=4,1,0)),IF($F17&lt;=85,1,0))</formula>
    </cfRule>
  </conditionalFormatting>
  <conditionalFormatting sqref="AI17">
    <cfRule type="expression" priority="847" dxfId="3">
      <formula>AND(IF(OR($Q17=1,$Q17=2),1,0),IF($X17&lt;=20,1,0))</formula>
    </cfRule>
    <cfRule type="expression" priority="848" dxfId="2">
      <formula>AND(IF($Q17=2,1,0),IF($X17&lt;30,1,0))</formula>
    </cfRule>
    <cfRule type="expression" priority="849" dxfId="1">
      <formula>AND(IF($Q17=3,1,0),IF($X17&lt;30,1,0))</formula>
    </cfRule>
    <cfRule type="expression" priority="850" dxfId="0">
      <formula>AND(IF($Q17=3,1,IF($Q17=4,1,0)),IF($F17&lt;=85,1,0))</formula>
    </cfRule>
  </conditionalFormatting>
  <conditionalFormatting sqref="AV18">
    <cfRule type="expression" priority="845" dxfId="23">
      <formula>AV18="X"</formula>
    </cfRule>
    <cfRule type="expression" priority="846" dxfId="22">
      <formula>AV18="후보"</formula>
    </cfRule>
  </conditionalFormatting>
  <conditionalFormatting sqref="AC18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8">
    <cfRule type="expression" priority="837" dxfId="3">
      <formula>AND(IF(OR($Q18=1,$Q18=2),1,0),IF($X18&lt;=20,1,0))</formula>
    </cfRule>
    <cfRule type="expression" priority="838" dxfId="2">
      <formula>AND(IF($Q18=2,1,0),IF($X18&lt;30,1,0))</formula>
    </cfRule>
    <cfRule type="expression" priority="839" dxfId="1">
      <formula>AND(IF($Q18=3,1,0),IF($X18&lt;30,1,0))</formula>
    </cfRule>
    <cfRule type="expression" priority="840" dxfId="0">
      <formula>AND(IF($Q18=3,1,IF($Q18=4,1,0)),IF($F18&lt;=85,1,0))</formula>
    </cfRule>
  </conditionalFormatting>
  <conditionalFormatting sqref="X18">
    <cfRule type="expression" priority="833" dxfId="3">
      <formula>AND(IF(OR($Q18=1,$Q18=2),1,0),IF($X18&lt;=20,1,0))</formula>
    </cfRule>
    <cfRule type="expression" priority="834" dxfId="2">
      <formula>AND(IF($Q18=2,1,0),IF($X18&lt;30,1,0))</formula>
    </cfRule>
    <cfRule type="expression" priority="835" dxfId="1">
      <formula>AND(IF($Q18=3,1,0),IF($X18&lt;30,1,0))</formula>
    </cfRule>
    <cfRule type="expression" priority="836" dxfId="0">
      <formula>AND(IF($Q18=3,1,IF($Q18=4,1,0)),IF($F18&lt;=85,1,0))</formula>
    </cfRule>
  </conditionalFormatting>
  <conditionalFormatting sqref="AI18">
    <cfRule type="expression" priority="829" dxfId="3">
      <formula>AND(IF(OR($Q18=1,$Q18=2),1,0),IF($X18&lt;=20,1,0))</formula>
    </cfRule>
    <cfRule type="expression" priority="830" dxfId="2">
      <formula>AND(IF($Q18=2,1,0),IF($X18&lt;30,1,0))</formula>
    </cfRule>
    <cfRule type="expression" priority="831" dxfId="1">
      <formula>AND(IF($Q18=3,1,0),IF($X18&lt;30,1,0))</formula>
    </cfRule>
    <cfRule type="expression" priority="832" dxfId="0">
      <formula>AND(IF($Q18=3,1,IF($Q18=4,1,0)),IF($F18&lt;=85,1,0))</formula>
    </cfRule>
  </conditionalFormatting>
  <conditionalFormatting sqref="AV19">
    <cfRule type="expression" priority="827" dxfId="23">
      <formula>AV19="X"</formula>
    </cfRule>
    <cfRule type="expression" priority="828" dxfId="22">
      <formula>AV19="후보"</formula>
    </cfRule>
  </conditionalFormatting>
  <conditionalFormatting sqref="AC1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9">
    <cfRule type="expression" priority="819" dxfId="3">
      <formula>AND(IF(OR($Q19=1,$Q19=2),1,0),IF($X19&lt;=20,1,0))</formula>
    </cfRule>
    <cfRule type="expression" priority="820" dxfId="2">
      <formula>AND(IF($Q19=2,1,0),IF($X19&lt;30,1,0))</formula>
    </cfRule>
    <cfRule type="expression" priority="821" dxfId="1">
      <formula>AND(IF($Q19=3,1,0),IF($X19&lt;30,1,0))</formula>
    </cfRule>
    <cfRule type="expression" priority="822" dxfId="0">
      <formula>AND(IF($Q19=3,1,IF($Q19=4,1,0)),IF($F19&lt;=85,1,0))</formula>
    </cfRule>
  </conditionalFormatting>
  <conditionalFormatting sqref="X19">
    <cfRule type="expression" priority="815" dxfId="3">
      <formula>AND(IF(OR($Q19=1,$Q19=2),1,0),IF($X19&lt;=20,1,0))</formula>
    </cfRule>
    <cfRule type="expression" priority="816" dxfId="2">
      <formula>AND(IF($Q19=2,1,0),IF($X19&lt;30,1,0))</formula>
    </cfRule>
    <cfRule type="expression" priority="817" dxfId="1">
      <formula>AND(IF($Q19=3,1,0),IF($X19&lt;30,1,0))</formula>
    </cfRule>
    <cfRule type="expression" priority="818" dxfId="0">
      <formula>AND(IF($Q19=3,1,IF($Q19=4,1,0)),IF($F19&lt;=85,1,0))</formula>
    </cfRule>
  </conditionalFormatting>
  <conditionalFormatting sqref="AI19">
    <cfRule type="expression" priority="811" dxfId="3">
      <formula>AND(IF(OR($Q19=1,$Q19=2),1,0),IF($X19&lt;=20,1,0))</formula>
    </cfRule>
    <cfRule type="expression" priority="812" dxfId="2">
      <formula>AND(IF($Q19=2,1,0),IF($X19&lt;30,1,0))</formula>
    </cfRule>
    <cfRule type="expression" priority="813" dxfId="1">
      <formula>AND(IF($Q19=3,1,0),IF($X19&lt;30,1,0))</formula>
    </cfRule>
    <cfRule type="expression" priority="814" dxfId="0">
      <formula>AND(IF($Q19=3,1,IF($Q19=4,1,0)),IF($F19&lt;=85,1,0))</formula>
    </cfRule>
  </conditionalFormatting>
  <conditionalFormatting sqref="AV20">
    <cfRule type="expression" priority="809" dxfId="23">
      <formula>AV20="X"</formula>
    </cfRule>
    <cfRule type="expression" priority="810" dxfId="22">
      <formula>AV20="후보"</formula>
    </cfRule>
  </conditionalFormatting>
  <conditionalFormatting sqref="AC20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2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20">
    <cfRule type="expression" priority="801" dxfId="3">
      <formula>AND(IF(OR($Q20=1,$Q20=2),1,0),IF($X20&lt;=20,1,0))</formula>
    </cfRule>
    <cfRule type="expression" priority="802" dxfId="2">
      <formula>AND(IF($Q20=2,1,0),IF($X20&lt;30,1,0))</formula>
    </cfRule>
    <cfRule type="expression" priority="803" dxfId="1">
      <formula>AND(IF($Q20=3,1,0),IF($X20&lt;30,1,0))</formula>
    </cfRule>
    <cfRule type="expression" priority="804" dxfId="0">
      <formula>AND(IF($Q20=3,1,IF($Q20=4,1,0)),IF($F20&lt;=85,1,0))</formula>
    </cfRule>
  </conditionalFormatting>
  <conditionalFormatting sqref="X20">
    <cfRule type="expression" priority="797" dxfId="3">
      <formula>AND(IF(OR($Q20=1,$Q20=2),1,0),IF($X20&lt;=20,1,0))</formula>
    </cfRule>
    <cfRule type="expression" priority="798" dxfId="2">
      <formula>AND(IF($Q20=2,1,0),IF($X20&lt;30,1,0))</formula>
    </cfRule>
    <cfRule type="expression" priority="799" dxfId="1">
      <formula>AND(IF($Q20=3,1,0),IF($X20&lt;30,1,0))</formula>
    </cfRule>
    <cfRule type="expression" priority="800" dxfId="0">
      <formula>AND(IF($Q20=3,1,IF($Q20=4,1,0)),IF($F20&lt;=85,1,0))</formula>
    </cfRule>
  </conditionalFormatting>
  <conditionalFormatting sqref="AI20">
    <cfRule type="expression" priority="793" dxfId="3">
      <formula>AND(IF(OR($Q20=1,$Q20=2),1,0),IF($X20&lt;=20,1,0))</formula>
    </cfRule>
    <cfRule type="expression" priority="794" dxfId="2">
      <formula>AND(IF($Q20=2,1,0),IF($X20&lt;30,1,0))</formula>
    </cfRule>
    <cfRule type="expression" priority="795" dxfId="1">
      <formula>AND(IF($Q20=3,1,0),IF($X20&lt;30,1,0))</formula>
    </cfRule>
    <cfRule type="expression" priority="796" dxfId="0">
      <formula>AND(IF($Q20=3,1,IF($Q20=4,1,0)),IF($F20&lt;=85,1,0))</formula>
    </cfRule>
  </conditionalFormatting>
  <conditionalFormatting sqref="AV21">
    <cfRule type="expression" priority="791" dxfId="23">
      <formula>AV21="X"</formula>
    </cfRule>
    <cfRule type="expression" priority="792" dxfId="22">
      <formula>AV21="후보"</formula>
    </cfRule>
  </conditionalFormatting>
  <conditionalFormatting sqref="AC21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2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21">
    <cfRule type="expression" priority="783" dxfId="3">
      <formula>AND(IF(OR($Q21=1,$Q21=2),1,0),IF($X21&lt;=20,1,0))</formula>
    </cfRule>
    <cfRule type="expression" priority="784" dxfId="2">
      <formula>AND(IF($Q21=2,1,0),IF($X21&lt;30,1,0))</formula>
    </cfRule>
    <cfRule type="expression" priority="785" dxfId="1">
      <formula>AND(IF($Q21=3,1,0),IF($X21&lt;30,1,0))</formula>
    </cfRule>
    <cfRule type="expression" priority="786" dxfId="0">
      <formula>AND(IF($Q21=3,1,IF($Q21=4,1,0)),IF($F21&lt;=85,1,0))</formula>
    </cfRule>
  </conditionalFormatting>
  <conditionalFormatting sqref="X21">
    <cfRule type="expression" priority="779" dxfId="3">
      <formula>AND(IF(OR($Q21=1,$Q21=2),1,0),IF($X21&lt;=20,1,0))</formula>
    </cfRule>
    <cfRule type="expression" priority="780" dxfId="2">
      <formula>AND(IF($Q21=2,1,0),IF($X21&lt;30,1,0))</formula>
    </cfRule>
    <cfRule type="expression" priority="781" dxfId="1">
      <formula>AND(IF($Q21=3,1,0),IF($X21&lt;30,1,0))</formula>
    </cfRule>
    <cfRule type="expression" priority="782" dxfId="0">
      <formula>AND(IF($Q21=3,1,IF($Q21=4,1,0)),IF($F21&lt;=85,1,0))</formula>
    </cfRule>
  </conditionalFormatting>
  <conditionalFormatting sqref="AI21">
    <cfRule type="expression" priority="775" dxfId="3">
      <formula>AND(IF(OR($Q21=1,$Q21=2),1,0),IF($X21&lt;=20,1,0))</formula>
    </cfRule>
    <cfRule type="expression" priority="776" dxfId="2">
      <formula>AND(IF($Q21=2,1,0),IF($X21&lt;30,1,0))</formula>
    </cfRule>
    <cfRule type="expression" priority="777" dxfId="1">
      <formula>AND(IF($Q21=3,1,0),IF($X21&lt;30,1,0))</formula>
    </cfRule>
    <cfRule type="expression" priority="778" dxfId="0">
      <formula>AND(IF($Q21=3,1,IF($Q21=4,1,0)),IF($F21&lt;=85,1,0))</formula>
    </cfRule>
  </conditionalFormatting>
  <conditionalFormatting sqref="AV22">
    <cfRule type="expression" priority="773" dxfId="23">
      <formula>AV22="X"</formula>
    </cfRule>
    <cfRule type="expression" priority="774" dxfId="22">
      <formula>AV22="후보"</formula>
    </cfRule>
  </conditionalFormatting>
  <conditionalFormatting sqref="AC2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2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22">
    <cfRule type="expression" priority="765" dxfId="3">
      <formula>AND(IF(OR($Q22=1,$Q22=2),1,0),IF($X22&lt;=20,1,0))</formula>
    </cfRule>
    <cfRule type="expression" priority="766" dxfId="2">
      <formula>AND(IF($Q22=2,1,0),IF($X22&lt;30,1,0))</formula>
    </cfRule>
    <cfRule type="expression" priority="767" dxfId="1">
      <formula>AND(IF($Q22=3,1,0),IF($X22&lt;30,1,0))</formula>
    </cfRule>
    <cfRule type="expression" priority="768" dxfId="0">
      <formula>AND(IF($Q22=3,1,IF($Q22=4,1,0)),IF($F22&lt;=85,1,0))</formula>
    </cfRule>
  </conditionalFormatting>
  <conditionalFormatting sqref="X22">
    <cfRule type="expression" priority="761" dxfId="3">
      <formula>AND(IF(OR($Q22=1,$Q22=2),1,0),IF($X22&lt;=20,1,0))</formula>
    </cfRule>
    <cfRule type="expression" priority="762" dxfId="2">
      <formula>AND(IF($Q22=2,1,0),IF($X22&lt;30,1,0))</formula>
    </cfRule>
    <cfRule type="expression" priority="763" dxfId="1">
      <formula>AND(IF($Q22=3,1,0),IF($X22&lt;30,1,0))</formula>
    </cfRule>
    <cfRule type="expression" priority="764" dxfId="0">
      <formula>AND(IF($Q22=3,1,IF($Q22=4,1,0)),IF($F22&lt;=85,1,0))</formula>
    </cfRule>
  </conditionalFormatting>
  <conditionalFormatting sqref="AI22">
    <cfRule type="expression" priority="757" dxfId="3">
      <formula>AND(IF(OR($Q22=1,$Q22=2),1,0),IF($X22&lt;=20,1,0))</formula>
    </cfRule>
    <cfRule type="expression" priority="758" dxfId="2">
      <formula>AND(IF($Q22=2,1,0),IF($X22&lt;30,1,0))</formula>
    </cfRule>
    <cfRule type="expression" priority="759" dxfId="1">
      <formula>AND(IF($Q22=3,1,0),IF($X22&lt;30,1,0))</formula>
    </cfRule>
    <cfRule type="expression" priority="760" dxfId="0">
      <formula>AND(IF($Q22=3,1,IF($Q22=4,1,0)),IF($F22&lt;=85,1,0))</formula>
    </cfRule>
  </conditionalFormatting>
  <conditionalFormatting sqref="AV23">
    <cfRule type="expression" priority="755" dxfId="23">
      <formula>AV23="X"</formula>
    </cfRule>
    <cfRule type="expression" priority="756" dxfId="22">
      <formula>AV23="후보"</formula>
    </cfRule>
  </conditionalFormatting>
  <conditionalFormatting sqref="AC2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2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23">
    <cfRule type="expression" priority="747" dxfId="3">
      <formula>AND(IF(OR($Q23=1,$Q23=2),1,0),IF($X23&lt;=20,1,0))</formula>
    </cfRule>
    <cfRule type="expression" priority="748" dxfId="2">
      <formula>AND(IF($Q23=2,1,0),IF($X23&lt;30,1,0))</formula>
    </cfRule>
    <cfRule type="expression" priority="749" dxfId="1">
      <formula>AND(IF($Q23=3,1,0),IF($X23&lt;30,1,0))</formula>
    </cfRule>
    <cfRule type="expression" priority="750" dxfId="0">
      <formula>AND(IF($Q23=3,1,IF($Q23=4,1,0)),IF($F23&lt;=85,1,0))</formula>
    </cfRule>
  </conditionalFormatting>
  <conditionalFormatting sqref="X23">
    <cfRule type="expression" priority="743" dxfId="3">
      <formula>AND(IF(OR($Q23=1,$Q23=2),1,0),IF($X23&lt;=20,1,0))</formula>
    </cfRule>
    <cfRule type="expression" priority="744" dxfId="2">
      <formula>AND(IF($Q23=2,1,0),IF($X23&lt;30,1,0))</formula>
    </cfRule>
    <cfRule type="expression" priority="745" dxfId="1">
      <formula>AND(IF($Q23=3,1,0),IF($X23&lt;30,1,0))</formula>
    </cfRule>
    <cfRule type="expression" priority="746" dxfId="0">
      <formula>AND(IF($Q23=3,1,IF($Q23=4,1,0)),IF($F23&lt;=85,1,0))</formula>
    </cfRule>
  </conditionalFormatting>
  <conditionalFormatting sqref="AI23">
    <cfRule type="expression" priority="739" dxfId="3">
      <formula>AND(IF(OR($Q23=1,$Q23=2),1,0),IF($X23&lt;=20,1,0))</formula>
    </cfRule>
    <cfRule type="expression" priority="740" dxfId="2">
      <formula>AND(IF($Q23=2,1,0),IF($X23&lt;30,1,0))</formula>
    </cfRule>
    <cfRule type="expression" priority="741" dxfId="1">
      <formula>AND(IF($Q23=3,1,0),IF($X23&lt;30,1,0))</formula>
    </cfRule>
    <cfRule type="expression" priority="742" dxfId="0">
      <formula>AND(IF($Q23=3,1,IF($Q23=4,1,0)),IF($F23&lt;=85,1,0))</formula>
    </cfRule>
  </conditionalFormatting>
  <conditionalFormatting sqref="AV24">
    <cfRule type="expression" priority="737" dxfId="23">
      <formula>AV24="X"</formula>
    </cfRule>
    <cfRule type="expression" priority="738" dxfId="22">
      <formula>AV24="후보"</formula>
    </cfRule>
  </conditionalFormatting>
  <conditionalFormatting sqref="AC24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2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24">
    <cfRule type="expression" priority="729" dxfId="3">
      <formula>AND(IF(OR($Q24=1,$Q24=2),1,0),IF($X24&lt;=20,1,0))</formula>
    </cfRule>
    <cfRule type="expression" priority="730" dxfId="2">
      <formula>AND(IF($Q24=2,1,0),IF($X24&lt;30,1,0))</formula>
    </cfRule>
    <cfRule type="expression" priority="731" dxfId="1">
      <formula>AND(IF($Q24=3,1,0),IF($X24&lt;30,1,0))</formula>
    </cfRule>
    <cfRule type="expression" priority="732" dxfId="0">
      <formula>AND(IF($Q24=3,1,IF($Q24=4,1,0)),IF($F24&lt;=85,1,0))</formula>
    </cfRule>
  </conditionalFormatting>
  <conditionalFormatting sqref="X24">
    <cfRule type="expression" priority="725" dxfId="3">
      <formula>AND(IF(OR($Q24=1,$Q24=2),1,0),IF($X24&lt;=20,1,0))</formula>
    </cfRule>
    <cfRule type="expression" priority="726" dxfId="2">
      <formula>AND(IF($Q24=2,1,0),IF($X24&lt;30,1,0))</formula>
    </cfRule>
    <cfRule type="expression" priority="727" dxfId="1">
      <formula>AND(IF($Q24=3,1,0),IF($X24&lt;30,1,0))</formula>
    </cfRule>
    <cfRule type="expression" priority="728" dxfId="0">
      <formula>AND(IF($Q24=3,1,IF($Q24=4,1,0)),IF($F24&lt;=85,1,0))</formula>
    </cfRule>
  </conditionalFormatting>
  <conditionalFormatting sqref="AI24">
    <cfRule type="expression" priority="721" dxfId="3">
      <formula>AND(IF(OR($Q24=1,$Q24=2),1,0),IF($X24&lt;=20,1,0))</formula>
    </cfRule>
    <cfRule type="expression" priority="722" dxfId="2">
      <formula>AND(IF($Q24=2,1,0),IF($X24&lt;30,1,0))</formula>
    </cfRule>
    <cfRule type="expression" priority="723" dxfId="1">
      <formula>AND(IF($Q24=3,1,0),IF($X24&lt;30,1,0))</formula>
    </cfRule>
    <cfRule type="expression" priority="724" dxfId="0">
      <formula>AND(IF($Q24=3,1,IF($Q24=4,1,0)),IF($F24&lt;=85,1,0))</formula>
    </cfRule>
  </conditionalFormatting>
  <conditionalFormatting sqref="AV25">
    <cfRule type="expression" priority="719" dxfId="23">
      <formula>AV25="X"</formula>
    </cfRule>
    <cfRule type="expression" priority="720" dxfId="22">
      <formula>AV25="후보"</formula>
    </cfRule>
  </conditionalFormatting>
  <conditionalFormatting sqref="AC2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2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25">
    <cfRule type="expression" priority="711" dxfId="3">
      <formula>AND(IF(OR($Q25=1,$Q25=2),1,0),IF($X25&lt;=20,1,0))</formula>
    </cfRule>
    <cfRule type="expression" priority="712" dxfId="2">
      <formula>AND(IF($Q25=2,1,0),IF($X25&lt;30,1,0))</formula>
    </cfRule>
    <cfRule type="expression" priority="713" dxfId="1">
      <formula>AND(IF($Q25=3,1,0),IF($X25&lt;30,1,0))</formula>
    </cfRule>
    <cfRule type="expression" priority="714" dxfId="0">
      <formula>AND(IF($Q25=3,1,IF($Q25=4,1,0)),IF($F25&lt;=85,1,0))</formula>
    </cfRule>
  </conditionalFormatting>
  <conditionalFormatting sqref="X25">
    <cfRule type="expression" priority="707" dxfId="3">
      <formula>AND(IF(OR($Q25=1,$Q25=2),1,0),IF($X25&lt;=20,1,0))</formula>
    </cfRule>
    <cfRule type="expression" priority="708" dxfId="2">
      <formula>AND(IF($Q25=2,1,0),IF($X25&lt;30,1,0))</formula>
    </cfRule>
    <cfRule type="expression" priority="709" dxfId="1">
      <formula>AND(IF($Q25=3,1,0),IF($X25&lt;30,1,0))</formula>
    </cfRule>
    <cfRule type="expression" priority="710" dxfId="0">
      <formula>AND(IF($Q25=3,1,IF($Q25=4,1,0)),IF($F25&lt;=85,1,0))</formula>
    </cfRule>
  </conditionalFormatting>
  <conditionalFormatting sqref="AI25">
    <cfRule type="expression" priority="703" dxfId="3">
      <formula>AND(IF(OR($Q25=1,$Q25=2),1,0),IF($X25&lt;=20,1,0))</formula>
    </cfRule>
    <cfRule type="expression" priority="704" dxfId="2">
      <formula>AND(IF($Q25=2,1,0),IF($X25&lt;30,1,0))</formula>
    </cfRule>
    <cfRule type="expression" priority="705" dxfId="1">
      <formula>AND(IF($Q25=3,1,0),IF($X25&lt;30,1,0))</formula>
    </cfRule>
    <cfRule type="expression" priority="706" dxfId="0">
      <formula>AND(IF($Q25=3,1,IF($Q25=4,1,0)),IF($F25&lt;=85,1,0))</formula>
    </cfRule>
  </conditionalFormatting>
  <conditionalFormatting sqref="AV26">
    <cfRule type="expression" priority="701" dxfId="23">
      <formula>AV26="X"</formula>
    </cfRule>
    <cfRule type="expression" priority="702" dxfId="22">
      <formula>AV26="후보"</formula>
    </cfRule>
  </conditionalFormatting>
  <conditionalFormatting sqref="AC26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2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26">
    <cfRule type="expression" priority="693" dxfId="3">
      <formula>AND(IF(OR($Q26=1,$Q26=2),1,0),IF($X26&lt;=20,1,0))</formula>
    </cfRule>
    <cfRule type="expression" priority="694" dxfId="2">
      <formula>AND(IF($Q26=2,1,0),IF($X26&lt;30,1,0))</formula>
    </cfRule>
    <cfRule type="expression" priority="695" dxfId="1">
      <formula>AND(IF($Q26=3,1,0),IF($X26&lt;30,1,0))</formula>
    </cfRule>
    <cfRule type="expression" priority="696" dxfId="0">
      <formula>AND(IF($Q26=3,1,IF($Q26=4,1,0)),IF($F26&lt;=85,1,0))</formula>
    </cfRule>
  </conditionalFormatting>
  <conditionalFormatting sqref="X26">
    <cfRule type="expression" priority="689" dxfId="3">
      <formula>AND(IF(OR($Q26=1,$Q26=2),1,0),IF($X26&lt;=20,1,0))</formula>
    </cfRule>
    <cfRule type="expression" priority="690" dxfId="2">
      <formula>AND(IF($Q26=2,1,0),IF($X26&lt;30,1,0))</formula>
    </cfRule>
    <cfRule type="expression" priority="691" dxfId="1">
      <formula>AND(IF($Q26=3,1,0),IF($X26&lt;30,1,0))</formula>
    </cfRule>
    <cfRule type="expression" priority="692" dxfId="0">
      <formula>AND(IF($Q26=3,1,IF($Q26=4,1,0)),IF($F26&lt;=85,1,0))</formula>
    </cfRule>
  </conditionalFormatting>
  <conditionalFormatting sqref="AI26">
    <cfRule type="expression" priority="685" dxfId="3">
      <formula>AND(IF(OR($Q26=1,$Q26=2),1,0),IF($X26&lt;=20,1,0))</formula>
    </cfRule>
    <cfRule type="expression" priority="686" dxfId="2">
      <formula>AND(IF($Q26=2,1,0),IF($X26&lt;30,1,0))</formula>
    </cfRule>
    <cfRule type="expression" priority="687" dxfId="1">
      <formula>AND(IF($Q26=3,1,0),IF($X26&lt;30,1,0))</formula>
    </cfRule>
    <cfRule type="expression" priority="688" dxfId="0">
      <formula>AND(IF($Q26=3,1,IF($Q26=4,1,0)),IF($F26&lt;=85,1,0))</formula>
    </cfRule>
  </conditionalFormatting>
  <conditionalFormatting sqref="AV27">
    <cfRule type="expression" priority="683" dxfId="23">
      <formula>AV27="X"</formula>
    </cfRule>
    <cfRule type="expression" priority="684" dxfId="22">
      <formula>AV27="후보"</formula>
    </cfRule>
  </conditionalFormatting>
  <conditionalFormatting sqref="AC2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7">
    <cfRule type="expression" priority="675" dxfId="3">
      <formula>AND(IF(OR($Q27=1,$Q27=2),1,0),IF($X27&lt;=20,1,0))</formula>
    </cfRule>
    <cfRule type="expression" priority="676" dxfId="2">
      <formula>AND(IF($Q27=2,1,0),IF($X27&lt;30,1,0))</formula>
    </cfRule>
    <cfRule type="expression" priority="677" dxfId="1">
      <formula>AND(IF($Q27=3,1,0),IF($X27&lt;30,1,0))</formula>
    </cfRule>
    <cfRule type="expression" priority="678" dxfId="0">
      <formula>AND(IF($Q27=3,1,IF($Q27=4,1,0)),IF($F27&lt;=85,1,0))</formula>
    </cfRule>
  </conditionalFormatting>
  <conditionalFormatting sqref="X27">
    <cfRule type="expression" priority="671" dxfId="3">
      <formula>AND(IF(OR($Q27=1,$Q27=2),1,0),IF($X27&lt;=20,1,0))</formula>
    </cfRule>
    <cfRule type="expression" priority="672" dxfId="2">
      <formula>AND(IF($Q27=2,1,0),IF($X27&lt;30,1,0))</formula>
    </cfRule>
    <cfRule type="expression" priority="673" dxfId="1">
      <formula>AND(IF($Q27=3,1,0),IF($X27&lt;30,1,0))</formula>
    </cfRule>
    <cfRule type="expression" priority="674" dxfId="0">
      <formula>AND(IF($Q27=3,1,IF($Q27=4,1,0)),IF($F27&lt;=85,1,0))</formula>
    </cfRule>
  </conditionalFormatting>
  <conditionalFormatting sqref="AI27">
    <cfRule type="expression" priority="667" dxfId="3">
      <formula>AND(IF(OR($Q27=1,$Q27=2),1,0),IF($X27&lt;=20,1,0))</formula>
    </cfRule>
    <cfRule type="expression" priority="668" dxfId="2">
      <formula>AND(IF($Q27=2,1,0),IF($X27&lt;30,1,0))</formula>
    </cfRule>
    <cfRule type="expression" priority="669" dxfId="1">
      <formula>AND(IF($Q27=3,1,0),IF($X27&lt;30,1,0))</formula>
    </cfRule>
    <cfRule type="expression" priority="670" dxfId="0">
      <formula>AND(IF($Q27=3,1,IF($Q27=4,1,0)),IF($F27&lt;=85,1,0))</formula>
    </cfRule>
  </conditionalFormatting>
  <conditionalFormatting sqref="AV28">
    <cfRule type="expression" priority="665" dxfId="23">
      <formula>AV28="X"</formula>
    </cfRule>
    <cfRule type="expression" priority="666" dxfId="22">
      <formula>AV28="후보"</formula>
    </cfRule>
  </conditionalFormatting>
  <conditionalFormatting sqref="AC2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8">
    <cfRule type="expression" priority="657" dxfId="3">
      <formula>AND(IF(OR($Q28=1,$Q28=2),1,0),IF($X28&lt;=20,1,0))</formula>
    </cfRule>
    <cfRule type="expression" priority="658" dxfId="2">
      <formula>AND(IF($Q28=2,1,0),IF($X28&lt;30,1,0))</formula>
    </cfRule>
    <cfRule type="expression" priority="659" dxfId="1">
      <formula>AND(IF($Q28=3,1,0),IF($X28&lt;30,1,0))</formula>
    </cfRule>
    <cfRule type="expression" priority="660" dxfId="0">
      <formula>AND(IF($Q28=3,1,IF($Q28=4,1,0)),IF($F28&lt;=85,1,0))</formula>
    </cfRule>
  </conditionalFormatting>
  <conditionalFormatting sqref="X28">
    <cfRule type="expression" priority="653" dxfId="3">
      <formula>AND(IF(OR($Q28=1,$Q28=2),1,0),IF($X28&lt;=20,1,0))</formula>
    </cfRule>
    <cfRule type="expression" priority="654" dxfId="2">
      <formula>AND(IF($Q28=2,1,0),IF($X28&lt;30,1,0))</formula>
    </cfRule>
    <cfRule type="expression" priority="655" dxfId="1">
      <formula>AND(IF($Q28=3,1,0),IF($X28&lt;30,1,0))</formula>
    </cfRule>
    <cfRule type="expression" priority="656" dxfId="0">
      <formula>AND(IF($Q28=3,1,IF($Q28=4,1,0)),IF($F28&lt;=85,1,0))</formula>
    </cfRule>
  </conditionalFormatting>
  <conditionalFormatting sqref="AI28">
    <cfRule type="expression" priority="649" dxfId="3">
      <formula>AND(IF(OR($Q28=1,$Q28=2),1,0),IF($X28&lt;=20,1,0))</formula>
    </cfRule>
    <cfRule type="expression" priority="650" dxfId="2">
      <formula>AND(IF($Q28=2,1,0),IF($X28&lt;30,1,0))</formula>
    </cfRule>
    <cfRule type="expression" priority="651" dxfId="1">
      <formula>AND(IF($Q28=3,1,0),IF($X28&lt;30,1,0))</formula>
    </cfRule>
    <cfRule type="expression" priority="652" dxfId="0">
      <formula>AND(IF($Q28=3,1,IF($Q28=4,1,0)),IF($F28&lt;=85,1,0))</formula>
    </cfRule>
  </conditionalFormatting>
  <conditionalFormatting sqref="AV29">
    <cfRule type="expression" priority="647" dxfId="23">
      <formula>AV29="X"</formula>
    </cfRule>
    <cfRule type="expression" priority="648" dxfId="22">
      <formula>AV29="후보"</formula>
    </cfRule>
  </conditionalFormatting>
  <conditionalFormatting sqref="AC29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2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29">
    <cfRule type="expression" priority="639" dxfId="3">
      <formula>AND(IF(OR($Q29=1,$Q29=2),1,0),IF($X29&lt;=20,1,0))</formula>
    </cfRule>
    <cfRule type="expression" priority="640" dxfId="2">
      <formula>AND(IF($Q29=2,1,0),IF($X29&lt;30,1,0))</formula>
    </cfRule>
    <cfRule type="expression" priority="641" dxfId="1">
      <formula>AND(IF($Q29=3,1,0),IF($X29&lt;30,1,0))</formula>
    </cfRule>
    <cfRule type="expression" priority="642" dxfId="0">
      <formula>AND(IF($Q29=3,1,IF($Q29=4,1,0)),IF($F29&lt;=85,1,0))</formula>
    </cfRule>
  </conditionalFormatting>
  <conditionalFormatting sqref="X29">
    <cfRule type="expression" priority="635" dxfId="3">
      <formula>AND(IF(OR($Q29=1,$Q29=2),1,0),IF($X29&lt;=20,1,0))</formula>
    </cfRule>
    <cfRule type="expression" priority="636" dxfId="2">
      <formula>AND(IF($Q29=2,1,0),IF($X29&lt;30,1,0))</formula>
    </cfRule>
    <cfRule type="expression" priority="637" dxfId="1">
      <formula>AND(IF($Q29=3,1,0),IF($X29&lt;30,1,0))</formula>
    </cfRule>
    <cfRule type="expression" priority="638" dxfId="0">
      <formula>AND(IF($Q29=3,1,IF($Q29=4,1,0)),IF($F29&lt;=85,1,0))</formula>
    </cfRule>
  </conditionalFormatting>
  <conditionalFormatting sqref="AI29">
    <cfRule type="expression" priority="631" dxfId="3">
      <formula>AND(IF(OR($Q29=1,$Q29=2),1,0),IF($X29&lt;=20,1,0))</formula>
    </cfRule>
    <cfRule type="expression" priority="632" dxfId="2">
      <formula>AND(IF($Q29=2,1,0),IF($X29&lt;30,1,0))</formula>
    </cfRule>
    <cfRule type="expression" priority="633" dxfId="1">
      <formula>AND(IF($Q29=3,1,0),IF($X29&lt;30,1,0))</formula>
    </cfRule>
    <cfRule type="expression" priority="634" dxfId="0">
      <formula>AND(IF($Q29=3,1,IF($Q29=4,1,0)),IF($F29&lt;=85,1,0))</formula>
    </cfRule>
  </conditionalFormatting>
  <conditionalFormatting sqref="AV30">
    <cfRule type="expression" priority="629" dxfId="23">
      <formula>AV30="X"</formula>
    </cfRule>
    <cfRule type="expression" priority="630" dxfId="22">
      <formula>AV30="후보"</formula>
    </cfRule>
  </conditionalFormatting>
  <conditionalFormatting sqref="AC3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0">
    <cfRule type="expression" priority="621" dxfId="3">
      <formula>AND(IF(OR($Q30=1,$Q30=2),1,0),IF($X30&lt;=20,1,0))</formula>
    </cfRule>
    <cfRule type="expression" priority="622" dxfId="2">
      <formula>AND(IF($Q30=2,1,0),IF($X30&lt;30,1,0))</formula>
    </cfRule>
    <cfRule type="expression" priority="623" dxfId="1">
      <formula>AND(IF($Q30=3,1,0),IF($X30&lt;30,1,0))</formula>
    </cfRule>
    <cfRule type="expression" priority="624" dxfId="0">
      <formula>AND(IF($Q30=3,1,IF($Q30=4,1,0)),IF($F30&lt;=85,1,0))</formula>
    </cfRule>
  </conditionalFormatting>
  <conditionalFormatting sqref="X30">
    <cfRule type="expression" priority="617" dxfId="3">
      <formula>AND(IF(OR($Q30=1,$Q30=2),1,0),IF($X30&lt;=20,1,0))</formula>
    </cfRule>
    <cfRule type="expression" priority="618" dxfId="2">
      <formula>AND(IF($Q30=2,1,0),IF($X30&lt;30,1,0))</formula>
    </cfRule>
    <cfRule type="expression" priority="619" dxfId="1">
      <formula>AND(IF($Q30=3,1,0),IF($X30&lt;30,1,0))</formula>
    </cfRule>
    <cfRule type="expression" priority="620" dxfId="0">
      <formula>AND(IF($Q30=3,1,IF($Q30=4,1,0)),IF($F30&lt;=85,1,0))</formula>
    </cfRule>
  </conditionalFormatting>
  <conditionalFormatting sqref="AI30">
    <cfRule type="expression" priority="613" dxfId="3">
      <formula>AND(IF(OR($Q30=1,$Q30=2),1,0),IF($X30&lt;=20,1,0))</formula>
    </cfRule>
    <cfRule type="expression" priority="614" dxfId="2">
      <formula>AND(IF($Q30=2,1,0),IF($X30&lt;30,1,0))</formula>
    </cfRule>
    <cfRule type="expression" priority="615" dxfId="1">
      <formula>AND(IF($Q30=3,1,0),IF($X30&lt;30,1,0))</formula>
    </cfRule>
    <cfRule type="expression" priority="616" dxfId="0">
      <formula>AND(IF($Q30=3,1,IF($Q30=4,1,0)),IF($F30&lt;=85,1,0))</formula>
    </cfRule>
  </conditionalFormatting>
  <conditionalFormatting sqref="AV31">
    <cfRule type="expression" priority="611" dxfId="23">
      <formula>AV31="X"</formula>
    </cfRule>
    <cfRule type="expression" priority="612" dxfId="22">
      <formula>AV31="후보"</formula>
    </cfRule>
  </conditionalFormatting>
  <conditionalFormatting sqref="AC3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1">
    <cfRule type="expression" priority="603" dxfId="3">
      <formula>AND(IF(OR($Q31=1,$Q31=2),1,0),IF($X31&lt;=20,1,0))</formula>
    </cfRule>
    <cfRule type="expression" priority="604" dxfId="2">
      <formula>AND(IF($Q31=2,1,0),IF($X31&lt;30,1,0))</formula>
    </cfRule>
    <cfRule type="expression" priority="605" dxfId="1">
      <formula>AND(IF($Q31=3,1,0),IF($X31&lt;30,1,0))</formula>
    </cfRule>
    <cfRule type="expression" priority="606" dxfId="0">
      <formula>AND(IF($Q31=3,1,IF($Q31=4,1,0)),IF($F31&lt;=85,1,0))</formula>
    </cfRule>
  </conditionalFormatting>
  <conditionalFormatting sqref="X31">
    <cfRule type="expression" priority="599" dxfId="3">
      <formula>AND(IF(OR($Q31=1,$Q31=2),1,0),IF($X31&lt;=20,1,0))</formula>
    </cfRule>
    <cfRule type="expression" priority="600" dxfId="2">
      <formula>AND(IF($Q31=2,1,0),IF($X31&lt;30,1,0))</formula>
    </cfRule>
    <cfRule type="expression" priority="601" dxfId="1">
      <formula>AND(IF($Q31=3,1,0),IF($X31&lt;30,1,0))</formula>
    </cfRule>
    <cfRule type="expression" priority="602" dxfId="0">
      <formula>AND(IF($Q31=3,1,IF($Q31=4,1,0)),IF($F31&lt;=85,1,0))</formula>
    </cfRule>
  </conditionalFormatting>
  <conditionalFormatting sqref="AI31">
    <cfRule type="expression" priority="595" dxfId="3">
      <formula>AND(IF(OR($Q31=1,$Q31=2),1,0),IF($X31&lt;=20,1,0))</formula>
    </cfRule>
    <cfRule type="expression" priority="596" dxfId="2">
      <formula>AND(IF($Q31=2,1,0),IF($X31&lt;30,1,0))</formula>
    </cfRule>
    <cfRule type="expression" priority="597" dxfId="1">
      <formula>AND(IF($Q31=3,1,0),IF($X31&lt;30,1,0))</formula>
    </cfRule>
    <cfRule type="expression" priority="598" dxfId="0">
      <formula>AND(IF($Q31=3,1,IF($Q31=4,1,0)),IF($F31&lt;=85,1,0))</formula>
    </cfRule>
  </conditionalFormatting>
  <conditionalFormatting sqref="AV32">
    <cfRule type="expression" priority="593" dxfId="23">
      <formula>AV32="X"</formula>
    </cfRule>
    <cfRule type="expression" priority="594" dxfId="22">
      <formula>AV32="후보"</formula>
    </cfRule>
  </conditionalFormatting>
  <conditionalFormatting sqref="AC3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2">
    <cfRule type="expression" priority="585" dxfId="3">
      <formula>AND(IF(OR($Q32=1,$Q32=2),1,0),IF($X32&lt;=20,1,0))</formula>
    </cfRule>
    <cfRule type="expression" priority="586" dxfId="2">
      <formula>AND(IF($Q32=2,1,0),IF($X32&lt;30,1,0))</formula>
    </cfRule>
    <cfRule type="expression" priority="587" dxfId="1">
      <formula>AND(IF($Q32=3,1,0),IF($X32&lt;30,1,0))</formula>
    </cfRule>
    <cfRule type="expression" priority="588" dxfId="0">
      <formula>AND(IF($Q32=3,1,IF($Q32=4,1,0)),IF($F32&lt;=85,1,0))</formula>
    </cfRule>
  </conditionalFormatting>
  <conditionalFormatting sqref="X32">
    <cfRule type="expression" priority="581" dxfId="3">
      <formula>AND(IF(OR($Q32=1,$Q32=2),1,0),IF($X32&lt;=20,1,0))</formula>
    </cfRule>
    <cfRule type="expression" priority="582" dxfId="2">
      <formula>AND(IF($Q32=2,1,0),IF($X32&lt;30,1,0))</formula>
    </cfRule>
    <cfRule type="expression" priority="583" dxfId="1">
      <formula>AND(IF($Q32=3,1,0),IF($X32&lt;30,1,0))</formula>
    </cfRule>
    <cfRule type="expression" priority="584" dxfId="0">
      <formula>AND(IF($Q32=3,1,IF($Q32=4,1,0)),IF($F32&lt;=85,1,0))</formula>
    </cfRule>
  </conditionalFormatting>
  <conditionalFormatting sqref="AI32">
    <cfRule type="expression" priority="577" dxfId="3">
      <formula>AND(IF(OR($Q32=1,$Q32=2),1,0),IF($X32&lt;=20,1,0))</formula>
    </cfRule>
    <cfRule type="expression" priority="578" dxfId="2">
      <formula>AND(IF($Q32=2,1,0),IF($X32&lt;30,1,0))</formula>
    </cfRule>
    <cfRule type="expression" priority="579" dxfId="1">
      <formula>AND(IF($Q32=3,1,0),IF($X32&lt;30,1,0))</formula>
    </cfRule>
    <cfRule type="expression" priority="580" dxfId="0">
      <formula>AND(IF($Q32=3,1,IF($Q32=4,1,0)),IF($F32&lt;=85,1,0))</formula>
    </cfRule>
  </conditionalFormatting>
  <conditionalFormatting sqref="AV33">
    <cfRule type="expression" priority="575" dxfId="23">
      <formula>AV33="X"</formula>
    </cfRule>
    <cfRule type="expression" priority="576" dxfId="22">
      <formula>AV33="후보"</formula>
    </cfRule>
  </conditionalFormatting>
  <conditionalFormatting sqref="AC33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3">
    <cfRule type="expression" priority="567" dxfId="3">
      <formula>AND(IF(OR($Q33=1,$Q33=2),1,0),IF($X33&lt;=20,1,0))</formula>
    </cfRule>
    <cfRule type="expression" priority="568" dxfId="2">
      <formula>AND(IF($Q33=2,1,0),IF($X33&lt;30,1,0))</formula>
    </cfRule>
    <cfRule type="expression" priority="569" dxfId="1">
      <formula>AND(IF($Q33=3,1,0),IF($X33&lt;30,1,0))</formula>
    </cfRule>
    <cfRule type="expression" priority="570" dxfId="0">
      <formula>AND(IF($Q33=3,1,IF($Q33=4,1,0)),IF($F33&lt;=85,1,0))</formula>
    </cfRule>
  </conditionalFormatting>
  <conditionalFormatting sqref="X33">
    <cfRule type="expression" priority="563" dxfId="3">
      <formula>AND(IF(OR($Q33=1,$Q33=2),1,0),IF($X33&lt;=20,1,0))</formula>
    </cfRule>
    <cfRule type="expression" priority="564" dxfId="2">
      <formula>AND(IF($Q33=2,1,0),IF($X33&lt;30,1,0))</formula>
    </cfRule>
    <cfRule type="expression" priority="565" dxfId="1">
      <formula>AND(IF($Q33=3,1,0),IF($X33&lt;30,1,0))</formula>
    </cfRule>
    <cfRule type="expression" priority="566" dxfId="0">
      <formula>AND(IF($Q33=3,1,IF($Q33=4,1,0)),IF($F33&lt;=85,1,0))</formula>
    </cfRule>
  </conditionalFormatting>
  <conditionalFormatting sqref="AI33">
    <cfRule type="expression" priority="559" dxfId="3">
      <formula>AND(IF(OR($Q33=1,$Q33=2),1,0),IF($X33&lt;=20,1,0))</formula>
    </cfRule>
    <cfRule type="expression" priority="560" dxfId="2">
      <formula>AND(IF($Q33=2,1,0),IF($X33&lt;30,1,0))</formula>
    </cfRule>
    <cfRule type="expression" priority="561" dxfId="1">
      <formula>AND(IF($Q33=3,1,0),IF($X33&lt;30,1,0))</formula>
    </cfRule>
    <cfRule type="expression" priority="562" dxfId="0">
      <formula>AND(IF($Q33=3,1,IF($Q33=4,1,0)),IF($F33&lt;=85,1,0))</formula>
    </cfRule>
  </conditionalFormatting>
  <conditionalFormatting sqref="AV34">
    <cfRule type="expression" priority="557" dxfId="23">
      <formula>AV34="X"</formula>
    </cfRule>
    <cfRule type="expression" priority="558" dxfId="22">
      <formula>AV34="후보"</formula>
    </cfRule>
  </conditionalFormatting>
  <conditionalFormatting sqref="AC34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4">
    <cfRule type="expression" priority="549" dxfId="3">
      <formula>AND(IF(OR($Q34=1,$Q34=2),1,0),IF($X34&lt;=20,1,0))</formula>
    </cfRule>
    <cfRule type="expression" priority="550" dxfId="2">
      <formula>AND(IF($Q34=2,1,0),IF($X34&lt;30,1,0))</formula>
    </cfRule>
    <cfRule type="expression" priority="551" dxfId="1">
      <formula>AND(IF($Q34=3,1,0),IF($X34&lt;30,1,0))</formula>
    </cfRule>
    <cfRule type="expression" priority="552" dxfId="0">
      <formula>AND(IF($Q34=3,1,IF($Q34=4,1,0)),IF($F34&lt;=85,1,0))</formula>
    </cfRule>
  </conditionalFormatting>
  <conditionalFormatting sqref="X34">
    <cfRule type="expression" priority="545" dxfId="3">
      <formula>AND(IF(OR($Q34=1,$Q34=2),1,0),IF($X34&lt;=20,1,0))</formula>
    </cfRule>
    <cfRule type="expression" priority="546" dxfId="2">
      <formula>AND(IF($Q34=2,1,0),IF($X34&lt;30,1,0))</formula>
    </cfRule>
    <cfRule type="expression" priority="547" dxfId="1">
      <formula>AND(IF($Q34=3,1,0),IF($X34&lt;30,1,0))</formula>
    </cfRule>
    <cfRule type="expression" priority="548" dxfId="0">
      <formula>AND(IF($Q34=3,1,IF($Q34=4,1,0)),IF($F34&lt;=85,1,0))</formula>
    </cfRule>
  </conditionalFormatting>
  <conditionalFormatting sqref="AI34">
    <cfRule type="expression" priority="541" dxfId="3">
      <formula>AND(IF(OR($Q34=1,$Q34=2),1,0),IF($X34&lt;=20,1,0))</formula>
    </cfRule>
    <cfRule type="expression" priority="542" dxfId="2">
      <formula>AND(IF($Q34=2,1,0),IF($X34&lt;30,1,0))</formula>
    </cfRule>
    <cfRule type="expression" priority="543" dxfId="1">
      <formula>AND(IF($Q34=3,1,0),IF($X34&lt;30,1,0))</formula>
    </cfRule>
    <cfRule type="expression" priority="544" dxfId="0">
      <formula>AND(IF($Q34=3,1,IF($Q34=4,1,0)),IF($F34&lt;=85,1,0))</formula>
    </cfRule>
  </conditionalFormatting>
  <conditionalFormatting sqref="AV35">
    <cfRule type="expression" priority="539" dxfId="23">
      <formula>AV35="X"</formula>
    </cfRule>
    <cfRule type="expression" priority="540" dxfId="22">
      <formula>AV35="후보"</formula>
    </cfRule>
  </conditionalFormatting>
  <conditionalFormatting sqref="AC3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5">
    <cfRule type="expression" priority="531" dxfId="3">
      <formula>AND(IF(OR($Q35=1,$Q35=2),1,0),IF($X35&lt;=20,1,0))</formula>
    </cfRule>
    <cfRule type="expression" priority="532" dxfId="2">
      <formula>AND(IF($Q35=2,1,0),IF($X35&lt;30,1,0))</formula>
    </cfRule>
    <cfRule type="expression" priority="533" dxfId="1">
      <formula>AND(IF($Q35=3,1,0),IF($X35&lt;30,1,0))</formula>
    </cfRule>
    <cfRule type="expression" priority="534" dxfId="0">
      <formula>AND(IF($Q35=3,1,IF($Q35=4,1,0)),IF($F35&lt;=85,1,0))</formula>
    </cfRule>
  </conditionalFormatting>
  <conditionalFormatting sqref="X35">
    <cfRule type="expression" priority="527" dxfId="3">
      <formula>AND(IF(OR($Q35=1,$Q35=2),1,0),IF($X35&lt;=20,1,0))</formula>
    </cfRule>
    <cfRule type="expression" priority="528" dxfId="2">
      <formula>AND(IF($Q35=2,1,0),IF($X35&lt;30,1,0))</formula>
    </cfRule>
    <cfRule type="expression" priority="529" dxfId="1">
      <formula>AND(IF($Q35=3,1,0),IF($X35&lt;30,1,0))</formula>
    </cfRule>
    <cfRule type="expression" priority="530" dxfId="0">
      <formula>AND(IF($Q35=3,1,IF($Q35=4,1,0)),IF($F35&lt;=85,1,0))</formula>
    </cfRule>
  </conditionalFormatting>
  <conditionalFormatting sqref="AI35">
    <cfRule type="expression" priority="523" dxfId="3">
      <formula>AND(IF(OR($Q35=1,$Q35=2),1,0),IF($X35&lt;=20,1,0))</formula>
    </cfRule>
    <cfRule type="expression" priority="524" dxfId="2">
      <formula>AND(IF($Q35=2,1,0),IF($X35&lt;30,1,0))</formula>
    </cfRule>
    <cfRule type="expression" priority="525" dxfId="1">
      <formula>AND(IF($Q35=3,1,0),IF($X35&lt;30,1,0))</formula>
    </cfRule>
    <cfRule type="expression" priority="526" dxfId="0">
      <formula>AND(IF($Q35=3,1,IF($Q35=4,1,0)),IF($F35&lt;=85,1,0))</formula>
    </cfRule>
  </conditionalFormatting>
  <conditionalFormatting sqref="AV36">
    <cfRule type="expression" priority="521" dxfId="23">
      <formula>AV36="X"</formula>
    </cfRule>
    <cfRule type="expression" priority="522" dxfId="22">
      <formula>AV36="후보"</formula>
    </cfRule>
  </conditionalFormatting>
  <conditionalFormatting sqref="AC3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6">
    <cfRule type="expression" priority="513" dxfId="3">
      <formula>AND(IF(OR($Q36=1,$Q36=2),1,0),IF($X36&lt;=20,1,0))</formula>
    </cfRule>
    <cfRule type="expression" priority="514" dxfId="2">
      <formula>AND(IF($Q36=2,1,0),IF($X36&lt;30,1,0))</formula>
    </cfRule>
    <cfRule type="expression" priority="515" dxfId="1">
      <formula>AND(IF($Q36=3,1,0),IF($X36&lt;30,1,0))</formula>
    </cfRule>
    <cfRule type="expression" priority="516" dxfId="0">
      <formula>AND(IF($Q36=3,1,IF($Q36=4,1,0)),IF($F36&lt;=85,1,0))</formula>
    </cfRule>
  </conditionalFormatting>
  <conditionalFormatting sqref="X36">
    <cfRule type="expression" priority="509" dxfId="3">
      <formula>AND(IF(OR($Q36=1,$Q36=2),1,0),IF($X36&lt;=20,1,0))</formula>
    </cfRule>
    <cfRule type="expression" priority="510" dxfId="2">
      <formula>AND(IF($Q36=2,1,0),IF($X36&lt;30,1,0))</formula>
    </cfRule>
    <cfRule type="expression" priority="511" dxfId="1">
      <formula>AND(IF($Q36=3,1,0),IF($X36&lt;30,1,0))</formula>
    </cfRule>
    <cfRule type="expression" priority="512" dxfId="0">
      <formula>AND(IF($Q36=3,1,IF($Q36=4,1,0)),IF($F36&lt;=85,1,0))</formula>
    </cfRule>
  </conditionalFormatting>
  <conditionalFormatting sqref="AI36">
    <cfRule type="expression" priority="505" dxfId="3">
      <formula>AND(IF(OR($Q36=1,$Q36=2),1,0),IF($X36&lt;=20,1,0))</formula>
    </cfRule>
    <cfRule type="expression" priority="506" dxfId="2">
      <formula>AND(IF($Q36=2,1,0),IF($X36&lt;30,1,0))</formula>
    </cfRule>
    <cfRule type="expression" priority="507" dxfId="1">
      <formula>AND(IF($Q36=3,1,0),IF($X36&lt;30,1,0))</formula>
    </cfRule>
    <cfRule type="expression" priority="508" dxfId="0">
      <formula>AND(IF($Q36=3,1,IF($Q36=4,1,0)),IF($F36&lt;=85,1,0))</formula>
    </cfRule>
  </conditionalFormatting>
  <conditionalFormatting sqref="AV37">
    <cfRule type="expression" priority="503" dxfId="23">
      <formula>AV37="X"</formula>
    </cfRule>
    <cfRule type="expression" priority="504" dxfId="22">
      <formula>AV37="후보"</formula>
    </cfRule>
  </conditionalFormatting>
  <conditionalFormatting sqref="AC3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7">
    <cfRule type="expression" priority="495" dxfId="3">
      <formula>AND(IF(OR($Q37=1,$Q37=2),1,0),IF($X37&lt;=20,1,0))</formula>
    </cfRule>
    <cfRule type="expression" priority="496" dxfId="2">
      <formula>AND(IF($Q37=2,1,0),IF($X37&lt;30,1,0))</formula>
    </cfRule>
    <cfRule type="expression" priority="497" dxfId="1">
      <formula>AND(IF($Q37=3,1,0),IF($X37&lt;30,1,0))</formula>
    </cfRule>
    <cfRule type="expression" priority="498" dxfId="0">
      <formula>AND(IF($Q37=3,1,IF($Q37=4,1,0)),IF($F37&lt;=85,1,0))</formula>
    </cfRule>
  </conditionalFormatting>
  <conditionalFormatting sqref="X37">
    <cfRule type="expression" priority="491" dxfId="3">
      <formula>AND(IF(OR($Q37=1,$Q37=2),1,0),IF($X37&lt;=20,1,0))</formula>
    </cfRule>
    <cfRule type="expression" priority="492" dxfId="2">
      <formula>AND(IF($Q37=2,1,0),IF($X37&lt;30,1,0))</formula>
    </cfRule>
    <cfRule type="expression" priority="493" dxfId="1">
      <formula>AND(IF($Q37=3,1,0),IF($X37&lt;30,1,0))</formula>
    </cfRule>
    <cfRule type="expression" priority="494" dxfId="0">
      <formula>AND(IF($Q37=3,1,IF($Q37=4,1,0)),IF($F37&lt;=85,1,0))</formula>
    </cfRule>
  </conditionalFormatting>
  <conditionalFormatting sqref="AI37">
    <cfRule type="expression" priority="487" dxfId="3">
      <formula>AND(IF(OR($Q37=1,$Q37=2),1,0),IF($X37&lt;=20,1,0))</formula>
    </cfRule>
    <cfRule type="expression" priority="488" dxfId="2">
      <formula>AND(IF($Q37=2,1,0),IF($X37&lt;30,1,0))</formula>
    </cfRule>
    <cfRule type="expression" priority="489" dxfId="1">
      <formula>AND(IF($Q37=3,1,0),IF($X37&lt;30,1,0))</formula>
    </cfRule>
    <cfRule type="expression" priority="490" dxfId="0">
      <formula>AND(IF($Q37=3,1,IF($Q37=4,1,0)),IF($F37&lt;=85,1,0))</formula>
    </cfRule>
  </conditionalFormatting>
  <conditionalFormatting sqref="AV38">
    <cfRule type="expression" priority="485" dxfId="23">
      <formula>AV38="X"</formula>
    </cfRule>
    <cfRule type="expression" priority="486" dxfId="22">
      <formula>AV38="후보"</formula>
    </cfRule>
  </conditionalFormatting>
  <conditionalFormatting sqref="AC38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8">
    <cfRule type="expression" priority="477" dxfId="3">
      <formula>AND(IF(OR($Q38=1,$Q38=2),1,0),IF($X38&lt;=20,1,0))</formula>
    </cfRule>
    <cfRule type="expression" priority="478" dxfId="2">
      <formula>AND(IF($Q38=2,1,0),IF($X38&lt;30,1,0))</formula>
    </cfRule>
    <cfRule type="expression" priority="479" dxfId="1">
      <formula>AND(IF($Q38=3,1,0),IF($X38&lt;30,1,0))</formula>
    </cfRule>
    <cfRule type="expression" priority="480" dxfId="0">
      <formula>AND(IF($Q38=3,1,IF($Q38=4,1,0)),IF($F38&lt;=85,1,0))</formula>
    </cfRule>
  </conditionalFormatting>
  <conditionalFormatting sqref="X38">
    <cfRule type="expression" priority="473" dxfId="3">
      <formula>AND(IF(OR($Q38=1,$Q38=2),1,0),IF($X38&lt;=20,1,0))</formula>
    </cfRule>
    <cfRule type="expression" priority="474" dxfId="2">
      <formula>AND(IF($Q38=2,1,0),IF($X38&lt;30,1,0))</formula>
    </cfRule>
    <cfRule type="expression" priority="475" dxfId="1">
      <formula>AND(IF($Q38=3,1,0),IF($X38&lt;30,1,0))</formula>
    </cfRule>
    <cfRule type="expression" priority="476" dxfId="0">
      <formula>AND(IF($Q38=3,1,IF($Q38=4,1,0)),IF($F38&lt;=85,1,0))</formula>
    </cfRule>
  </conditionalFormatting>
  <conditionalFormatting sqref="AI38">
    <cfRule type="expression" priority="469" dxfId="3">
      <formula>AND(IF(OR($Q38=1,$Q38=2),1,0),IF($X38&lt;=20,1,0))</formula>
    </cfRule>
    <cfRule type="expression" priority="470" dxfId="2">
      <formula>AND(IF($Q38=2,1,0),IF($X38&lt;30,1,0))</formula>
    </cfRule>
    <cfRule type="expression" priority="471" dxfId="1">
      <formula>AND(IF($Q38=3,1,0),IF($X38&lt;30,1,0))</formula>
    </cfRule>
    <cfRule type="expression" priority="472" dxfId="0">
      <formula>AND(IF($Q38=3,1,IF($Q38=4,1,0)),IF($F38&lt;=85,1,0))</formula>
    </cfRule>
  </conditionalFormatting>
  <conditionalFormatting sqref="AV39">
    <cfRule type="expression" priority="467" dxfId="23">
      <formula>AV39="X"</formula>
    </cfRule>
    <cfRule type="expression" priority="468" dxfId="22">
      <formula>AV39="후보"</formula>
    </cfRule>
  </conditionalFormatting>
  <conditionalFormatting sqref="AC3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9">
    <cfRule type="expression" priority="459" dxfId="3">
      <formula>AND(IF(OR($Q39=1,$Q39=2),1,0),IF($X39&lt;=20,1,0))</formula>
    </cfRule>
    <cfRule type="expression" priority="460" dxfId="2">
      <formula>AND(IF($Q39=2,1,0),IF($X39&lt;30,1,0))</formula>
    </cfRule>
    <cfRule type="expression" priority="461" dxfId="1">
      <formula>AND(IF($Q39=3,1,0),IF($X39&lt;30,1,0))</formula>
    </cfRule>
    <cfRule type="expression" priority="462" dxfId="0">
      <formula>AND(IF($Q39=3,1,IF($Q39=4,1,0)),IF($F39&lt;=85,1,0))</formula>
    </cfRule>
  </conditionalFormatting>
  <conditionalFormatting sqref="X39">
    <cfRule type="expression" priority="455" dxfId="3">
      <formula>AND(IF(OR($Q39=1,$Q39=2),1,0),IF($X39&lt;=20,1,0))</formula>
    </cfRule>
    <cfRule type="expression" priority="456" dxfId="2">
      <formula>AND(IF($Q39=2,1,0),IF($X39&lt;30,1,0))</formula>
    </cfRule>
    <cfRule type="expression" priority="457" dxfId="1">
      <formula>AND(IF($Q39=3,1,0),IF($X39&lt;30,1,0))</formula>
    </cfRule>
    <cfRule type="expression" priority="458" dxfId="0">
      <formula>AND(IF($Q39=3,1,IF($Q39=4,1,0)),IF($F39&lt;=85,1,0))</formula>
    </cfRule>
  </conditionalFormatting>
  <conditionalFormatting sqref="AI39">
    <cfRule type="expression" priority="451" dxfId="3">
      <formula>AND(IF(OR($Q39=1,$Q39=2),1,0),IF($X39&lt;=20,1,0))</formula>
    </cfRule>
    <cfRule type="expression" priority="452" dxfId="2">
      <formula>AND(IF($Q39=2,1,0),IF($X39&lt;30,1,0))</formula>
    </cfRule>
    <cfRule type="expression" priority="453" dxfId="1">
      <formula>AND(IF($Q39=3,1,0),IF($X39&lt;30,1,0))</formula>
    </cfRule>
    <cfRule type="expression" priority="454" dxfId="0">
      <formula>AND(IF($Q39=3,1,IF($Q39=4,1,0)),IF($F39&lt;=85,1,0))</formula>
    </cfRule>
  </conditionalFormatting>
  <conditionalFormatting sqref="AV40">
    <cfRule type="expression" priority="449" dxfId="23">
      <formula>AV40="X"</formula>
    </cfRule>
    <cfRule type="expression" priority="450" dxfId="22">
      <formula>AV40="후보"</formula>
    </cfRule>
  </conditionalFormatting>
  <conditionalFormatting sqref="AC40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4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40">
    <cfRule type="expression" priority="441" dxfId="3">
      <formula>AND(IF(OR($Q40=1,$Q40=2),1,0),IF($X40&lt;=20,1,0))</formula>
    </cfRule>
    <cfRule type="expression" priority="442" dxfId="2">
      <formula>AND(IF($Q40=2,1,0),IF($X40&lt;30,1,0))</formula>
    </cfRule>
    <cfRule type="expression" priority="443" dxfId="1">
      <formula>AND(IF($Q40=3,1,0),IF($X40&lt;30,1,0))</formula>
    </cfRule>
    <cfRule type="expression" priority="444" dxfId="0">
      <formula>AND(IF($Q40=3,1,IF($Q40=4,1,0)),IF($F40&lt;=85,1,0))</formula>
    </cfRule>
  </conditionalFormatting>
  <conditionalFormatting sqref="X40">
    <cfRule type="expression" priority="437" dxfId="3">
      <formula>AND(IF(OR($Q40=1,$Q40=2),1,0),IF($X40&lt;=20,1,0))</formula>
    </cfRule>
    <cfRule type="expression" priority="438" dxfId="2">
      <formula>AND(IF($Q40=2,1,0),IF($X40&lt;30,1,0))</formula>
    </cfRule>
    <cfRule type="expression" priority="439" dxfId="1">
      <formula>AND(IF($Q40=3,1,0),IF($X40&lt;30,1,0))</formula>
    </cfRule>
    <cfRule type="expression" priority="440" dxfId="0">
      <formula>AND(IF($Q40=3,1,IF($Q40=4,1,0)),IF($F40&lt;=85,1,0))</formula>
    </cfRule>
  </conditionalFormatting>
  <conditionalFormatting sqref="AI40">
    <cfRule type="expression" priority="433" dxfId="3">
      <formula>AND(IF(OR($Q40=1,$Q40=2),1,0),IF($X40&lt;=20,1,0))</formula>
    </cfRule>
    <cfRule type="expression" priority="434" dxfId="2">
      <formula>AND(IF($Q40=2,1,0),IF($X40&lt;30,1,0))</formula>
    </cfRule>
    <cfRule type="expression" priority="435" dxfId="1">
      <formula>AND(IF($Q40=3,1,0),IF($X40&lt;30,1,0))</formula>
    </cfRule>
    <cfRule type="expression" priority="436" dxfId="0">
      <formula>AND(IF($Q40=3,1,IF($Q40=4,1,0)),IF($F40&lt;=85,1,0))</formula>
    </cfRule>
  </conditionalFormatting>
  <conditionalFormatting sqref="AV41">
    <cfRule type="expression" priority="431" dxfId="23">
      <formula>AV41="X"</formula>
    </cfRule>
    <cfRule type="expression" priority="432" dxfId="22">
      <formula>AV41="후보"</formula>
    </cfRule>
  </conditionalFormatting>
  <conditionalFormatting sqref="AC4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1">
    <cfRule type="expression" priority="423" dxfId="3">
      <formula>AND(IF(OR($Q41=1,$Q41=2),1,0),IF($X41&lt;=20,1,0))</formula>
    </cfRule>
    <cfRule type="expression" priority="424" dxfId="2">
      <formula>AND(IF($Q41=2,1,0),IF($X41&lt;30,1,0))</formula>
    </cfRule>
    <cfRule type="expression" priority="425" dxfId="1">
      <formula>AND(IF($Q41=3,1,0),IF($X41&lt;30,1,0))</formula>
    </cfRule>
    <cfRule type="expression" priority="426" dxfId="0">
      <formula>AND(IF($Q41=3,1,IF($Q41=4,1,0)),IF($F41&lt;=85,1,0))</formula>
    </cfRule>
  </conditionalFormatting>
  <conditionalFormatting sqref="X41">
    <cfRule type="expression" priority="419" dxfId="3">
      <formula>AND(IF(OR($Q41=1,$Q41=2),1,0),IF($X41&lt;=20,1,0))</formula>
    </cfRule>
    <cfRule type="expression" priority="420" dxfId="2">
      <formula>AND(IF($Q41=2,1,0),IF($X41&lt;30,1,0))</formula>
    </cfRule>
    <cfRule type="expression" priority="421" dxfId="1">
      <formula>AND(IF($Q41=3,1,0),IF($X41&lt;30,1,0))</formula>
    </cfRule>
    <cfRule type="expression" priority="422" dxfId="0">
      <formula>AND(IF($Q41=3,1,IF($Q41=4,1,0)),IF($F41&lt;=85,1,0))</formula>
    </cfRule>
  </conditionalFormatting>
  <conditionalFormatting sqref="AI41">
    <cfRule type="expression" priority="415" dxfId="3">
      <formula>AND(IF(OR($Q41=1,$Q41=2),1,0),IF($X41&lt;=20,1,0))</formula>
    </cfRule>
    <cfRule type="expression" priority="416" dxfId="2">
      <formula>AND(IF($Q41=2,1,0),IF($X41&lt;30,1,0))</formula>
    </cfRule>
    <cfRule type="expression" priority="417" dxfId="1">
      <formula>AND(IF($Q41=3,1,0),IF($X41&lt;30,1,0))</formula>
    </cfRule>
    <cfRule type="expression" priority="418" dxfId="0">
      <formula>AND(IF($Q41=3,1,IF($Q41=4,1,0)),IF($F41&lt;=85,1,0))</formula>
    </cfRule>
  </conditionalFormatting>
  <conditionalFormatting sqref="AV42">
    <cfRule type="expression" priority="413" dxfId="23">
      <formula>AV42="X"</formula>
    </cfRule>
    <cfRule type="expression" priority="414" dxfId="22">
      <formula>AV42="후보"</formula>
    </cfRule>
  </conditionalFormatting>
  <conditionalFormatting sqref="AC42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4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42">
    <cfRule type="expression" priority="405" dxfId="3">
      <formula>AND(IF(OR($Q42=1,$Q42=2),1,0),IF($X42&lt;=20,1,0))</formula>
    </cfRule>
    <cfRule type="expression" priority="406" dxfId="2">
      <formula>AND(IF($Q42=2,1,0),IF($X42&lt;30,1,0))</formula>
    </cfRule>
    <cfRule type="expression" priority="407" dxfId="1">
      <formula>AND(IF($Q42=3,1,0),IF($X42&lt;30,1,0))</formula>
    </cfRule>
    <cfRule type="expression" priority="408" dxfId="0">
      <formula>AND(IF($Q42=3,1,IF($Q42=4,1,0)),IF($F42&lt;=85,1,0))</formula>
    </cfRule>
  </conditionalFormatting>
  <conditionalFormatting sqref="X42">
    <cfRule type="expression" priority="401" dxfId="3">
      <formula>AND(IF(OR($Q42=1,$Q42=2),1,0),IF($X42&lt;=20,1,0))</formula>
    </cfRule>
    <cfRule type="expression" priority="402" dxfId="2">
      <formula>AND(IF($Q42=2,1,0),IF($X42&lt;30,1,0))</formula>
    </cfRule>
    <cfRule type="expression" priority="403" dxfId="1">
      <formula>AND(IF($Q42=3,1,0),IF($X42&lt;30,1,0))</formula>
    </cfRule>
    <cfRule type="expression" priority="404" dxfId="0">
      <formula>AND(IF($Q42=3,1,IF($Q42=4,1,0)),IF($F42&lt;=85,1,0))</formula>
    </cfRule>
  </conditionalFormatting>
  <conditionalFormatting sqref="AI42">
    <cfRule type="expression" priority="397" dxfId="3">
      <formula>AND(IF(OR($Q42=1,$Q42=2),1,0),IF($X42&lt;=20,1,0))</formula>
    </cfRule>
    <cfRule type="expression" priority="398" dxfId="2">
      <formula>AND(IF($Q42=2,1,0),IF($X42&lt;30,1,0))</formula>
    </cfRule>
    <cfRule type="expression" priority="399" dxfId="1">
      <formula>AND(IF($Q42=3,1,0),IF($X42&lt;30,1,0))</formula>
    </cfRule>
    <cfRule type="expression" priority="400" dxfId="0">
      <formula>AND(IF($Q42=3,1,IF($Q42=4,1,0)),IF($F42&lt;=85,1,0))</formula>
    </cfRule>
  </conditionalFormatting>
  <conditionalFormatting sqref="AV43">
    <cfRule type="expression" priority="395" dxfId="23">
      <formula>AV43="X"</formula>
    </cfRule>
    <cfRule type="expression" priority="396" dxfId="22">
      <formula>AV43="후보"</formula>
    </cfRule>
  </conditionalFormatting>
  <conditionalFormatting sqref="AC43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4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43">
    <cfRule type="expression" priority="387" dxfId="3">
      <formula>AND(IF(OR($Q43=1,$Q43=2),1,0),IF($X43&lt;=20,1,0))</formula>
    </cfRule>
    <cfRule type="expression" priority="388" dxfId="2">
      <formula>AND(IF($Q43=2,1,0),IF($X43&lt;30,1,0))</formula>
    </cfRule>
    <cfRule type="expression" priority="389" dxfId="1">
      <formula>AND(IF($Q43=3,1,0),IF($X43&lt;30,1,0))</formula>
    </cfRule>
    <cfRule type="expression" priority="390" dxfId="0">
      <formula>AND(IF($Q43=3,1,IF($Q43=4,1,0)),IF($F43&lt;=85,1,0))</formula>
    </cfRule>
  </conditionalFormatting>
  <conditionalFormatting sqref="X43">
    <cfRule type="expression" priority="383" dxfId="3">
      <formula>AND(IF(OR($Q43=1,$Q43=2),1,0),IF($X43&lt;=20,1,0))</formula>
    </cfRule>
    <cfRule type="expression" priority="384" dxfId="2">
      <formula>AND(IF($Q43=2,1,0),IF($X43&lt;30,1,0))</formula>
    </cfRule>
    <cfRule type="expression" priority="385" dxfId="1">
      <formula>AND(IF($Q43=3,1,0),IF($X43&lt;30,1,0))</formula>
    </cfRule>
    <cfRule type="expression" priority="386" dxfId="0">
      <formula>AND(IF($Q43=3,1,IF($Q43=4,1,0)),IF($F43&lt;=85,1,0))</formula>
    </cfRule>
  </conditionalFormatting>
  <conditionalFormatting sqref="AI43">
    <cfRule type="expression" priority="379" dxfId="3">
      <formula>AND(IF(OR($Q43=1,$Q43=2),1,0),IF($X43&lt;=20,1,0))</formula>
    </cfRule>
    <cfRule type="expression" priority="380" dxfId="2">
      <formula>AND(IF($Q43=2,1,0),IF($X43&lt;30,1,0))</formula>
    </cfRule>
    <cfRule type="expression" priority="381" dxfId="1">
      <formula>AND(IF($Q43=3,1,0),IF($X43&lt;30,1,0))</formula>
    </cfRule>
    <cfRule type="expression" priority="382" dxfId="0">
      <formula>AND(IF($Q43=3,1,IF($Q43=4,1,0)),IF($F43&lt;=85,1,0))</formula>
    </cfRule>
  </conditionalFormatting>
  <conditionalFormatting sqref="AV44">
    <cfRule type="expression" priority="377" dxfId="23">
      <formula>AV44="X"</formula>
    </cfRule>
    <cfRule type="expression" priority="378" dxfId="22">
      <formula>AV44="후보"</formula>
    </cfRule>
  </conditionalFormatting>
  <conditionalFormatting sqref="AC44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4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44">
    <cfRule type="expression" priority="369" dxfId="3">
      <formula>AND(IF(OR($Q44=1,$Q44=2),1,0),IF($X44&lt;=20,1,0))</formula>
    </cfRule>
    <cfRule type="expression" priority="370" dxfId="2">
      <formula>AND(IF($Q44=2,1,0),IF($X44&lt;30,1,0))</formula>
    </cfRule>
    <cfRule type="expression" priority="371" dxfId="1">
      <formula>AND(IF($Q44=3,1,0),IF($X44&lt;30,1,0))</formula>
    </cfRule>
    <cfRule type="expression" priority="372" dxfId="0">
      <formula>AND(IF($Q44=3,1,IF($Q44=4,1,0)),IF($F44&lt;=85,1,0))</formula>
    </cfRule>
  </conditionalFormatting>
  <conditionalFormatting sqref="X44">
    <cfRule type="expression" priority="365" dxfId="3">
      <formula>AND(IF(OR($Q44=1,$Q44=2),1,0),IF($X44&lt;=20,1,0))</formula>
    </cfRule>
    <cfRule type="expression" priority="366" dxfId="2">
      <formula>AND(IF($Q44=2,1,0),IF($X44&lt;30,1,0))</formula>
    </cfRule>
    <cfRule type="expression" priority="367" dxfId="1">
      <formula>AND(IF($Q44=3,1,0),IF($X44&lt;30,1,0))</formula>
    </cfRule>
    <cfRule type="expression" priority="368" dxfId="0">
      <formula>AND(IF($Q44=3,1,IF($Q44=4,1,0)),IF($F44&lt;=85,1,0))</formula>
    </cfRule>
  </conditionalFormatting>
  <conditionalFormatting sqref="AI44">
    <cfRule type="expression" priority="361" dxfId="3">
      <formula>AND(IF(OR($Q44=1,$Q44=2),1,0),IF($X44&lt;=20,1,0))</formula>
    </cfRule>
    <cfRule type="expression" priority="362" dxfId="2">
      <formula>AND(IF($Q44=2,1,0),IF($X44&lt;30,1,0))</formula>
    </cfRule>
    <cfRule type="expression" priority="363" dxfId="1">
      <formula>AND(IF($Q44=3,1,0),IF($X44&lt;30,1,0))</formula>
    </cfRule>
    <cfRule type="expression" priority="364" dxfId="0">
      <formula>AND(IF($Q44=3,1,IF($Q44=4,1,0)),IF($F44&lt;=85,1,0))</formula>
    </cfRule>
  </conditionalFormatting>
  <conditionalFormatting sqref="AV45">
    <cfRule type="expression" priority="359" dxfId="23">
      <formula>AV45="X"</formula>
    </cfRule>
    <cfRule type="expression" priority="360" dxfId="22">
      <formula>AV45="후보"</formula>
    </cfRule>
  </conditionalFormatting>
  <conditionalFormatting sqref="AC45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4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45">
    <cfRule type="expression" priority="351" dxfId="3">
      <formula>AND(IF(OR($Q45=1,$Q45=2),1,0),IF($X45&lt;=20,1,0))</formula>
    </cfRule>
    <cfRule type="expression" priority="352" dxfId="2">
      <formula>AND(IF($Q45=2,1,0),IF($X45&lt;30,1,0))</formula>
    </cfRule>
    <cfRule type="expression" priority="353" dxfId="1">
      <formula>AND(IF($Q45=3,1,0),IF($X45&lt;30,1,0))</formula>
    </cfRule>
    <cfRule type="expression" priority="354" dxfId="0">
      <formula>AND(IF($Q45=3,1,IF($Q45=4,1,0)),IF($F45&lt;=85,1,0))</formula>
    </cfRule>
  </conditionalFormatting>
  <conditionalFormatting sqref="X45">
    <cfRule type="expression" priority="347" dxfId="3">
      <formula>AND(IF(OR($Q45=1,$Q45=2),1,0),IF($X45&lt;=20,1,0))</formula>
    </cfRule>
    <cfRule type="expression" priority="348" dxfId="2">
      <formula>AND(IF($Q45=2,1,0),IF($X45&lt;30,1,0))</formula>
    </cfRule>
    <cfRule type="expression" priority="349" dxfId="1">
      <formula>AND(IF($Q45=3,1,0),IF($X45&lt;30,1,0))</formula>
    </cfRule>
    <cfRule type="expression" priority="350" dxfId="0">
      <formula>AND(IF($Q45=3,1,IF($Q45=4,1,0)),IF($F45&lt;=85,1,0))</formula>
    </cfRule>
  </conditionalFormatting>
  <conditionalFormatting sqref="AI45">
    <cfRule type="expression" priority="343" dxfId="3">
      <formula>AND(IF(OR($Q45=1,$Q45=2),1,0),IF($X45&lt;=20,1,0))</formula>
    </cfRule>
    <cfRule type="expression" priority="344" dxfId="2">
      <formula>AND(IF($Q45=2,1,0),IF($X45&lt;30,1,0))</formula>
    </cfRule>
    <cfRule type="expression" priority="345" dxfId="1">
      <formula>AND(IF($Q45=3,1,0),IF($X45&lt;30,1,0))</formula>
    </cfRule>
    <cfRule type="expression" priority="346" dxfId="0">
      <formula>AND(IF($Q45=3,1,IF($Q45=4,1,0)),IF($F45&lt;=85,1,0))</formula>
    </cfRule>
  </conditionalFormatting>
  <conditionalFormatting sqref="AV46">
    <cfRule type="expression" priority="341" dxfId="23">
      <formula>AV46="X"</formula>
    </cfRule>
    <cfRule type="expression" priority="342" dxfId="22">
      <formula>AV46="후보"</formula>
    </cfRule>
  </conditionalFormatting>
  <conditionalFormatting sqref="AC4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6">
    <cfRule type="expression" priority="333" dxfId="3">
      <formula>AND(IF(OR($Q46=1,$Q46=2),1,0),IF($X46&lt;=20,1,0))</formula>
    </cfRule>
    <cfRule type="expression" priority="334" dxfId="2">
      <formula>AND(IF($Q46=2,1,0),IF($X46&lt;30,1,0))</formula>
    </cfRule>
    <cfRule type="expression" priority="335" dxfId="1">
      <formula>AND(IF($Q46=3,1,0),IF($X46&lt;30,1,0))</formula>
    </cfRule>
    <cfRule type="expression" priority="336" dxfId="0">
      <formula>AND(IF($Q46=3,1,IF($Q46=4,1,0)),IF($F46&lt;=85,1,0))</formula>
    </cfRule>
  </conditionalFormatting>
  <conditionalFormatting sqref="X46">
    <cfRule type="expression" priority="329" dxfId="3">
      <formula>AND(IF(OR($Q46=1,$Q46=2),1,0),IF($X46&lt;=20,1,0))</formula>
    </cfRule>
    <cfRule type="expression" priority="330" dxfId="2">
      <formula>AND(IF($Q46=2,1,0),IF($X46&lt;30,1,0))</formula>
    </cfRule>
    <cfRule type="expression" priority="331" dxfId="1">
      <formula>AND(IF($Q46=3,1,0),IF($X46&lt;30,1,0))</formula>
    </cfRule>
    <cfRule type="expression" priority="332" dxfId="0">
      <formula>AND(IF($Q46=3,1,IF($Q46=4,1,0)),IF($F46&lt;=85,1,0))</formula>
    </cfRule>
  </conditionalFormatting>
  <conditionalFormatting sqref="AI46">
    <cfRule type="expression" priority="325" dxfId="3">
      <formula>AND(IF(OR($Q46=1,$Q46=2),1,0),IF($X46&lt;=20,1,0))</formula>
    </cfRule>
    <cfRule type="expression" priority="326" dxfId="2">
      <formula>AND(IF($Q46=2,1,0),IF($X46&lt;30,1,0))</formula>
    </cfRule>
    <cfRule type="expression" priority="327" dxfId="1">
      <formula>AND(IF($Q46=3,1,0),IF($X46&lt;30,1,0))</formula>
    </cfRule>
    <cfRule type="expression" priority="328" dxfId="0">
      <formula>AND(IF($Q46=3,1,IF($Q46=4,1,0)),IF($F46&lt;=85,1,0))</formula>
    </cfRule>
  </conditionalFormatting>
  <conditionalFormatting sqref="AV47">
    <cfRule type="expression" priority="323" dxfId="23">
      <formula>AV47="X"</formula>
    </cfRule>
    <cfRule type="expression" priority="324" dxfId="22">
      <formula>AV47="후보"</formula>
    </cfRule>
  </conditionalFormatting>
  <conditionalFormatting sqref="AC47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47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47">
    <cfRule type="expression" priority="315" dxfId="3">
      <formula>AND(IF(OR($Q47=1,$Q47=2),1,0),IF($X47&lt;=20,1,0))</formula>
    </cfRule>
    <cfRule type="expression" priority="316" dxfId="2">
      <formula>AND(IF($Q47=2,1,0),IF($X47&lt;30,1,0))</formula>
    </cfRule>
    <cfRule type="expression" priority="317" dxfId="1">
      <formula>AND(IF($Q47=3,1,0),IF($X47&lt;30,1,0))</formula>
    </cfRule>
    <cfRule type="expression" priority="318" dxfId="0">
      <formula>AND(IF($Q47=3,1,IF($Q47=4,1,0)),IF($F47&lt;=85,1,0))</formula>
    </cfRule>
  </conditionalFormatting>
  <conditionalFormatting sqref="X47">
    <cfRule type="expression" priority="311" dxfId="3">
      <formula>AND(IF(OR($Q47=1,$Q47=2),1,0),IF($X47&lt;=20,1,0))</formula>
    </cfRule>
    <cfRule type="expression" priority="312" dxfId="2">
      <formula>AND(IF($Q47=2,1,0),IF($X47&lt;30,1,0))</formula>
    </cfRule>
    <cfRule type="expression" priority="313" dxfId="1">
      <formula>AND(IF($Q47=3,1,0),IF($X47&lt;30,1,0))</formula>
    </cfRule>
    <cfRule type="expression" priority="314" dxfId="0">
      <formula>AND(IF($Q47=3,1,IF($Q47=4,1,0)),IF($F47&lt;=85,1,0))</formula>
    </cfRule>
  </conditionalFormatting>
  <conditionalFormatting sqref="AI47">
    <cfRule type="expression" priority="307" dxfId="3">
      <formula>AND(IF(OR($Q47=1,$Q47=2),1,0),IF($X47&lt;=20,1,0))</formula>
    </cfRule>
    <cfRule type="expression" priority="308" dxfId="2">
      <formula>AND(IF($Q47=2,1,0),IF($X47&lt;30,1,0))</formula>
    </cfRule>
    <cfRule type="expression" priority="309" dxfId="1">
      <formula>AND(IF($Q47=3,1,0),IF($X47&lt;30,1,0))</formula>
    </cfRule>
    <cfRule type="expression" priority="310" dxfId="0">
      <formula>AND(IF($Q47=3,1,IF($Q47=4,1,0)),IF($F47&lt;=85,1,0))</formula>
    </cfRule>
  </conditionalFormatting>
  <conditionalFormatting sqref="AV48">
    <cfRule type="expression" priority="305" dxfId="23">
      <formula>AV48="X"</formula>
    </cfRule>
    <cfRule type="expression" priority="306" dxfId="22">
      <formula>AV48="후보"</formula>
    </cfRule>
  </conditionalFormatting>
  <conditionalFormatting sqref="AC4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4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48">
    <cfRule type="expression" priority="297" dxfId="3">
      <formula>AND(IF(OR($Q48=1,$Q48=2),1,0),IF($X48&lt;=20,1,0))</formula>
    </cfRule>
    <cfRule type="expression" priority="298" dxfId="2">
      <formula>AND(IF($Q48=2,1,0),IF($X48&lt;30,1,0))</formula>
    </cfRule>
    <cfRule type="expression" priority="299" dxfId="1">
      <formula>AND(IF($Q48=3,1,0),IF($X48&lt;30,1,0))</formula>
    </cfRule>
    <cfRule type="expression" priority="300" dxfId="0">
      <formula>AND(IF($Q48=3,1,IF($Q48=4,1,0)),IF($F48&lt;=85,1,0))</formula>
    </cfRule>
  </conditionalFormatting>
  <conditionalFormatting sqref="X48">
    <cfRule type="expression" priority="293" dxfId="3">
      <formula>AND(IF(OR($Q48=1,$Q48=2),1,0),IF($X48&lt;=20,1,0))</formula>
    </cfRule>
    <cfRule type="expression" priority="294" dxfId="2">
      <formula>AND(IF($Q48=2,1,0),IF($X48&lt;30,1,0))</formula>
    </cfRule>
    <cfRule type="expression" priority="295" dxfId="1">
      <formula>AND(IF($Q48=3,1,0),IF($X48&lt;30,1,0))</formula>
    </cfRule>
    <cfRule type="expression" priority="296" dxfId="0">
      <formula>AND(IF($Q48=3,1,IF($Q48=4,1,0)),IF($F48&lt;=85,1,0))</formula>
    </cfRule>
  </conditionalFormatting>
  <conditionalFormatting sqref="AI48">
    <cfRule type="expression" priority="289" dxfId="3">
      <formula>AND(IF(OR($Q48=1,$Q48=2),1,0),IF($X48&lt;=20,1,0))</formula>
    </cfRule>
    <cfRule type="expression" priority="290" dxfId="2">
      <formula>AND(IF($Q48=2,1,0),IF($X48&lt;30,1,0))</formula>
    </cfRule>
    <cfRule type="expression" priority="291" dxfId="1">
      <formula>AND(IF($Q48=3,1,0),IF($X48&lt;30,1,0))</formula>
    </cfRule>
    <cfRule type="expression" priority="292" dxfId="0">
      <formula>AND(IF($Q48=3,1,IF($Q48=4,1,0)),IF($F48&lt;=85,1,0))</formula>
    </cfRule>
  </conditionalFormatting>
  <conditionalFormatting sqref="AV49">
    <cfRule type="expression" priority="287" dxfId="23">
      <formula>AV49="X"</formula>
    </cfRule>
    <cfRule type="expression" priority="288" dxfId="22">
      <formula>AV49="후보"</formula>
    </cfRule>
  </conditionalFormatting>
  <conditionalFormatting sqref="AC4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49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49">
    <cfRule type="expression" priority="279" dxfId="3">
      <formula>AND(IF(OR($Q49=1,$Q49=2),1,0),IF($X49&lt;=20,1,0))</formula>
    </cfRule>
    <cfRule type="expression" priority="280" dxfId="2">
      <formula>AND(IF($Q49=2,1,0),IF($X49&lt;30,1,0))</formula>
    </cfRule>
    <cfRule type="expression" priority="281" dxfId="1">
      <formula>AND(IF($Q49=3,1,0),IF($X49&lt;30,1,0))</formula>
    </cfRule>
    <cfRule type="expression" priority="282" dxfId="0">
      <formula>AND(IF($Q49=3,1,IF($Q49=4,1,0)),IF($F49&lt;=85,1,0))</formula>
    </cfRule>
  </conditionalFormatting>
  <conditionalFormatting sqref="X49">
    <cfRule type="expression" priority="275" dxfId="3">
      <formula>AND(IF(OR($Q49=1,$Q49=2),1,0),IF($X49&lt;=20,1,0))</formula>
    </cfRule>
    <cfRule type="expression" priority="276" dxfId="2">
      <formula>AND(IF($Q49=2,1,0),IF($X49&lt;30,1,0))</formula>
    </cfRule>
    <cfRule type="expression" priority="277" dxfId="1">
      <formula>AND(IF($Q49=3,1,0),IF($X49&lt;30,1,0))</formula>
    </cfRule>
    <cfRule type="expression" priority="278" dxfId="0">
      <formula>AND(IF($Q49=3,1,IF($Q49=4,1,0)),IF($F49&lt;=85,1,0))</formula>
    </cfRule>
  </conditionalFormatting>
  <conditionalFormatting sqref="AI49">
    <cfRule type="expression" priority="271" dxfId="3">
      <formula>AND(IF(OR($Q49=1,$Q49=2),1,0),IF($X49&lt;=20,1,0))</formula>
    </cfRule>
    <cfRule type="expression" priority="272" dxfId="2">
      <formula>AND(IF($Q49=2,1,0),IF($X49&lt;30,1,0))</formula>
    </cfRule>
    <cfRule type="expression" priority="273" dxfId="1">
      <formula>AND(IF($Q49=3,1,0),IF($X49&lt;30,1,0))</formula>
    </cfRule>
    <cfRule type="expression" priority="274" dxfId="0">
      <formula>AND(IF($Q49=3,1,IF($Q49=4,1,0)),IF($F49&lt;=85,1,0))</formula>
    </cfRule>
  </conditionalFormatting>
  <conditionalFormatting sqref="AV50">
    <cfRule type="expression" priority="269" dxfId="23">
      <formula>AV50="X"</formula>
    </cfRule>
    <cfRule type="expression" priority="270" dxfId="22">
      <formula>AV50="후보"</formula>
    </cfRule>
  </conditionalFormatting>
  <conditionalFormatting sqref="AC5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0">
    <cfRule type="expression" priority="261" dxfId="3">
      <formula>AND(IF(OR($Q50=1,$Q50=2),1,0),IF($X50&lt;=20,1,0))</formula>
    </cfRule>
    <cfRule type="expression" priority="262" dxfId="2">
      <formula>AND(IF($Q50=2,1,0),IF($X50&lt;30,1,0))</formula>
    </cfRule>
    <cfRule type="expression" priority="263" dxfId="1">
      <formula>AND(IF($Q50=3,1,0),IF($X50&lt;30,1,0))</formula>
    </cfRule>
    <cfRule type="expression" priority="264" dxfId="0">
      <formula>AND(IF($Q50=3,1,IF($Q50=4,1,0)),IF($F50&lt;=85,1,0))</formula>
    </cfRule>
  </conditionalFormatting>
  <conditionalFormatting sqref="X50">
    <cfRule type="expression" priority="257" dxfId="3">
      <formula>AND(IF(OR($Q50=1,$Q50=2),1,0),IF($X50&lt;=20,1,0))</formula>
    </cfRule>
    <cfRule type="expression" priority="258" dxfId="2">
      <formula>AND(IF($Q50=2,1,0),IF($X50&lt;30,1,0))</formula>
    </cfRule>
    <cfRule type="expression" priority="259" dxfId="1">
      <formula>AND(IF($Q50=3,1,0),IF($X50&lt;30,1,0))</formula>
    </cfRule>
    <cfRule type="expression" priority="260" dxfId="0">
      <formula>AND(IF($Q50=3,1,IF($Q50=4,1,0)),IF($F50&lt;=85,1,0))</formula>
    </cfRule>
  </conditionalFormatting>
  <conditionalFormatting sqref="AI50">
    <cfRule type="expression" priority="253" dxfId="3">
      <formula>AND(IF(OR($Q50=1,$Q50=2),1,0),IF($X50&lt;=20,1,0))</formula>
    </cfRule>
    <cfRule type="expression" priority="254" dxfId="2">
      <formula>AND(IF($Q50=2,1,0),IF($X50&lt;30,1,0))</formula>
    </cfRule>
    <cfRule type="expression" priority="255" dxfId="1">
      <formula>AND(IF($Q50=3,1,0),IF($X50&lt;30,1,0))</formula>
    </cfRule>
    <cfRule type="expression" priority="256" dxfId="0">
      <formula>AND(IF($Q50=3,1,IF($Q50=4,1,0)),IF($F50&lt;=85,1,0))</formula>
    </cfRule>
  </conditionalFormatting>
  <conditionalFormatting sqref="AV51">
    <cfRule type="expression" priority="251" dxfId="23">
      <formula>AV51="X"</formula>
    </cfRule>
    <cfRule type="expression" priority="252" dxfId="22">
      <formula>AV51="후보"</formula>
    </cfRule>
  </conditionalFormatting>
  <conditionalFormatting sqref="AC5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1">
    <cfRule type="expression" priority="243" dxfId="3">
      <formula>AND(IF(OR($Q51=1,$Q51=2),1,0),IF($X51&lt;=20,1,0))</formula>
    </cfRule>
    <cfRule type="expression" priority="244" dxfId="2">
      <formula>AND(IF($Q51=2,1,0),IF($X51&lt;30,1,0))</formula>
    </cfRule>
    <cfRule type="expression" priority="245" dxfId="1">
      <formula>AND(IF($Q51=3,1,0),IF($X51&lt;30,1,0))</formula>
    </cfRule>
    <cfRule type="expression" priority="246" dxfId="0">
      <formula>AND(IF($Q51=3,1,IF($Q51=4,1,0)),IF($F51&lt;=85,1,0))</formula>
    </cfRule>
  </conditionalFormatting>
  <conditionalFormatting sqref="X51">
    <cfRule type="expression" priority="239" dxfId="3">
      <formula>AND(IF(OR($Q51=1,$Q51=2),1,0),IF($X51&lt;=20,1,0))</formula>
    </cfRule>
    <cfRule type="expression" priority="240" dxfId="2">
      <formula>AND(IF($Q51=2,1,0),IF($X51&lt;30,1,0))</formula>
    </cfRule>
    <cfRule type="expression" priority="241" dxfId="1">
      <formula>AND(IF($Q51=3,1,0),IF($X51&lt;30,1,0))</formula>
    </cfRule>
    <cfRule type="expression" priority="242" dxfId="0">
      <formula>AND(IF($Q51=3,1,IF($Q51=4,1,0)),IF($F51&lt;=85,1,0))</formula>
    </cfRule>
  </conditionalFormatting>
  <conditionalFormatting sqref="AI51">
    <cfRule type="expression" priority="235" dxfId="3">
      <formula>AND(IF(OR($Q51=1,$Q51=2),1,0),IF($X51&lt;=20,1,0))</formula>
    </cfRule>
    <cfRule type="expression" priority="236" dxfId="2">
      <formula>AND(IF($Q51=2,1,0),IF($X51&lt;30,1,0))</formula>
    </cfRule>
    <cfRule type="expression" priority="237" dxfId="1">
      <formula>AND(IF($Q51=3,1,0),IF($X51&lt;30,1,0))</formula>
    </cfRule>
    <cfRule type="expression" priority="238" dxfId="0">
      <formula>AND(IF($Q51=3,1,IF($Q51=4,1,0)),IF($F51&lt;=85,1,0))</formula>
    </cfRule>
  </conditionalFormatting>
  <conditionalFormatting sqref="AV52">
    <cfRule type="expression" priority="233" dxfId="23">
      <formula>AV52="X"</formula>
    </cfRule>
    <cfRule type="expression" priority="234" dxfId="22">
      <formula>AV52="후보"</formula>
    </cfRule>
  </conditionalFormatting>
  <conditionalFormatting sqref="AC52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2">
    <cfRule type="expression" priority="225" dxfId="3">
      <formula>AND(IF(OR($Q52=1,$Q52=2),1,0),IF($X52&lt;=20,1,0))</formula>
    </cfRule>
    <cfRule type="expression" priority="226" dxfId="2">
      <formula>AND(IF($Q52=2,1,0),IF($X52&lt;30,1,0))</formula>
    </cfRule>
    <cfRule type="expression" priority="227" dxfId="1">
      <formula>AND(IF($Q52=3,1,0),IF($X52&lt;30,1,0))</formula>
    </cfRule>
    <cfRule type="expression" priority="228" dxfId="0">
      <formula>AND(IF($Q52=3,1,IF($Q52=4,1,0)),IF($F52&lt;=85,1,0))</formula>
    </cfRule>
  </conditionalFormatting>
  <conditionalFormatting sqref="X52">
    <cfRule type="expression" priority="221" dxfId="3">
      <formula>AND(IF(OR($Q52=1,$Q52=2),1,0),IF($X52&lt;=20,1,0))</formula>
    </cfRule>
    <cfRule type="expression" priority="222" dxfId="2">
      <formula>AND(IF($Q52=2,1,0),IF($X52&lt;30,1,0))</formula>
    </cfRule>
    <cfRule type="expression" priority="223" dxfId="1">
      <formula>AND(IF($Q52=3,1,0),IF($X52&lt;30,1,0))</formula>
    </cfRule>
    <cfRule type="expression" priority="224" dxfId="0">
      <formula>AND(IF($Q52=3,1,IF($Q52=4,1,0)),IF($F52&lt;=85,1,0))</formula>
    </cfRule>
  </conditionalFormatting>
  <conditionalFormatting sqref="AI52">
    <cfRule type="expression" priority="217" dxfId="3">
      <formula>AND(IF(OR($Q52=1,$Q52=2),1,0),IF($X52&lt;=20,1,0))</formula>
    </cfRule>
    <cfRule type="expression" priority="218" dxfId="2">
      <formula>AND(IF($Q52=2,1,0),IF($X52&lt;30,1,0))</formula>
    </cfRule>
    <cfRule type="expression" priority="219" dxfId="1">
      <formula>AND(IF($Q52=3,1,0),IF($X52&lt;30,1,0))</formula>
    </cfRule>
    <cfRule type="expression" priority="220" dxfId="0">
      <formula>AND(IF($Q52=3,1,IF($Q52=4,1,0)),IF($F52&lt;=85,1,0))</formula>
    </cfRule>
  </conditionalFormatting>
  <conditionalFormatting sqref="AV53">
    <cfRule type="expression" priority="215" dxfId="23">
      <formula>AV53="X"</formula>
    </cfRule>
    <cfRule type="expression" priority="216" dxfId="22">
      <formula>AV53="후보"</formula>
    </cfRule>
  </conditionalFormatting>
  <conditionalFormatting sqref="AC5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3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3">
    <cfRule type="expression" priority="207" dxfId="3">
      <formula>AND(IF(OR($Q53=1,$Q53=2),1,0),IF($X53&lt;=20,1,0))</formula>
    </cfRule>
    <cfRule type="expression" priority="208" dxfId="2">
      <formula>AND(IF($Q53=2,1,0),IF($X53&lt;30,1,0))</formula>
    </cfRule>
    <cfRule type="expression" priority="209" dxfId="1">
      <formula>AND(IF($Q53=3,1,0),IF($X53&lt;30,1,0))</formula>
    </cfRule>
    <cfRule type="expression" priority="210" dxfId="0">
      <formula>AND(IF($Q53=3,1,IF($Q53=4,1,0)),IF($F53&lt;=85,1,0))</formula>
    </cfRule>
  </conditionalFormatting>
  <conditionalFormatting sqref="X53">
    <cfRule type="expression" priority="203" dxfId="3">
      <formula>AND(IF(OR($Q53=1,$Q53=2),1,0),IF($X53&lt;=20,1,0))</formula>
    </cfRule>
    <cfRule type="expression" priority="204" dxfId="2">
      <formula>AND(IF($Q53=2,1,0),IF($X53&lt;30,1,0))</formula>
    </cfRule>
    <cfRule type="expression" priority="205" dxfId="1">
      <formula>AND(IF($Q53=3,1,0),IF($X53&lt;30,1,0))</formula>
    </cfRule>
    <cfRule type="expression" priority="206" dxfId="0">
      <formula>AND(IF($Q53=3,1,IF($Q53=4,1,0)),IF($F53&lt;=85,1,0))</formula>
    </cfRule>
  </conditionalFormatting>
  <conditionalFormatting sqref="AI53">
    <cfRule type="expression" priority="199" dxfId="3">
      <formula>AND(IF(OR($Q53=1,$Q53=2),1,0),IF($X53&lt;=20,1,0))</formula>
    </cfRule>
    <cfRule type="expression" priority="200" dxfId="2">
      <formula>AND(IF($Q53=2,1,0),IF($X53&lt;30,1,0))</formula>
    </cfRule>
    <cfRule type="expression" priority="201" dxfId="1">
      <formula>AND(IF($Q53=3,1,0),IF($X53&lt;30,1,0))</formula>
    </cfRule>
    <cfRule type="expression" priority="202" dxfId="0">
      <formula>AND(IF($Q53=3,1,IF($Q53=4,1,0)),IF($F53&lt;=85,1,0))</formula>
    </cfRule>
  </conditionalFormatting>
  <conditionalFormatting sqref="AV54">
    <cfRule type="expression" priority="197" dxfId="23">
      <formula>AV54="X"</formula>
    </cfRule>
    <cfRule type="expression" priority="198" dxfId="22">
      <formula>AV54="후보"</formula>
    </cfRule>
  </conditionalFormatting>
  <conditionalFormatting sqref="AC54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4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4">
    <cfRule type="expression" priority="189" dxfId="3">
      <formula>AND(IF(OR($Q54=1,$Q54=2),1,0),IF($X54&lt;=20,1,0))</formula>
    </cfRule>
    <cfRule type="expression" priority="190" dxfId="2">
      <formula>AND(IF($Q54=2,1,0),IF($X54&lt;30,1,0))</formula>
    </cfRule>
    <cfRule type="expression" priority="191" dxfId="1">
      <formula>AND(IF($Q54=3,1,0),IF($X54&lt;30,1,0))</formula>
    </cfRule>
    <cfRule type="expression" priority="192" dxfId="0">
      <formula>AND(IF($Q54=3,1,IF($Q54=4,1,0)),IF($F54&lt;=85,1,0))</formula>
    </cfRule>
  </conditionalFormatting>
  <conditionalFormatting sqref="X54">
    <cfRule type="expression" priority="185" dxfId="3">
      <formula>AND(IF(OR($Q54=1,$Q54=2),1,0),IF($X54&lt;=20,1,0))</formula>
    </cfRule>
    <cfRule type="expression" priority="186" dxfId="2">
      <formula>AND(IF($Q54=2,1,0),IF($X54&lt;30,1,0))</formula>
    </cfRule>
    <cfRule type="expression" priority="187" dxfId="1">
      <formula>AND(IF($Q54=3,1,0),IF($X54&lt;30,1,0))</formula>
    </cfRule>
    <cfRule type="expression" priority="188" dxfId="0">
      <formula>AND(IF($Q54=3,1,IF($Q54=4,1,0)),IF($F54&lt;=85,1,0))</formula>
    </cfRule>
  </conditionalFormatting>
  <conditionalFormatting sqref="AI54">
    <cfRule type="expression" priority="181" dxfId="3">
      <formula>AND(IF(OR($Q54=1,$Q54=2),1,0),IF($X54&lt;=20,1,0))</formula>
    </cfRule>
    <cfRule type="expression" priority="182" dxfId="2">
      <formula>AND(IF($Q54=2,1,0),IF($X54&lt;30,1,0))</formula>
    </cfRule>
    <cfRule type="expression" priority="183" dxfId="1">
      <formula>AND(IF($Q54=3,1,0),IF($X54&lt;30,1,0))</formula>
    </cfRule>
    <cfRule type="expression" priority="184" dxfId="0">
      <formula>AND(IF($Q54=3,1,IF($Q54=4,1,0)),IF($F54&lt;=85,1,0))</formula>
    </cfRule>
  </conditionalFormatting>
  <conditionalFormatting sqref="AV55">
    <cfRule type="expression" priority="179" dxfId="23">
      <formula>AV55="X"</formula>
    </cfRule>
    <cfRule type="expression" priority="180" dxfId="22">
      <formula>AV55="후보"</formula>
    </cfRule>
  </conditionalFormatting>
  <conditionalFormatting sqref="AC5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5">
    <cfRule type="expression" priority="171" dxfId="3">
      <formula>AND(IF(OR($Q55=1,$Q55=2),1,0),IF($X55&lt;=20,1,0))</formula>
    </cfRule>
    <cfRule type="expression" priority="172" dxfId="2">
      <formula>AND(IF($Q55=2,1,0),IF($X55&lt;30,1,0))</formula>
    </cfRule>
    <cfRule type="expression" priority="173" dxfId="1">
      <formula>AND(IF($Q55=3,1,0),IF($X55&lt;30,1,0))</formula>
    </cfRule>
    <cfRule type="expression" priority="174" dxfId="0">
      <formula>AND(IF($Q55=3,1,IF($Q55=4,1,0)),IF($F55&lt;=85,1,0))</formula>
    </cfRule>
  </conditionalFormatting>
  <conditionalFormatting sqref="X55">
    <cfRule type="expression" priority="167" dxfId="3">
      <formula>AND(IF(OR($Q55=1,$Q55=2),1,0),IF($X55&lt;=20,1,0))</formula>
    </cfRule>
    <cfRule type="expression" priority="168" dxfId="2">
      <formula>AND(IF($Q55=2,1,0),IF($X55&lt;30,1,0))</formula>
    </cfRule>
    <cfRule type="expression" priority="169" dxfId="1">
      <formula>AND(IF($Q55=3,1,0),IF($X55&lt;30,1,0))</formula>
    </cfRule>
    <cfRule type="expression" priority="170" dxfId="0">
      <formula>AND(IF($Q55=3,1,IF($Q55=4,1,0)),IF($F55&lt;=85,1,0))</formula>
    </cfRule>
  </conditionalFormatting>
  <conditionalFormatting sqref="AI55">
    <cfRule type="expression" priority="163" dxfId="3">
      <formula>AND(IF(OR($Q55=1,$Q55=2),1,0),IF($X55&lt;=20,1,0))</formula>
    </cfRule>
    <cfRule type="expression" priority="164" dxfId="2">
      <formula>AND(IF($Q55=2,1,0),IF($X55&lt;30,1,0))</formula>
    </cfRule>
    <cfRule type="expression" priority="165" dxfId="1">
      <formula>AND(IF($Q55=3,1,0),IF($X55&lt;30,1,0))</formula>
    </cfRule>
    <cfRule type="expression" priority="166" dxfId="0">
      <formula>AND(IF($Q55=3,1,IF($Q55=4,1,0)),IF($F55&lt;=85,1,0))</formula>
    </cfRule>
  </conditionalFormatting>
  <conditionalFormatting sqref="AV56">
    <cfRule type="expression" priority="161" dxfId="23">
      <formula>AV56="X"</formula>
    </cfRule>
    <cfRule type="expression" priority="162" dxfId="22">
      <formula>AV56="후보"</formula>
    </cfRule>
  </conditionalFormatting>
  <conditionalFormatting sqref="AC56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6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6">
    <cfRule type="expression" priority="153" dxfId="3">
      <formula>AND(IF(OR($Q56=1,$Q56=2),1,0),IF($X56&lt;=20,1,0))</formula>
    </cfRule>
    <cfRule type="expression" priority="154" dxfId="2">
      <formula>AND(IF($Q56=2,1,0),IF($X56&lt;30,1,0))</formula>
    </cfRule>
    <cfRule type="expression" priority="155" dxfId="1">
      <formula>AND(IF($Q56=3,1,0),IF($X56&lt;30,1,0))</formula>
    </cfRule>
    <cfRule type="expression" priority="156" dxfId="0">
      <formula>AND(IF($Q56=3,1,IF($Q56=4,1,0)),IF($F56&lt;=85,1,0))</formula>
    </cfRule>
  </conditionalFormatting>
  <conditionalFormatting sqref="X56">
    <cfRule type="expression" priority="149" dxfId="3">
      <formula>AND(IF(OR($Q56=1,$Q56=2),1,0),IF($X56&lt;=20,1,0))</formula>
    </cfRule>
    <cfRule type="expression" priority="150" dxfId="2">
      <formula>AND(IF($Q56=2,1,0),IF($X56&lt;30,1,0))</formula>
    </cfRule>
    <cfRule type="expression" priority="151" dxfId="1">
      <formula>AND(IF($Q56=3,1,0),IF($X56&lt;30,1,0))</formula>
    </cfRule>
    <cfRule type="expression" priority="152" dxfId="0">
      <formula>AND(IF($Q56=3,1,IF($Q56=4,1,0)),IF($F56&lt;=85,1,0))</formula>
    </cfRule>
  </conditionalFormatting>
  <conditionalFormatting sqref="AI56">
    <cfRule type="expression" priority="145" dxfId="3">
      <formula>AND(IF(OR($Q56=1,$Q56=2),1,0),IF($X56&lt;=20,1,0))</formula>
    </cfRule>
    <cfRule type="expression" priority="146" dxfId="2">
      <formula>AND(IF($Q56=2,1,0),IF($X56&lt;30,1,0))</formula>
    </cfRule>
    <cfRule type="expression" priority="147" dxfId="1">
      <formula>AND(IF($Q56=3,1,0),IF($X56&lt;30,1,0))</formula>
    </cfRule>
    <cfRule type="expression" priority="148" dxfId="0">
      <formula>AND(IF($Q56=3,1,IF($Q56=4,1,0)),IF($F56&lt;=85,1,0))</formula>
    </cfRule>
  </conditionalFormatting>
  <conditionalFormatting sqref="AV57">
    <cfRule type="expression" priority="143" dxfId="23">
      <formula>AV57="X"</formula>
    </cfRule>
    <cfRule type="expression" priority="144" dxfId="22">
      <formula>AV57="후보"</formula>
    </cfRule>
  </conditionalFormatting>
  <conditionalFormatting sqref="AC57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7">
    <cfRule type="expression" priority="135" dxfId="3">
      <formula>AND(IF(OR($Q57=1,$Q57=2),1,0),IF($X57&lt;=20,1,0))</formula>
    </cfRule>
    <cfRule type="expression" priority="136" dxfId="2">
      <formula>AND(IF($Q57=2,1,0),IF($X57&lt;30,1,0))</formula>
    </cfRule>
    <cfRule type="expression" priority="137" dxfId="1">
      <formula>AND(IF($Q57=3,1,0),IF($X57&lt;30,1,0))</formula>
    </cfRule>
    <cfRule type="expression" priority="138" dxfId="0">
      <formula>AND(IF($Q57=3,1,IF($Q57=4,1,0)),IF($F57&lt;=85,1,0))</formula>
    </cfRule>
  </conditionalFormatting>
  <conditionalFormatting sqref="X57">
    <cfRule type="expression" priority="131" dxfId="3">
      <formula>AND(IF(OR($Q57=1,$Q57=2),1,0),IF($X57&lt;=20,1,0))</formula>
    </cfRule>
    <cfRule type="expression" priority="132" dxfId="2">
      <formula>AND(IF($Q57=2,1,0),IF($X57&lt;30,1,0))</formula>
    </cfRule>
    <cfRule type="expression" priority="133" dxfId="1">
      <formula>AND(IF($Q57=3,1,0),IF($X57&lt;30,1,0))</formula>
    </cfRule>
    <cfRule type="expression" priority="134" dxfId="0">
      <formula>AND(IF($Q57=3,1,IF($Q57=4,1,0)),IF($F57&lt;=85,1,0))</formula>
    </cfRule>
  </conditionalFormatting>
  <conditionalFormatting sqref="AI57">
    <cfRule type="expression" priority="127" dxfId="3">
      <formula>AND(IF(OR($Q57=1,$Q57=2),1,0),IF($X57&lt;=20,1,0))</formula>
    </cfRule>
    <cfRule type="expression" priority="128" dxfId="2">
      <formula>AND(IF($Q57=2,1,0),IF($X57&lt;30,1,0))</formula>
    </cfRule>
    <cfRule type="expression" priority="129" dxfId="1">
      <formula>AND(IF($Q57=3,1,0),IF($X57&lt;30,1,0))</formula>
    </cfRule>
    <cfRule type="expression" priority="130" dxfId="0">
      <formula>AND(IF($Q57=3,1,IF($Q57=4,1,0)),IF($F57&lt;=85,1,0))</formula>
    </cfRule>
  </conditionalFormatting>
  <conditionalFormatting sqref="AV58">
    <cfRule type="expression" priority="125" dxfId="23">
      <formula>AV58="X"</formula>
    </cfRule>
    <cfRule type="expression" priority="126" dxfId="22">
      <formula>AV58="후보"</formula>
    </cfRule>
  </conditionalFormatting>
  <conditionalFormatting sqref="AC58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8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8">
    <cfRule type="expression" priority="117" dxfId="3">
      <formula>AND(IF(OR($Q58=1,$Q58=2),1,0),IF($X58&lt;=20,1,0))</formula>
    </cfRule>
    <cfRule type="expression" priority="118" dxfId="2">
      <formula>AND(IF($Q58=2,1,0),IF($X58&lt;30,1,0))</formula>
    </cfRule>
    <cfRule type="expression" priority="119" dxfId="1">
      <formula>AND(IF($Q58=3,1,0),IF($X58&lt;30,1,0))</formula>
    </cfRule>
    <cfRule type="expression" priority="120" dxfId="0">
      <formula>AND(IF($Q58=3,1,IF($Q58=4,1,0)),IF($F58&lt;=85,1,0))</formula>
    </cfRule>
  </conditionalFormatting>
  <conditionalFormatting sqref="X58">
    <cfRule type="expression" priority="113" dxfId="3">
      <formula>AND(IF(OR($Q58=1,$Q58=2),1,0),IF($X58&lt;=20,1,0))</formula>
    </cfRule>
    <cfRule type="expression" priority="114" dxfId="2">
      <formula>AND(IF($Q58=2,1,0),IF($X58&lt;30,1,0))</formula>
    </cfRule>
    <cfRule type="expression" priority="115" dxfId="1">
      <formula>AND(IF($Q58=3,1,0),IF($X58&lt;30,1,0))</formula>
    </cfRule>
    <cfRule type="expression" priority="116" dxfId="0">
      <formula>AND(IF($Q58=3,1,IF($Q58=4,1,0)),IF($F58&lt;=85,1,0))</formula>
    </cfRule>
  </conditionalFormatting>
  <conditionalFormatting sqref="AI58">
    <cfRule type="expression" priority="109" dxfId="3">
      <formula>AND(IF(OR($Q58=1,$Q58=2),1,0),IF($X58&lt;=20,1,0))</formula>
    </cfRule>
    <cfRule type="expression" priority="110" dxfId="2">
      <formula>AND(IF($Q58=2,1,0),IF($X58&lt;30,1,0))</formula>
    </cfRule>
    <cfRule type="expression" priority="111" dxfId="1">
      <formula>AND(IF($Q58=3,1,0),IF($X58&lt;30,1,0))</formula>
    </cfRule>
    <cfRule type="expression" priority="112" dxfId="0">
      <formula>AND(IF($Q58=3,1,IF($Q58=4,1,0)),IF($F58&lt;=85,1,0))</formula>
    </cfRule>
  </conditionalFormatting>
  <conditionalFormatting sqref="AV59">
    <cfRule type="expression" priority="107" dxfId="23">
      <formula>AV59="X"</formula>
    </cfRule>
    <cfRule type="expression" priority="108" dxfId="22">
      <formula>AV59="후보"</formula>
    </cfRule>
  </conditionalFormatting>
  <conditionalFormatting sqref="AC59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9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9">
    <cfRule type="expression" priority="99" dxfId="3">
      <formula>AND(IF(OR($Q59=1,$Q59=2),1,0),IF($X59&lt;=20,1,0))</formula>
    </cfRule>
    <cfRule type="expression" priority="100" dxfId="2">
      <formula>AND(IF($Q59=2,1,0),IF($X59&lt;30,1,0))</formula>
    </cfRule>
    <cfRule type="expression" priority="101" dxfId="1">
      <formula>AND(IF($Q59=3,1,0),IF($X59&lt;30,1,0))</formula>
    </cfRule>
    <cfRule type="expression" priority="102" dxfId="0">
      <formula>AND(IF($Q59=3,1,IF($Q59=4,1,0)),IF($F59&lt;=85,1,0))</formula>
    </cfRule>
  </conditionalFormatting>
  <conditionalFormatting sqref="X59">
    <cfRule type="expression" priority="95" dxfId="3">
      <formula>AND(IF(OR($Q59=1,$Q59=2),1,0),IF($X59&lt;=20,1,0))</formula>
    </cfRule>
    <cfRule type="expression" priority="96" dxfId="2">
      <formula>AND(IF($Q59=2,1,0),IF($X59&lt;30,1,0))</formula>
    </cfRule>
    <cfRule type="expression" priority="97" dxfId="1">
      <formula>AND(IF($Q59=3,1,0),IF($X59&lt;30,1,0))</formula>
    </cfRule>
    <cfRule type="expression" priority="98" dxfId="0">
      <formula>AND(IF($Q59=3,1,IF($Q59=4,1,0)),IF($F59&lt;=85,1,0))</formula>
    </cfRule>
  </conditionalFormatting>
  <conditionalFormatting sqref="AI59">
    <cfRule type="expression" priority="91" dxfId="3">
      <formula>AND(IF(OR($Q59=1,$Q59=2),1,0),IF($X59&lt;=20,1,0))</formula>
    </cfRule>
    <cfRule type="expression" priority="92" dxfId="2">
      <formula>AND(IF($Q59=2,1,0),IF($X59&lt;30,1,0))</formula>
    </cfRule>
    <cfRule type="expression" priority="93" dxfId="1">
      <formula>AND(IF($Q59=3,1,0),IF($X59&lt;30,1,0))</formula>
    </cfRule>
    <cfRule type="expression" priority="94" dxfId="0">
      <formula>AND(IF($Q59=3,1,IF($Q59=4,1,0)),IF($F59&lt;=85,1,0))</formula>
    </cfRule>
  </conditionalFormatting>
  <conditionalFormatting sqref="AV60">
    <cfRule type="expression" priority="89" dxfId="23">
      <formula>AV60="X"</formula>
    </cfRule>
    <cfRule type="expression" priority="90" dxfId="22">
      <formula>AV60="후보"</formula>
    </cfRule>
  </conditionalFormatting>
  <conditionalFormatting sqref="AC60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0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0">
    <cfRule type="expression" priority="81" dxfId="3">
      <formula>AND(IF(OR($Q60=1,$Q60=2),1,0),IF($X60&lt;=20,1,0))</formula>
    </cfRule>
    <cfRule type="expression" priority="82" dxfId="2">
      <formula>AND(IF($Q60=2,1,0),IF($X60&lt;30,1,0))</formula>
    </cfRule>
    <cfRule type="expression" priority="83" dxfId="1">
      <formula>AND(IF($Q60=3,1,0),IF($X60&lt;30,1,0))</formula>
    </cfRule>
    <cfRule type="expression" priority="84" dxfId="0">
      <formula>AND(IF($Q60=3,1,IF($Q60=4,1,0)),IF($F60&lt;=85,1,0))</formula>
    </cfRule>
  </conditionalFormatting>
  <conditionalFormatting sqref="X60">
    <cfRule type="expression" priority="77" dxfId="3">
      <formula>AND(IF(OR($Q60=1,$Q60=2),1,0),IF($X60&lt;=20,1,0))</formula>
    </cfRule>
    <cfRule type="expression" priority="78" dxfId="2">
      <formula>AND(IF($Q60=2,1,0),IF($X60&lt;30,1,0))</formula>
    </cfRule>
    <cfRule type="expression" priority="79" dxfId="1">
      <formula>AND(IF($Q60=3,1,0),IF($X60&lt;30,1,0))</formula>
    </cfRule>
    <cfRule type="expression" priority="80" dxfId="0">
      <formula>AND(IF($Q60=3,1,IF($Q60=4,1,0)),IF($F60&lt;=85,1,0))</formula>
    </cfRule>
  </conditionalFormatting>
  <conditionalFormatting sqref="AI60">
    <cfRule type="expression" priority="73" dxfId="3">
      <formula>AND(IF(OR($Q60=1,$Q60=2),1,0),IF($X60&lt;=20,1,0))</formula>
    </cfRule>
    <cfRule type="expression" priority="74" dxfId="2">
      <formula>AND(IF($Q60=2,1,0),IF($X60&lt;30,1,0))</formula>
    </cfRule>
    <cfRule type="expression" priority="75" dxfId="1">
      <formula>AND(IF($Q60=3,1,0),IF($X60&lt;30,1,0))</formula>
    </cfRule>
    <cfRule type="expression" priority="76" dxfId="0">
      <formula>AND(IF($Q60=3,1,IF($Q60=4,1,0)),IF($F60&lt;=85,1,0))</formula>
    </cfRule>
  </conditionalFormatting>
  <conditionalFormatting sqref="AV61">
    <cfRule type="expression" priority="71" dxfId="23">
      <formula>AV61="X"</formula>
    </cfRule>
    <cfRule type="expression" priority="72" dxfId="22">
      <formula>AV61="후보"</formula>
    </cfRule>
  </conditionalFormatting>
  <conditionalFormatting sqref="AC61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1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X61">
    <cfRule type="expression" priority="59" dxfId="3">
      <formula>AND(IF(OR($Q61=1,$Q61=2),1,0),IF($X61&lt;=20,1,0))</formula>
    </cfRule>
    <cfRule type="expression" priority="60" dxfId="2">
      <formula>AND(IF($Q61=2,1,0),IF($X61&lt;30,1,0))</formula>
    </cfRule>
    <cfRule type="expression" priority="61" dxfId="1">
      <formula>AND(IF($Q61=3,1,0),IF($X61&lt;30,1,0))</formula>
    </cfRule>
    <cfRule type="expression" priority="62" dxfId="0">
      <formula>AND(IF($Q61=3,1,IF($Q61=4,1,0)),IF($F61&lt;=85,1,0))</formula>
    </cfRule>
  </conditionalFormatting>
  <conditionalFormatting sqref="AI61">
    <cfRule type="expression" priority="55" dxfId="3">
      <formula>AND(IF(OR($Q61=1,$Q61=2),1,0),IF($X61&lt;=20,1,0))</formula>
    </cfRule>
    <cfRule type="expression" priority="56" dxfId="2">
      <formula>AND(IF($Q61=2,1,0),IF($X61&lt;30,1,0))</formula>
    </cfRule>
    <cfRule type="expression" priority="57" dxfId="1">
      <formula>AND(IF($Q61=3,1,0),IF($X61&lt;30,1,0))</formula>
    </cfRule>
    <cfRule type="expression" priority="58" dxfId="0">
      <formula>AND(IF($Q61=3,1,IF($Q61=4,1,0)),IF($F61&lt;=85,1,0))</formula>
    </cfRule>
  </conditionalFormatting>
  <conditionalFormatting sqref="AV62">
    <cfRule type="expression" priority="53" dxfId="23">
      <formula>AV62="X"</formula>
    </cfRule>
    <cfRule type="expression" priority="54" dxfId="22">
      <formula>AV62="후보"</formula>
    </cfRule>
  </conditionalFormatting>
  <conditionalFormatting sqref="AC6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2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2">
    <cfRule type="expression" priority="45" dxfId="3">
      <formula>AND(IF(OR($Q62=1,$Q62=2),1,0),IF($X62&lt;=20,1,0))</formula>
    </cfRule>
    <cfRule type="expression" priority="46" dxfId="2">
      <formula>AND(IF($Q62=2,1,0),IF($X62&lt;30,1,0))</formula>
    </cfRule>
    <cfRule type="expression" priority="47" dxfId="1">
      <formula>AND(IF($Q62=3,1,0),IF($X62&lt;30,1,0))</formula>
    </cfRule>
    <cfRule type="expression" priority="48" dxfId="0">
      <formula>AND(IF($Q62=3,1,IF($Q62=4,1,0)),IF($F62&lt;=85,1,0))</formula>
    </cfRule>
  </conditionalFormatting>
  <conditionalFormatting sqref="X62">
    <cfRule type="expression" priority="41" dxfId="3">
      <formula>AND(IF(OR($Q62=1,$Q62=2),1,0),IF($X62&lt;=20,1,0))</formula>
    </cfRule>
    <cfRule type="expression" priority="42" dxfId="2">
      <formula>AND(IF($Q62=2,1,0),IF($X62&lt;30,1,0))</formula>
    </cfRule>
    <cfRule type="expression" priority="43" dxfId="1">
      <formula>AND(IF($Q62=3,1,0),IF($X62&lt;30,1,0))</formula>
    </cfRule>
    <cfRule type="expression" priority="44" dxfId="0">
      <formula>AND(IF($Q62=3,1,IF($Q62=4,1,0)),IF($F62&lt;=85,1,0))</formula>
    </cfRule>
  </conditionalFormatting>
  <conditionalFormatting sqref="AI62">
    <cfRule type="expression" priority="37" dxfId="3">
      <formula>AND(IF(OR($Q62=1,$Q62=2),1,0),IF($X62&lt;=20,1,0))</formula>
    </cfRule>
    <cfRule type="expression" priority="38" dxfId="2">
      <formula>AND(IF($Q62=2,1,0),IF($X62&lt;30,1,0))</formula>
    </cfRule>
    <cfRule type="expression" priority="39" dxfId="1">
      <formula>AND(IF($Q62=3,1,0),IF($X62&lt;30,1,0))</formula>
    </cfRule>
    <cfRule type="expression" priority="40" dxfId="0">
      <formula>AND(IF($Q62=3,1,IF($Q62=4,1,0)),IF($F62&lt;=85,1,0))</formula>
    </cfRule>
  </conditionalFormatting>
  <conditionalFormatting sqref="AV63">
    <cfRule type="expression" priority="35" dxfId="23">
      <formula>AV63="X"</formula>
    </cfRule>
    <cfRule type="expression" priority="36" dxfId="22">
      <formula>AV63="후보"</formula>
    </cfRule>
  </conditionalFormatting>
  <conditionalFormatting sqref="AC63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3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3">
    <cfRule type="expression" priority="27" dxfId="3">
      <formula>AND(IF(OR($Q63=1,$Q63=2),1,0),IF($X63&lt;=20,1,0))</formula>
    </cfRule>
    <cfRule type="expression" priority="28" dxfId="2">
      <formula>AND(IF($Q63=2,1,0),IF($X63&lt;30,1,0))</formula>
    </cfRule>
    <cfRule type="expression" priority="29" dxfId="1">
      <formula>AND(IF($Q63=3,1,0),IF($X63&lt;30,1,0))</formula>
    </cfRule>
    <cfRule type="expression" priority="30" dxfId="0">
      <formula>AND(IF($Q63=3,1,IF($Q63=4,1,0)),IF($F63&lt;=85,1,0))</formula>
    </cfRule>
  </conditionalFormatting>
  <conditionalFormatting sqref="X63">
    <cfRule type="expression" priority="23" dxfId="3">
      <formula>AND(IF(OR($Q63=1,$Q63=2),1,0),IF($X63&lt;=20,1,0))</formula>
    </cfRule>
    <cfRule type="expression" priority="24" dxfId="2">
      <formula>AND(IF($Q63=2,1,0),IF($X63&lt;30,1,0))</formula>
    </cfRule>
    <cfRule type="expression" priority="25" dxfId="1">
      <formula>AND(IF($Q63=3,1,0),IF($X63&lt;30,1,0))</formula>
    </cfRule>
    <cfRule type="expression" priority="26" dxfId="0">
      <formula>AND(IF($Q63=3,1,IF($Q63=4,1,0)),IF($F63&lt;=85,1,0))</formula>
    </cfRule>
  </conditionalFormatting>
  <conditionalFormatting sqref="AI63">
    <cfRule type="expression" priority="19" dxfId="3">
      <formula>AND(IF(OR($Q63=1,$Q63=2),1,0),IF($X63&lt;=20,1,0))</formula>
    </cfRule>
    <cfRule type="expression" priority="20" dxfId="2">
      <formula>AND(IF($Q63=2,1,0),IF($X63&lt;30,1,0))</formula>
    </cfRule>
    <cfRule type="expression" priority="21" dxfId="1">
      <formula>AND(IF($Q63=3,1,0),IF($X63&lt;30,1,0))</formula>
    </cfRule>
    <cfRule type="expression" priority="22" dxfId="0">
      <formula>AND(IF($Q63=3,1,IF($Q63=4,1,0)),IF($F63&lt;=85,1,0))</formula>
    </cfRule>
  </conditionalFormatting>
  <conditionalFormatting sqref="AV64">
    <cfRule type="expression" priority="17" dxfId="23">
      <formula>AV64="X"</formula>
    </cfRule>
    <cfRule type="expression" priority="18" dxfId="22">
      <formula>AV64="후보"</formula>
    </cfRule>
  </conditionalFormatting>
  <conditionalFormatting sqref="AC6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4">
    <cfRule type="expression" priority="9" dxfId="3">
      <formula>AND(IF(OR($Q64=1,$Q64=2),1,0),IF($X64&lt;=20,1,0))</formula>
    </cfRule>
    <cfRule type="expression" priority="10" dxfId="2">
      <formula>AND(IF($Q64=2,1,0),IF($X64&lt;30,1,0))</formula>
    </cfRule>
    <cfRule type="expression" priority="11" dxfId="1">
      <formula>AND(IF($Q64=3,1,0),IF($X64&lt;30,1,0))</formula>
    </cfRule>
    <cfRule type="expression" priority="12" dxfId="0">
      <formula>AND(IF($Q64=3,1,IF($Q64=4,1,0)),IF($F64&lt;=85,1,0))</formula>
    </cfRule>
  </conditionalFormatting>
  <conditionalFormatting sqref="X64">
    <cfRule type="expression" priority="5" dxfId="3">
      <formula>AND(IF(OR($Q64=1,$Q64=2),1,0),IF($X64&lt;=20,1,0))</formula>
    </cfRule>
    <cfRule type="expression" priority="6" dxfId="2">
      <formula>AND(IF($Q64=2,1,0),IF($X64&lt;30,1,0))</formula>
    </cfRule>
    <cfRule type="expression" priority="7" dxfId="1">
      <formula>AND(IF($Q64=3,1,0),IF($X64&lt;30,1,0))</formula>
    </cfRule>
    <cfRule type="expression" priority="8" dxfId="0">
      <formula>AND(IF($Q64=3,1,IF($Q64=4,1,0)),IF($F64&lt;=85,1,0))</formula>
    </cfRule>
  </conditionalFormatting>
  <conditionalFormatting sqref="AI64">
    <cfRule type="expression" priority="1" dxfId="3">
      <formula>AND(IF(OR($Q64=1,$Q64=2),1,0),IF($X64&lt;=20,1,0))</formula>
    </cfRule>
    <cfRule type="expression" priority="2" dxfId="2">
      <formula>AND(IF($Q64=2,1,0),IF($X64&lt;30,1,0))</formula>
    </cfRule>
    <cfRule type="expression" priority="3" dxfId="1">
      <formula>AND(IF($Q64=3,1,0),IF($X64&lt;30,1,0))</formula>
    </cfRule>
    <cfRule type="expression" priority="4" dxfId="0">
      <formula>AND(IF($Q64=3,1,IF($Q64=4,1,0)),IF($F64&lt;=85,1,0))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0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무실동 더샵원주센트럴파크1단지</t>
        </is>
      </c>
      <c r="B4" s="76" t="inlineStr">
        <is>
          <t>21.11.</t>
        </is>
      </c>
      <c r="C4" s="130" t="n">
        <v>936</v>
      </c>
      <c r="D4" s="131" t="n">
        <v>111.6</v>
      </c>
      <c r="E4" s="132" t="n">
        <v>34</v>
      </c>
      <c r="F4" s="131" t="n">
        <v>85</v>
      </c>
      <c r="G4" s="17" t="n">
        <v>26</v>
      </c>
      <c r="H4" s="133" t="n">
        <v>272</v>
      </c>
      <c r="I4" s="134" t="n">
        <v>55534</v>
      </c>
      <c r="J4" s="134" t="inlineStr">
        <is>
          <t>중</t>
        </is>
      </c>
      <c r="K4" s="134" t="n">
        <v>29500</v>
      </c>
      <c r="L4" s="134" t="inlineStr">
        <is>
          <t>8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115B</t>
        </is>
      </c>
      <c r="U4" s="9" t="n"/>
    </row>
    <row r="5" ht="12" customFormat="1" customHeight="1" s="37">
      <c r="A5" s="75" t="inlineStr">
        <is>
          <t>지정면 원주롯데캐슬골드파크1차</t>
        </is>
      </c>
      <c r="B5" s="76" t="inlineStr">
        <is>
          <t>19.12.</t>
        </is>
      </c>
      <c r="C5" s="130" t="n">
        <v>624</v>
      </c>
      <c r="D5" s="131" t="n">
        <v>110.3</v>
      </c>
      <c r="E5" s="132" t="n">
        <v>33</v>
      </c>
      <c r="F5" s="131" t="n">
        <v>85</v>
      </c>
      <c r="G5" s="17" t="n">
        <v>26</v>
      </c>
      <c r="H5" s="133" t="n">
        <v>266</v>
      </c>
      <c r="I5" s="134" t="n">
        <v>53000</v>
      </c>
      <c r="J5" s="134" t="inlineStr">
        <is>
          <t>14</t>
        </is>
      </c>
      <c r="K5" s="134" t="n">
        <v>28000</v>
      </c>
      <c r="L5" s="134" t="inlineStr">
        <is>
          <t>18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inlineStr">
        <is>
          <t>127A</t>
        </is>
      </c>
      <c r="U5" s="9" t="n"/>
    </row>
    <row r="6" ht="12" customFormat="1" customHeight="1" s="37">
      <c r="A6" s="75" t="inlineStr">
        <is>
          <t>명륜동 원주더샵센트럴파크2단지</t>
        </is>
      </c>
      <c r="B6" s="76" t="inlineStr">
        <is>
          <t>22.01.</t>
        </is>
      </c>
      <c r="C6" s="130" t="n">
        <v>838</v>
      </c>
      <c r="D6" s="131" t="n">
        <v>109</v>
      </c>
      <c r="E6" s="132" t="n">
        <v>33</v>
      </c>
      <c r="F6" s="131" t="n">
        <v>85</v>
      </c>
      <c r="G6" s="17" t="n">
        <v>26</v>
      </c>
      <c r="H6" s="133" t="n">
        <v>483</v>
      </c>
      <c r="I6" s="134" t="n">
        <v>51000</v>
      </c>
      <c r="J6" s="134" t="inlineStr">
        <is>
          <t>20</t>
        </is>
      </c>
      <c r="K6" s="134" t="n">
        <v>27000</v>
      </c>
      <c r="L6" s="134" t="inlineStr">
        <is>
          <t>중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복</t>
        </is>
      </c>
      <c r="T6" s="5" t="n">
        <v>51</v>
      </c>
      <c r="U6" s="9" t="n"/>
    </row>
    <row r="7" ht="12" customFormat="1" customHeight="1" s="37">
      <c r="A7" s="75" t="inlineStr">
        <is>
          <t>지정면 원주롯데캐슬골드파크2차</t>
        </is>
      </c>
      <c r="B7" s="76" t="inlineStr">
        <is>
          <t>19.12.</t>
        </is>
      </c>
      <c r="C7" s="130" t="n">
        <v>536</v>
      </c>
      <c r="D7" s="131" t="n">
        <v>111</v>
      </c>
      <c r="E7" s="132" t="n">
        <v>34</v>
      </c>
      <c r="F7" s="131" t="n">
        <v>85</v>
      </c>
      <c r="G7" s="17" t="n">
        <v>26</v>
      </c>
      <c r="H7" s="133" t="n">
        <v>243</v>
      </c>
      <c r="I7" s="134" t="n">
        <v>50000</v>
      </c>
      <c r="J7" s="134" t="inlineStr">
        <is>
          <t>10</t>
        </is>
      </c>
      <c r="K7" s="134" t="n">
        <v>25000</v>
      </c>
      <c r="L7" s="134" t="inlineStr">
        <is>
          <t>10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113</v>
      </c>
      <c r="U7" s="9" t="n"/>
    </row>
    <row r="8" ht="12" customFormat="1" customHeight="1" s="37">
      <c r="A8" s="75" t="inlineStr">
        <is>
          <t>반곡동 힐데스하임5단지</t>
        </is>
      </c>
      <c r="B8" s="76" t="inlineStr">
        <is>
          <t>15.05.</t>
        </is>
      </c>
      <c r="C8" s="130" t="n">
        <v>682</v>
      </c>
      <c r="D8" s="131" t="n">
        <v>114.8</v>
      </c>
      <c r="E8" s="132" t="n">
        <v>35</v>
      </c>
      <c r="F8" s="131" t="n">
        <v>85</v>
      </c>
      <c r="G8" s="17" t="n">
        <v>26</v>
      </c>
      <c r="H8" s="133" t="n">
        <v>216</v>
      </c>
      <c r="I8" s="134" t="n">
        <v>50000</v>
      </c>
      <c r="J8" s="134" t="inlineStr">
        <is>
          <t>17</t>
        </is>
      </c>
      <c r="K8" s="134" t="n">
        <v>35000</v>
      </c>
      <c r="L8" s="134" t="inlineStr">
        <is>
          <t>18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복</t>
        </is>
      </c>
      <c r="T8" s="5" t="n">
        <v>95</v>
      </c>
      <c r="U8" s="9" t="n"/>
    </row>
    <row r="9" ht="12" customFormat="1" customHeight="1" s="37">
      <c r="A9" s="75" t="inlineStr">
        <is>
          <t>무실동 무실우미린</t>
        </is>
      </c>
      <c r="B9" s="76" t="inlineStr">
        <is>
          <t>14.09.</t>
        </is>
      </c>
      <c r="C9" s="130" t="n">
        <v>653</v>
      </c>
      <c r="D9" s="131" t="n">
        <v>111.5</v>
      </c>
      <c r="E9" s="132" t="n">
        <v>34</v>
      </c>
      <c r="F9" s="131" t="n">
        <v>85</v>
      </c>
      <c r="G9" s="17" t="n">
        <v>26</v>
      </c>
      <c r="H9" s="133" t="n">
        <v>245</v>
      </c>
      <c r="I9" s="134" t="n">
        <v>50000</v>
      </c>
      <c r="J9" s="134" t="inlineStr">
        <is>
          <t>12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복</t>
        </is>
      </c>
      <c r="T9" s="5" t="n">
        <v>94</v>
      </c>
      <c r="U9" s="9" t="n"/>
    </row>
    <row r="10" ht="12" customFormat="1" customHeight="1" s="37">
      <c r="A10" s="75" t="inlineStr">
        <is>
          <t>무실동 원주무실세영리첼1차</t>
        </is>
      </c>
      <c r="B10" s="76" t="inlineStr">
        <is>
          <t>14.06.</t>
        </is>
      </c>
      <c r="C10" s="130" t="n">
        <v>482</v>
      </c>
      <c r="D10" s="131" t="n">
        <v>108.4</v>
      </c>
      <c r="E10" s="132" t="n">
        <v>33</v>
      </c>
      <c r="F10" s="131" t="n">
        <v>84.90000000000001</v>
      </c>
      <c r="G10" s="17" t="n">
        <v>26</v>
      </c>
      <c r="H10" s="133" t="n">
        <v>72</v>
      </c>
      <c r="I10" s="134" t="n">
        <v>48000</v>
      </c>
      <c r="J10" s="134" t="inlineStr">
        <is>
          <t>중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inlineStr">
        <is>
          <t>194A</t>
        </is>
      </c>
      <c r="U10" s="9" t="n"/>
    </row>
    <row r="11" ht="12" customFormat="1" customHeight="1" s="37">
      <c r="A11" s="75" t="inlineStr">
        <is>
          <t>반곡동 중흥에스-클래스프라디움</t>
        </is>
      </c>
      <c r="B11" s="76" t="inlineStr">
        <is>
          <t>16.10.</t>
        </is>
      </c>
      <c r="C11" s="130" t="n">
        <v>850</v>
      </c>
      <c r="D11" s="131" t="n">
        <v>112.6</v>
      </c>
      <c r="E11" s="132" t="n">
        <v>34</v>
      </c>
      <c r="F11" s="131" t="n">
        <v>85</v>
      </c>
      <c r="G11" s="17" t="n">
        <v>26</v>
      </c>
      <c r="H11" s="133" t="n">
        <v>246</v>
      </c>
      <c r="I11" s="134" t="n">
        <v>47000</v>
      </c>
      <c r="J11" s="134" t="inlineStr">
        <is>
          <t>중</t>
        </is>
      </c>
      <c r="K11" s="134" t="n">
        <v>34000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2</v>
      </c>
      <c r="R11" s="121" t="n">
        <v>1</v>
      </c>
      <c r="S11" s="121" t="inlineStr">
        <is>
          <t>계</t>
        </is>
      </c>
      <c r="T11" s="5" t="n">
        <v>57</v>
      </c>
      <c r="U11" s="9" t="n"/>
    </row>
    <row r="12" ht="24" customFormat="1" customHeight="1" s="37">
      <c r="A12" s="75" t="inlineStr">
        <is>
          <t>무실동 원주무실세영리첼2차</t>
        </is>
      </c>
      <c r="B12" s="76" t="inlineStr">
        <is>
          <t>15.04.</t>
        </is>
      </c>
      <c r="C12" s="130" t="n">
        <v>526</v>
      </c>
      <c r="D12" s="131" t="n">
        <v>110.4</v>
      </c>
      <c r="E12" s="132" t="n">
        <v>33</v>
      </c>
      <c r="F12" s="131" t="n">
        <v>85</v>
      </c>
      <c r="G12" s="17" t="n">
        <v>26</v>
      </c>
      <c r="H12" s="133" t="n">
        <v>129</v>
      </c>
      <c r="I12" s="134" t="n">
        <v>47000</v>
      </c>
      <c r="J12" s="134" t="inlineStr">
        <is>
          <t>7</t>
        </is>
      </c>
      <c r="K12" s="134" t="n">
        <v>35000</v>
      </c>
      <c r="L12" s="134" t="inlineStr">
        <is>
          <t>고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116</v>
      </c>
      <c r="U12" s="9" t="n"/>
    </row>
    <row r="13" ht="12" customFormat="1" customHeight="1" s="37">
      <c r="A13" s="75" t="inlineStr">
        <is>
          <t>지정면 이지더원더그레이스</t>
        </is>
      </c>
      <c r="B13" s="76" t="inlineStr">
        <is>
          <t>20.06.</t>
        </is>
      </c>
      <c r="C13" s="130" t="n">
        <v>776</v>
      </c>
      <c r="D13" s="131" t="n">
        <v>114.7</v>
      </c>
      <c r="E13" s="132" t="n">
        <v>35</v>
      </c>
      <c r="F13" s="131" t="n">
        <v>85</v>
      </c>
      <c r="G13" s="17" t="n">
        <v>26</v>
      </c>
      <c r="H13" s="133" t="n">
        <v>428</v>
      </c>
      <c r="I13" s="134" t="n">
        <v>42500</v>
      </c>
      <c r="J13" s="134" t="inlineStr">
        <is>
          <t>고</t>
        </is>
      </c>
      <c r="K13" s="134" t="n">
        <v>25000</v>
      </c>
      <c r="L13" s="134" t="inlineStr">
        <is>
          <t>고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107B</t>
        </is>
      </c>
      <c r="U13" s="9" t="n"/>
    </row>
    <row r="14" ht="24" customFormat="1" customHeight="1" s="37">
      <c r="A14" s="75" t="inlineStr">
        <is>
          <t>무실동 무실우미린</t>
        </is>
      </c>
      <c r="B14" s="76" t="inlineStr">
        <is>
          <t>14.09.</t>
        </is>
      </c>
      <c r="C14" s="130" t="n">
        <v>653</v>
      </c>
      <c r="D14" s="131" t="n">
        <v>98.2</v>
      </c>
      <c r="E14" s="132" t="n">
        <v>30</v>
      </c>
      <c r="F14" s="131" t="n">
        <v>75.3</v>
      </c>
      <c r="G14" s="17" t="n">
        <v>23</v>
      </c>
      <c r="H14" s="133" t="n">
        <v>221</v>
      </c>
      <c r="I14" s="134" t="n">
        <v>42000</v>
      </c>
      <c r="J14" s="134" t="inlineStr">
        <is>
          <t>10</t>
        </is>
      </c>
      <c r="K14" s="134" t="n">
        <v>29000</v>
      </c>
      <c r="L14" s="134" t="inlineStr">
        <is>
          <t>12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복</t>
        </is>
      </c>
      <c r="T14" s="5" t="inlineStr">
        <is>
          <t>79B</t>
        </is>
      </c>
      <c r="U14" s="9" t="n"/>
    </row>
    <row r="15" ht="24" customFormat="1" customHeight="1" s="37">
      <c r="A15" s="75" t="inlineStr">
        <is>
          <t>단계동 원주봉화산푸르지오</t>
        </is>
      </c>
      <c r="B15" s="76" t="inlineStr">
        <is>
          <t>17.11.</t>
        </is>
      </c>
      <c r="C15" s="130" t="n">
        <v>996</v>
      </c>
      <c r="D15" s="131" t="n">
        <v>109.8</v>
      </c>
      <c r="E15" s="132" t="n">
        <v>33</v>
      </c>
      <c r="F15" s="131" t="n">
        <v>84.90000000000001</v>
      </c>
      <c r="G15" s="17" t="n">
        <v>26</v>
      </c>
      <c r="H15" s="133" t="n">
        <v>169</v>
      </c>
      <c r="I15" s="134" t="n">
        <v>42000</v>
      </c>
      <c r="J15" s="134" t="inlineStr">
        <is>
          <t>5</t>
        </is>
      </c>
      <c r="K15" s="134" t="n">
        <v>27000</v>
      </c>
      <c r="L15" s="134" t="inlineStr">
        <is>
          <t>11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inlineStr">
        <is>
          <t>77B</t>
        </is>
      </c>
      <c r="U15" s="9" t="n"/>
    </row>
    <row r="16" ht="24" customFormat="1" customHeight="1" s="37">
      <c r="A16" s="75" t="inlineStr">
        <is>
          <t>지정면 원주기업도시호반베르디움8단지</t>
        </is>
      </c>
      <c r="B16" s="76" t="inlineStr">
        <is>
          <t>18.08.</t>
        </is>
      </c>
      <c r="C16" s="130" t="n">
        <v>882</v>
      </c>
      <c r="D16" s="131" t="n">
        <v>113.5</v>
      </c>
      <c r="E16" s="132" t="n">
        <v>34</v>
      </c>
      <c r="F16" s="131" t="n">
        <v>85</v>
      </c>
      <c r="G16" s="17" t="n">
        <v>26</v>
      </c>
      <c r="H16" s="133" t="n">
        <v>407</v>
      </c>
      <c r="I16" s="134" t="n">
        <v>41000</v>
      </c>
      <c r="J16" s="134" t="inlineStr">
        <is>
          <t>16</t>
        </is>
      </c>
      <c r="K16" s="134" t="n">
        <v>24000</v>
      </c>
      <c r="L16" s="134" t="inlineStr">
        <is>
          <t>중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1</v>
      </c>
      <c r="R16" s="121" t="n">
        <v>1</v>
      </c>
      <c r="S16" s="121" t="inlineStr">
        <is>
          <t>계</t>
        </is>
      </c>
      <c r="T16" s="5" t="inlineStr">
        <is>
          <t>34C</t>
        </is>
      </c>
      <c r="U16" s="9" t="n"/>
    </row>
    <row r="17" ht="12" customFormat="1" customHeight="1" s="37">
      <c r="A17" s="75" t="inlineStr">
        <is>
          <t>지정면 원주기업도시유보라아이비파크2단지</t>
        </is>
      </c>
      <c r="B17" s="76" t="inlineStr">
        <is>
          <t>20.01.</t>
        </is>
      </c>
      <c r="C17" s="130" t="n">
        <v>794</v>
      </c>
      <c r="D17" s="131" t="n">
        <v>111.9</v>
      </c>
      <c r="E17" s="132" t="n">
        <v>34</v>
      </c>
      <c r="F17" s="131" t="n">
        <v>85</v>
      </c>
      <c r="G17" s="17" t="n">
        <v>26</v>
      </c>
      <c r="H17" s="133" t="n">
        <v>263</v>
      </c>
      <c r="I17" s="134" t="n">
        <v>40000</v>
      </c>
      <c r="J17" s="134" t="inlineStr">
        <is>
          <t>9</t>
        </is>
      </c>
      <c r="K17" s="134" t="n">
        <v>25000</v>
      </c>
      <c r="L17" s="134" t="inlineStr">
        <is>
          <t>고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1</v>
      </c>
      <c r="S17" s="121" t="inlineStr">
        <is>
          <t>계</t>
        </is>
      </c>
      <c r="T17" s="5" t="n">
        <v>77</v>
      </c>
      <c r="U17" s="9" t="n"/>
    </row>
    <row r="18" ht="12" customFormat="1" customHeight="1" s="37">
      <c r="A18" s="75" t="inlineStr">
        <is>
          <t>지정면 원주기업도시라온프라이빗</t>
        </is>
      </c>
      <c r="B18" s="76" t="inlineStr">
        <is>
          <t>18.12.</t>
        </is>
      </c>
      <c r="C18" s="130" t="n">
        <v>713</v>
      </c>
      <c r="D18" s="131" t="n">
        <v>113.4</v>
      </c>
      <c r="E18" s="132" t="n">
        <v>34</v>
      </c>
      <c r="F18" s="131" t="n">
        <v>84.7</v>
      </c>
      <c r="G18" s="17" t="n">
        <v>26</v>
      </c>
      <c r="H18" s="133" t="n">
        <v>178</v>
      </c>
      <c r="I18" s="134" t="n">
        <v>40000</v>
      </c>
      <c r="J18" s="134" t="inlineStr">
        <is>
          <t>5</t>
        </is>
      </c>
      <c r="K18" s="134" t="n">
        <v>29000</v>
      </c>
      <c r="L18" s="134" t="inlineStr">
        <is>
          <t>5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n">
        <v>137</v>
      </c>
      <c r="U18" s="9" t="n"/>
    </row>
    <row r="19" ht="12" customFormat="1" customHeight="1" s="37">
      <c r="A19" s="75" t="inlineStr">
        <is>
          <t>반곡동 반곡모아엘가</t>
        </is>
      </c>
      <c r="B19" s="76" t="inlineStr">
        <is>
          <t>17.07.</t>
        </is>
      </c>
      <c r="C19" s="130" t="n">
        <v>418</v>
      </c>
      <c r="D19" s="131" t="n">
        <v>109.6</v>
      </c>
      <c r="E19" s="132" t="n">
        <v>33</v>
      </c>
      <c r="F19" s="131" t="n">
        <v>84.90000000000001</v>
      </c>
      <c r="G19" s="17" t="n">
        <v>26</v>
      </c>
      <c r="H19" s="133" t="n">
        <v>258</v>
      </c>
      <c r="I19" s="134" t="n">
        <v>40000</v>
      </c>
      <c r="J19" s="134" t="inlineStr">
        <is>
          <t>고</t>
        </is>
      </c>
      <c r="K19" s="134" t="n">
        <v>32000</v>
      </c>
      <c r="L19" s="134" t="inlineStr">
        <is>
          <t>15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1</v>
      </c>
      <c r="S19" s="121" t="inlineStr">
        <is>
          <t>계</t>
        </is>
      </c>
      <c r="T19" s="5" t="n">
        <v>79</v>
      </c>
      <c r="U19" s="9" t="n"/>
    </row>
    <row r="20" ht="12" customFormat="1" customHeight="1" s="37">
      <c r="A20" s="75" t="inlineStr">
        <is>
          <t>단구동 원주단구내안애카운티에듀파크2단지</t>
        </is>
      </c>
      <c r="B20" s="76" t="inlineStr">
        <is>
          <t>20.06.</t>
        </is>
      </c>
      <c r="C20" s="130" t="n">
        <v>348</v>
      </c>
      <c r="D20" s="131" t="n">
        <v>108.3</v>
      </c>
      <c r="E20" s="132" t="n">
        <v>33</v>
      </c>
      <c r="F20" s="131" t="n">
        <v>84.90000000000001</v>
      </c>
      <c r="G20" s="17" t="n">
        <v>26</v>
      </c>
      <c r="H20" s="133" t="n">
        <v>203</v>
      </c>
      <c r="I20" s="134" t="n">
        <v>40000</v>
      </c>
      <c r="J20" s="134" t="inlineStr">
        <is>
          <t>13</t>
        </is>
      </c>
      <c r="K20" s="134" t="n">
        <v>30000</v>
      </c>
      <c r="L20" s="134" t="inlineStr">
        <is>
          <t>6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1</v>
      </c>
      <c r="S20" s="121" t="inlineStr">
        <is>
          <t>계</t>
        </is>
      </c>
      <c r="T20" s="5" t="n">
        <v>61</v>
      </c>
      <c r="U20" s="9" t="n"/>
    </row>
    <row r="21" ht="12" customFormat="1" customHeight="1" s="37">
      <c r="A21" s="75" t="inlineStr">
        <is>
          <t>단계동 원주봉화산벨라시티2차</t>
        </is>
      </c>
      <c r="B21" s="76" t="inlineStr">
        <is>
          <t>18.12.</t>
        </is>
      </c>
      <c r="C21" s="130" t="n">
        <v>839</v>
      </c>
      <c r="D21" s="131" t="n">
        <v>115.8</v>
      </c>
      <c r="E21" s="132" t="n">
        <v>35</v>
      </c>
      <c r="F21" s="131" t="n">
        <v>85</v>
      </c>
      <c r="G21" s="17" t="n">
        <v>26</v>
      </c>
      <c r="H21" s="133" t="n">
        <v>322</v>
      </c>
      <c r="I21" s="134" t="n">
        <v>40000</v>
      </c>
      <c r="J21" s="134" t="inlineStr">
        <is>
          <t>8</t>
        </is>
      </c>
      <c r="K21" s="134" t="n">
        <v>32000</v>
      </c>
      <c r="L21" s="134" t="inlineStr">
        <is>
          <t>14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115</v>
      </c>
      <c r="U21" s="9" t="n"/>
    </row>
    <row r="22" ht="24" customFormat="1" customHeight="1" s="37">
      <c r="A22" s="75" t="inlineStr">
        <is>
          <t>지정면 원주기업도시호반베르디움(3-1블록)</t>
        </is>
      </c>
      <c r="B22" s="76" t="inlineStr">
        <is>
          <t>19.05.</t>
        </is>
      </c>
      <c r="C22" s="130" t="n">
        <v>892</v>
      </c>
      <c r="D22" s="131" t="n">
        <v>111</v>
      </c>
      <c r="E22" s="132" t="n">
        <v>34</v>
      </c>
      <c r="F22" s="131" t="n">
        <v>84.90000000000001</v>
      </c>
      <c r="G22" s="17" t="n">
        <v>26</v>
      </c>
      <c r="H22" s="133" t="n">
        <v>532</v>
      </c>
      <c r="I22" s="134" t="n">
        <v>39500</v>
      </c>
      <c r="J22" s="134" t="inlineStr">
        <is>
          <t>5</t>
        </is>
      </c>
      <c r="K22" s="134" t="n">
        <v>26000</v>
      </c>
      <c r="L22" s="134" t="inlineStr">
        <is>
          <t>18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146</v>
      </c>
      <c r="U22" s="9" t="n"/>
    </row>
    <row r="23" ht="24" customFormat="1" customHeight="1" s="37">
      <c r="A23" s="75" t="inlineStr">
        <is>
          <t>지정면 원주기업도시호반베르디움(3-2블록)</t>
        </is>
      </c>
      <c r="B23" s="76" t="inlineStr">
        <is>
          <t>19.05.</t>
        </is>
      </c>
      <c r="C23" s="130" t="n">
        <v>824</v>
      </c>
      <c r="D23" s="131" t="n">
        <v>110.9</v>
      </c>
      <c r="E23" s="132" t="n">
        <v>34</v>
      </c>
      <c r="F23" s="131" t="n">
        <v>84.90000000000001</v>
      </c>
      <c r="G23" s="17" t="n">
        <v>26</v>
      </c>
      <c r="H23" s="133" t="n">
        <v>494</v>
      </c>
      <c r="I23" s="134" t="n">
        <v>39500</v>
      </c>
      <c r="J23" s="134" t="inlineStr">
        <is>
          <t>10</t>
        </is>
      </c>
      <c r="K23" s="134" t="n">
        <v>23000</v>
      </c>
      <c r="L23" s="134" t="inlineStr">
        <is>
          <t>고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87B</t>
        </is>
      </c>
      <c r="U23" s="9" t="n"/>
    </row>
    <row r="24" ht="12" customFormat="1" customHeight="1" s="37">
      <c r="A24" s="75" t="inlineStr">
        <is>
          <t>반곡동 e편한세상반곡</t>
        </is>
      </c>
      <c r="B24" s="76" t="inlineStr">
        <is>
          <t>18.11.</t>
        </is>
      </c>
      <c r="C24" s="130" t="n">
        <v>508</v>
      </c>
      <c r="D24" s="131" t="n">
        <v>111.3</v>
      </c>
      <c r="E24" s="132" t="n">
        <v>34</v>
      </c>
      <c r="F24" s="131" t="n">
        <v>85</v>
      </c>
      <c r="G24" s="17" t="n">
        <v>26</v>
      </c>
      <c r="H24" s="133" t="n">
        <v>84</v>
      </c>
      <c r="I24" s="134" t="n">
        <v>39500</v>
      </c>
      <c r="J24" s="134" t="inlineStr">
        <is>
          <t>고</t>
        </is>
      </c>
      <c r="K24" s="134" t="n">
        <v>30000</v>
      </c>
      <c r="L24" s="134" t="inlineStr">
        <is>
          <t>고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1</v>
      </c>
      <c r="R24" s="121" t="n">
        <v>1</v>
      </c>
      <c r="S24" s="121" t="inlineStr">
        <is>
          <t>계</t>
        </is>
      </c>
      <c r="T24" s="5" t="inlineStr">
        <is>
          <t>33A</t>
        </is>
      </c>
      <c r="U24" s="9" t="n"/>
    </row>
    <row r="25" ht="12" customFormat="1" customHeight="1" s="37">
      <c r="A25" s="75" t="inlineStr">
        <is>
          <t>지정면 원주기업도시유보라아이비파크1단지</t>
        </is>
      </c>
      <c r="B25" s="76" t="inlineStr">
        <is>
          <t>20.01.</t>
        </is>
      </c>
      <c r="C25" s="130" t="n">
        <v>548</v>
      </c>
      <c r="D25" s="131" t="n">
        <v>109.7</v>
      </c>
      <c r="E25" s="132" t="n">
        <v>33</v>
      </c>
      <c r="F25" s="131" t="n">
        <v>85</v>
      </c>
      <c r="G25" s="17" t="n">
        <v>26</v>
      </c>
      <c r="H25" s="133" t="n">
        <v>180</v>
      </c>
      <c r="I25" s="134" t="n">
        <v>38000</v>
      </c>
      <c r="J25" s="134" t="inlineStr">
        <is>
          <t>고</t>
        </is>
      </c>
      <c r="K25" s="134" t="n">
        <v>24000</v>
      </c>
      <c r="L25" s="134" t="inlineStr">
        <is>
          <t>27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107A</t>
        </is>
      </c>
      <c r="U25" s="9" t="n"/>
    </row>
    <row r="26" ht="12" customFormat="1" customHeight="1" s="37">
      <c r="A26" s="75" t="inlineStr">
        <is>
          <t>반곡동 LH센트럴파크</t>
        </is>
      </c>
      <c r="B26" s="76" t="inlineStr">
        <is>
          <t>19.02.</t>
        </is>
      </c>
      <c r="C26" s="130" t="n">
        <v>855</v>
      </c>
      <c r="D26" s="131" t="n">
        <v>110.9</v>
      </c>
      <c r="E26" s="132" t="n">
        <v>34</v>
      </c>
      <c r="F26" s="131" t="n">
        <v>85</v>
      </c>
      <c r="G26" s="17" t="n">
        <v>26</v>
      </c>
      <c r="H26" s="133" t="n">
        <v>601</v>
      </c>
      <c r="I26" s="134" t="n">
        <v>38000</v>
      </c>
      <c r="J26" s="134" t="inlineStr">
        <is>
          <t>고</t>
        </is>
      </c>
      <c r="K26" s="134" t="n">
        <v>29000</v>
      </c>
      <c r="L26" s="134" t="inlineStr">
        <is>
          <t>7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1</v>
      </c>
      <c r="S26" s="121" t="inlineStr">
        <is>
          <t>계</t>
        </is>
      </c>
      <c r="T26" s="5" t="n">
        <v>80</v>
      </c>
      <c r="U26" s="9" t="n"/>
    </row>
    <row r="27" ht="24" customFormat="1" customHeight="1" s="37">
      <c r="A27" s="75" t="inlineStr">
        <is>
          <t>지정면 원주롯데캐슬더퍼스트2차</t>
        </is>
      </c>
      <c r="B27" s="76" t="inlineStr">
        <is>
          <t>18.08.</t>
        </is>
      </c>
      <c r="C27" s="130" t="n">
        <v>1116</v>
      </c>
      <c r="D27" s="131" t="n">
        <v>113.4</v>
      </c>
      <c r="E27" s="132" t="n">
        <v>34</v>
      </c>
      <c r="F27" s="131" t="n">
        <v>85</v>
      </c>
      <c r="G27" s="17" t="n">
        <v>26</v>
      </c>
      <c r="H27" s="133" t="n">
        <v>472</v>
      </c>
      <c r="I27" s="134" t="n">
        <v>37000</v>
      </c>
      <c r="J27" s="134" t="inlineStr">
        <is>
          <t>6</t>
        </is>
      </c>
      <c r="K27" s="134" t="n">
        <v>25000</v>
      </c>
      <c r="L27" s="134" t="inlineStr">
        <is>
          <t>21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1</v>
      </c>
      <c r="R27" s="121" t="n">
        <v>1</v>
      </c>
      <c r="S27" s="121" t="inlineStr">
        <is>
          <t>계</t>
        </is>
      </c>
      <c r="T27" s="5" t="inlineStr">
        <is>
          <t>45B</t>
        </is>
      </c>
      <c r="U27" s="9" t="n"/>
    </row>
    <row r="28" ht="24" customFormat="1" customHeight="1" s="37">
      <c r="A28" s="75" t="inlineStr">
        <is>
          <t>반곡동 푸른숨LH3단지</t>
        </is>
      </c>
      <c r="B28" s="76" t="inlineStr">
        <is>
          <t>15.06.</t>
        </is>
      </c>
      <c r="C28" s="130" t="n">
        <v>728</v>
      </c>
      <c r="D28" s="131" t="n">
        <v>109.6</v>
      </c>
      <c r="E28" s="132" t="n">
        <v>33</v>
      </c>
      <c r="F28" s="131" t="n">
        <v>84.90000000000001</v>
      </c>
      <c r="G28" s="17" t="n">
        <v>26</v>
      </c>
      <c r="H28" s="133" t="n">
        <v>191</v>
      </c>
      <c r="I28" s="134" t="n">
        <v>37000</v>
      </c>
      <c r="J28" s="134" t="inlineStr">
        <is>
          <t>중</t>
        </is>
      </c>
      <c r="K28" s="134" t="n">
        <v>30000</v>
      </c>
      <c r="L28" s="134" t="inlineStr">
        <is>
          <t>중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108C</t>
        </is>
      </c>
      <c r="U28" s="9" t="n"/>
    </row>
    <row r="29" ht="12" customFormat="1" customHeight="1" s="37">
      <c r="A29" s="75" t="inlineStr">
        <is>
          <t>반곡동 푸른숨휴브레스</t>
        </is>
      </c>
      <c r="B29" s="76" t="inlineStr">
        <is>
          <t>13.12.</t>
        </is>
      </c>
      <c r="C29" s="130" t="n">
        <v>1110</v>
      </c>
      <c r="D29" s="131" t="n">
        <v>109.1</v>
      </c>
      <c r="E29" s="132" t="n">
        <v>33</v>
      </c>
      <c r="F29" s="131" t="n">
        <v>84.90000000000001</v>
      </c>
      <c r="G29" s="17" t="n">
        <v>26</v>
      </c>
      <c r="H29" s="133" t="n">
        <v>770</v>
      </c>
      <c r="I29" s="134" t="n">
        <v>37000</v>
      </c>
      <c r="J29" s="134" t="inlineStr">
        <is>
          <t>고</t>
        </is>
      </c>
      <c r="K29" s="134" t="n">
        <v>27000</v>
      </c>
      <c r="L29" s="134" t="inlineStr">
        <is>
          <t>6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1</v>
      </c>
      <c r="S29" s="121" t="inlineStr">
        <is>
          <t>복</t>
        </is>
      </c>
      <c r="T29" s="5" t="n">
        <v>79</v>
      </c>
      <c r="U29" s="9" t="n"/>
    </row>
    <row r="30" ht="12" customFormat="1" customHeight="1" s="37">
      <c r="A30" s="75" t="inlineStr">
        <is>
          <t>단구동 원주단구내안애카운티에듀파크1단지</t>
        </is>
      </c>
      <c r="B30" s="76" t="inlineStr">
        <is>
          <t>20.06.</t>
        </is>
      </c>
      <c r="C30" s="130" t="n">
        <v>571</v>
      </c>
      <c r="D30" s="131" t="n">
        <v>107.3</v>
      </c>
      <c r="E30" s="132" t="n">
        <v>32</v>
      </c>
      <c r="F30" s="131" t="n">
        <v>84.90000000000001</v>
      </c>
      <c r="G30" s="17" t="n">
        <v>26</v>
      </c>
      <c r="H30" s="133" t="n">
        <v>421</v>
      </c>
      <c r="I30" s="134" t="n">
        <v>37000</v>
      </c>
      <c r="J30" s="134" t="inlineStr">
        <is>
          <t>12</t>
        </is>
      </c>
      <c r="K30" s="134" t="n">
        <v>29000</v>
      </c>
      <c r="L30" s="134" t="inlineStr">
        <is>
          <t>12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158</v>
      </c>
      <c r="U30" s="9" t="n"/>
    </row>
    <row r="31" ht="12" customFormat="1" customHeight="1" s="37">
      <c r="A31" s="75" t="inlineStr">
        <is>
          <t>단계동 봉화산벨라시티</t>
        </is>
      </c>
      <c r="B31" s="76" t="inlineStr">
        <is>
          <t>16.10.</t>
        </is>
      </c>
      <c r="C31" s="130" t="n">
        <v>566</v>
      </c>
      <c r="D31" s="131" t="n">
        <v>110.9</v>
      </c>
      <c r="E31" s="132" t="n">
        <v>34</v>
      </c>
      <c r="F31" s="131" t="n">
        <v>85</v>
      </c>
      <c r="G31" s="17" t="n">
        <v>26</v>
      </c>
      <c r="H31" s="133" t="n">
        <v>92</v>
      </c>
      <c r="I31" s="134" t="n">
        <v>37000</v>
      </c>
      <c r="J31" s="134" t="inlineStr">
        <is>
          <t>8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1</v>
      </c>
      <c r="S31" s="121" t="inlineStr">
        <is>
          <t>계</t>
        </is>
      </c>
      <c r="T31" s="5" t="n">
        <v>77</v>
      </c>
      <c r="U31" s="9" t="n"/>
    </row>
    <row r="32" ht="12" customFormat="1" customHeight="1" s="37">
      <c r="A32" s="75" t="inlineStr">
        <is>
          <t>단구동 단구한신더휴</t>
        </is>
      </c>
      <c r="B32" s="76" t="inlineStr">
        <is>
          <t>17.11.</t>
        </is>
      </c>
      <c r="C32" s="130" t="n">
        <v>724</v>
      </c>
      <c r="D32" s="131" t="n">
        <v>114.2</v>
      </c>
      <c r="E32" s="132" t="n">
        <v>35</v>
      </c>
      <c r="F32" s="131" t="n">
        <v>84.90000000000001</v>
      </c>
      <c r="G32" s="17" t="n">
        <v>26</v>
      </c>
      <c r="H32" s="133" t="n">
        <v>217</v>
      </c>
      <c r="I32" s="134" t="n">
        <v>36000</v>
      </c>
      <c r="J32" s="134" t="inlineStr">
        <is>
          <t>6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109A</t>
        </is>
      </c>
      <c r="U32" s="9" t="n"/>
    </row>
    <row r="33" ht="12" customFormat="1" customHeight="1" s="37">
      <c r="A33" s="75" t="inlineStr">
        <is>
          <t>지정면 이지더원1차</t>
        </is>
      </c>
      <c r="B33" s="76" t="inlineStr">
        <is>
          <t>19.01.</t>
        </is>
      </c>
      <c r="C33" s="130" t="n">
        <v>1430</v>
      </c>
      <c r="D33" s="131" t="n">
        <v>110.8</v>
      </c>
      <c r="E33" s="132" t="n">
        <v>34</v>
      </c>
      <c r="F33" s="131" t="n">
        <v>85</v>
      </c>
      <c r="G33" s="17" t="n">
        <v>26</v>
      </c>
      <c r="H33" s="133" t="n">
        <v>880</v>
      </c>
      <c r="I33" s="134" t="n">
        <v>35500</v>
      </c>
      <c r="J33" s="134" t="inlineStr">
        <is>
          <t>고</t>
        </is>
      </c>
      <c r="K33" s="134" t="n">
        <v>23000</v>
      </c>
      <c r="L33" s="134" t="inlineStr">
        <is>
          <t>6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계</t>
        </is>
      </c>
      <c r="T33" s="5" t="n">
        <v>73</v>
      </c>
      <c r="U33" s="9" t="n"/>
    </row>
    <row r="34" ht="12" customFormat="1" customHeight="1" s="37">
      <c r="A34" s="75" t="inlineStr">
        <is>
          <t>단계동 원주봉화산푸르지오</t>
        </is>
      </c>
      <c r="B34" s="76" t="inlineStr">
        <is>
          <t>17.11.</t>
        </is>
      </c>
      <c r="C34" s="130" t="n">
        <v>996</v>
      </c>
      <c r="D34" s="131" t="n">
        <v>98.59999999999999</v>
      </c>
      <c r="E34" s="132" t="n">
        <v>30</v>
      </c>
      <c r="F34" s="131" t="n">
        <v>72.90000000000001</v>
      </c>
      <c r="G34" s="17" t="n">
        <v>22</v>
      </c>
      <c r="H34" s="133" t="n">
        <v>323</v>
      </c>
      <c r="I34" s="134" t="n">
        <v>35500</v>
      </c>
      <c r="J34" s="134" t="inlineStr">
        <is>
          <t>10</t>
        </is>
      </c>
      <c r="K34" s="134" t="n">
        <v>26000</v>
      </c>
      <c r="L34" s="134" t="inlineStr">
        <is>
          <t>22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1</v>
      </c>
      <c r="S34" s="121" t="inlineStr">
        <is>
          <t>계</t>
        </is>
      </c>
      <c r="T34" s="5" t="inlineStr">
        <is>
          <t>77A</t>
        </is>
      </c>
      <c r="U34" s="9" t="n"/>
    </row>
    <row r="35" ht="12" customFormat="1" customHeight="1" s="37">
      <c r="A35" s="75" t="inlineStr">
        <is>
          <t>판부면 남원주코아루미소지움</t>
        </is>
      </c>
      <c r="B35" s="76" t="inlineStr">
        <is>
          <t>18.03.</t>
        </is>
      </c>
      <c r="C35" s="130" t="n">
        <v>359</v>
      </c>
      <c r="D35" s="131" t="n">
        <v>110</v>
      </c>
      <c r="E35" s="132" t="n">
        <v>33</v>
      </c>
      <c r="F35" s="131" t="n">
        <v>80</v>
      </c>
      <c r="G35" s="17" t="n">
        <v>24</v>
      </c>
      <c r="H35" s="133" t="n">
        <v>157</v>
      </c>
      <c r="I35" s="134" t="n">
        <v>34500</v>
      </c>
      <c r="J35" s="134" t="inlineStr">
        <is>
          <t>6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2</v>
      </c>
      <c r="R35" s="121" t="n">
        <v>1</v>
      </c>
      <c r="S35" s="121" t="inlineStr">
        <is>
          <t>계</t>
        </is>
      </c>
      <c r="T35" s="5" t="inlineStr">
        <is>
          <t>77B</t>
        </is>
      </c>
      <c r="U35" s="9" t="n"/>
    </row>
    <row r="36" ht="12" customFormat="1" customHeight="1" s="37">
      <c r="A36" s="75" t="inlineStr">
        <is>
          <t>지정면 원주롯데캐슬골드파크2차</t>
        </is>
      </c>
      <c r="B36" s="76" t="inlineStr">
        <is>
          <t>19.12.</t>
        </is>
      </c>
      <c r="C36" s="130" t="n">
        <v>536</v>
      </c>
      <c r="D36" s="131" t="n">
        <v>81.2</v>
      </c>
      <c r="E36" s="132" t="n">
        <v>25</v>
      </c>
      <c r="F36" s="131" t="n">
        <v>60</v>
      </c>
      <c r="G36" s="17" t="n">
        <v>18</v>
      </c>
      <c r="H36" s="133" t="n">
        <v>128</v>
      </c>
      <c r="I36" s="134" t="n">
        <v>34500</v>
      </c>
      <c r="J36" s="134" t="inlineStr">
        <is>
          <t>중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104</v>
      </c>
      <c r="U36" s="9" t="n"/>
    </row>
    <row r="37" ht="12" customFormat="1" customHeight="1" s="37">
      <c r="A37" s="75" t="inlineStr">
        <is>
          <t>지정면 원주롯데캐슬골드파크1차</t>
        </is>
      </c>
      <c r="B37" s="76" t="inlineStr">
        <is>
          <t>19.12.</t>
        </is>
      </c>
      <c r="C37" s="130" t="n">
        <v>624</v>
      </c>
      <c r="D37" s="131" t="n">
        <v>81.59999999999999</v>
      </c>
      <c r="E37" s="132" t="n">
        <v>25</v>
      </c>
      <c r="F37" s="131" t="n">
        <v>60</v>
      </c>
      <c r="G37" s="17" t="n">
        <v>18</v>
      </c>
      <c r="H37" s="133" t="n">
        <v>157</v>
      </c>
      <c r="I37" s="134" t="n">
        <v>33000</v>
      </c>
      <c r="J37" s="134" t="inlineStr">
        <is>
          <t>7</t>
        </is>
      </c>
      <c r="K37" s="134" t="n">
        <v>22000</v>
      </c>
      <c r="L37" s="134" t="inlineStr">
        <is>
          <t>18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inlineStr">
        <is>
          <t>111B</t>
        </is>
      </c>
      <c r="U37" s="9" t="n"/>
    </row>
    <row r="38" ht="12" customFormat="1" customHeight="1" s="37">
      <c r="A38" s="75" t="inlineStr">
        <is>
          <t>태장동 이안원주태장</t>
        </is>
      </c>
      <c r="B38" s="76" t="inlineStr">
        <is>
          <t>19.08.</t>
        </is>
      </c>
      <c r="C38" s="130" t="n">
        <v>920</v>
      </c>
      <c r="D38" s="131" t="n">
        <v>116.9</v>
      </c>
      <c r="E38" s="132" t="n">
        <v>35</v>
      </c>
      <c r="F38" s="131" t="n">
        <v>84.90000000000001</v>
      </c>
      <c r="G38" s="17" t="n">
        <v>26</v>
      </c>
      <c r="H38" s="133" t="n">
        <v>62</v>
      </c>
      <c r="I38" s="134" t="n">
        <v>32000</v>
      </c>
      <c r="J38" s="134" t="inlineStr">
        <is>
          <t>중</t>
        </is>
      </c>
      <c r="K38" s="134" t="n">
        <v>27000</v>
      </c>
      <c r="L38" s="134" t="inlineStr">
        <is>
          <t>20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115C</t>
        </is>
      </c>
      <c r="U38" s="9" t="n"/>
    </row>
    <row r="39" ht="12" customFormat="1" customHeight="1" s="37">
      <c r="A39" s="75" t="inlineStr">
        <is>
          <t>무실동 사랑으로부영</t>
        </is>
      </c>
      <c r="B39" s="76" t="inlineStr">
        <is>
          <t>12.07.</t>
        </is>
      </c>
      <c r="C39" s="130" t="n">
        <v>639</v>
      </c>
      <c r="D39" s="131" t="n">
        <v>88.59999999999999</v>
      </c>
      <c r="E39" s="132" t="n">
        <v>27</v>
      </c>
      <c r="F39" s="131" t="n">
        <v>59.9</v>
      </c>
      <c r="G39" s="17" t="n">
        <v>18</v>
      </c>
      <c r="H39" s="133" t="n">
        <v>337</v>
      </c>
      <c r="I39" s="134" t="n">
        <v>32000</v>
      </c>
      <c r="J39" s="134" t="inlineStr">
        <is>
          <t>중</t>
        </is>
      </c>
      <c r="K39" s="134" t="n">
        <v>25000</v>
      </c>
      <c r="L39" s="134" t="inlineStr">
        <is>
          <t>중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107C</t>
        </is>
      </c>
      <c r="U39" s="9" t="n"/>
    </row>
    <row r="40" ht="12" customFormat="1" customHeight="1" s="37">
      <c r="A40" s="75" t="inlineStr">
        <is>
          <t>단계동 원주봉화산벨라시티3차</t>
        </is>
      </c>
      <c r="B40" s="76" t="inlineStr">
        <is>
          <t>20.11.</t>
        </is>
      </c>
      <c r="C40" s="130" t="n">
        <v>499</v>
      </c>
      <c r="D40" s="131" t="n">
        <v>83.09999999999999</v>
      </c>
      <c r="E40" s="132" t="n">
        <v>25</v>
      </c>
      <c r="F40" s="131" t="n">
        <v>59.9</v>
      </c>
      <c r="G40" s="17" t="n">
        <v>18</v>
      </c>
      <c r="H40" s="133" t="n">
        <v>126</v>
      </c>
      <c r="I40" s="134" t="n">
        <v>32000</v>
      </c>
      <c r="J40" s="134" t="inlineStr">
        <is>
          <t>16</t>
        </is>
      </c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inlineStr">
        <is>
          <t>163B</t>
        </is>
      </c>
      <c r="U40" s="9" t="n"/>
    </row>
    <row r="41" ht="12" customFormat="1" customHeight="1" s="37">
      <c r="A41" s="75" t="inlineStr">
        <is>
          <t>단계동 원주봉화산벨라시티2차</t>
        </is>
      </c>
      <c r="B41" s="76" t="inlineStr">
        <is>
          <t>18.12.</t>
        </is>
      </c>
      <c r="C41" s="130" t="n">
        <v>839</v>
      </c>
      <c r="D41" s="131" t="n">
        <v>83.8</v>
      </c>
      <c r="E41" s="132" t="n">
        <v>25</v>
      </c>
      <c r="F41" s="131" t="n">
        <v>60</v>
      </c>
      <c r="G41" s="17" t="n">
        <v>18</v>
      </c>
      <c r="H41" s="133" t="n">
        <v>74</v>
      </c>
      <c r="I41" s="134" t="n">
        <v>32000</v>
      </c>
      <c r="J41" s="134" t="inlineStr">
        <is>
          <t>중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계</t>
        </is>
      </c>
      <c r="T41" s="5" t="n">
        <v>78</v>
      </c>
      <c r="U41" s="9" t="n"/>
    </row>
    <row r="42" ht="12" customFormat="1" customHeight="1" s="37">
      <c r="A42" s="75" t="inlineStr">
        <is>
          <t>반곡동 반곡퍼스트힐</t>
        </is>
      </c>
      <c r="B42" s="76" t="inlineStr">
        <is>
          <t>14.10.</t>
        </is>
      </c>
      <c r="C42" s="130" t="n">
        <v>424</v>
      </c>
      <c r="D42" s="131" t="n">
        <v>109.7</v>
      </c>
      <c r="E42" s="132" t="n">
        <v>33</v>
      </c>
      <c r="F42" s="131" t="n">
        <v>85</v>
      </c>
      <c r="G42" s="17" t="n">
        <v>26</v>
      </c>
      <c r="H42" s="133" t="n">
        <v>251</v>
      </c>
      <c r="I42" s="134" t="n">
        <v>31500</v>
      </c>
      <c r="J42" s="134" t="inlineStr">
        <is>
          <t>6</t>
        </is>
      </c>
      <c r="K42" s="134" t="n">
        <v>25000</v>
      </c>
      <c r="L42" s="134" t="inlineStr">
        <is>
          <t>14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inlineStr">
        <is>
          <t>161A</t>
        </is>
      </c>
      <c r="U42" s="9" t="n"/>
    </row>
    <row r="43" ht="12" customFormat="1" customHeight="1" s="37">
      <c r="A43" s="75" t="inlineStr">
        <is>
          <t>지정면 원주롯데캐슬더퍼스트2차</t>
        </is>
      </c>
      <c r="B43" s="76" t="inlineStr">
        <is>
          <t>18.08.</t>
        </is>
      </c>
      <c r="C43" s="130" t="n">
        <v>1116</v>
      </c>
      <c r="D43" s="131" t="n">
        <v>84.59999999999999</v>
      </c>
      <c r="E43" s="132" t="n">
        <v>26</v>
      </c>
      <c r="F43" s="131" t="n">
        <v>60</v>
      </c>
      <c r="G43" s="17" t="n">
        <v>18</v>
      </c>
      <c r="H43" s="133" t="n">
        <v>571</v>
      </c>
      <c r="I43" s="134" t="n">
        <v>30000</v>
      </c>
      <c r="J43" s="134" t="inlineStr">
        <is>
          <t>15</t>
        </is>
      </c>
      <c r="K43" s="134" t="n">
        <v>21000</v>
      </c>
      <c r="L43" s="134" t="inlineStr">
        <is>
          <t>고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1</v>
      </c>
      <c r="R43" s="121" t="n">
        <v>1</v>
      </c>
      <c r="S43" s="121" t="inlineStr">
        <is>
          <t>계</t>
        </is>
      </c>
      <c r="T43" s="5" t="inlineStr">
        <is>
          <t>40B</t>
        </is>
      </c>
      <c r="U43" s="9" t="n"/>
    </row>
    <row r="44" ht="12" customFormat="1" customHeight="1" s="37">
      <c r="A44" s="75" t="inlineStr">
        <is>
          <t>우산동 한라비발디2차</t>
        </is>
      </c>
      <c r="B44" s="76" t="inlineStr">
        <is>
          <t>14.09.</t>
        </is>
      </c>
      <c r="C44" s="130" t="n">
        <v>717</v>
      </c>
      <c r="D44" s="131" t="n">
        <v>110.4</v>
      </c>
      <c r="E44" s="132" t="n">
        <v>33</v>
      </c>
      <c r="F44" s="131" t="n">
        <v>84.5</v>
      </c>
      <c r="G44" s="17" t="n">
        <v>26</v>
      </c>
      <c r="H44" s="133" t="n">
        <v>236</v>
      </c>
      <c r="I44" s="134" t="n">
        <v>30000</v>
      </c>
      <c r="J44" s="134" t="inlineStr">
        <is>
          <t>10</t>
        </is>
      </c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n">
        <v>126</v>
      </c>
      <c r="U44" s="9" t="n"/>
    </row>
    <row r="45" ht="12" customFormat="1" customHeight="1" s="37">
      <c r="A45" s="75" t="inlineStr">
        <is>
          <t>태장동 e편한세상원주태장</t>
        </is>
      </c>
      <c r="B45" s="76" t="inlineStr">
        <is>
          <t>18.12.</t>
        </is>
      </c>
      <c r="C45" s="130" t="n">
        <v>703</v>
      </c>
      <c r="D45" s="131" t="n">
        <v>103.5</v>
      </c>
      <c r="E45" s="132" t="n">
        <v>31</v>
      </c>
      <c r="F45" s="131" t="n">
        <v>75</v>
      </c>
      <c r="G45" s="17" t="n">
        <v>23</v>
      </c>
      <c r="H45" s="133" t="n">
        <v>308</v>
      </c>
      <c r="I45" s="134" t="n">
        <v>29000</v>
      </c>
      <c r="J45" s="134" t="inlineStr">
        <is>
          <t>5</t>
        </is>
      </c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106B</t>
        </is>
      </c>
      <c r="U45" s="9" t="n"/>
    </row>
    <row r="46" ht="12" customFormat="1" customHeight="1" s="37">
      <c r="A46" s="75" t="inlineStr">
        <is>
          <t>지정면 원주기업도시유보라아이비파크2단지</t>
        </is>
      </c>
      <c r="B46" s="76" t="inlineStr">
        <is>
          <t>20.01.</t>
        </is>
      </c>
      <c r="C46" s="130" t="n">
        <v>794</v>
      </c>
      <c r="D46" s="131" t="n">
        <v>80.5</v>
      </c>
      <c r="E46" s="132" t="n">
        <v>24</v>
      </c>
      <c r="F46" s="131" t="n">
        <v>60</v>
      </c>
      <c r="G46" s="17" t="n">
        <v>18</v>
      </c>
      <c r="H46" s="133" t="n">
        <v>34</v>
      </c>
      <c r="I46" s="134" t="n">
        <v>29000</v>
      </c>
      <c r="J46" s="134" t="inlineStr">
        <is>
          <t>16</t>
        </is>
      </c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n">
        <v>135</v>
      </c>
      <c r="U46" s="9" t="n"/>
    </row>
    <row r="47" ht="12" customFormat="1" customHeight="1" s="37">
      <c r="A47" s="75" t="inlineStr">
        <is>
          <t>지정면 원주기업도시호반베르디움8단지</t>
        </is>
      </c>
      <c r="B47" s="76" t="inlineStr">
        <is>
          <t>18.08.</t>
        </is>
      </c>
      <c r="C47" s="130" t="n">
        <v>882</v>
      </c>
      <c r="D47" s="131" t="n">
        <v>85.7</v>
      </c>
      <c r="E47" s="132" t="n">
        <v>26</v>
      </c>
      <c r="F47" s="131" t="n">
        <v>59.9</v>
      </c>
      <c r="G47" s="17" t="n">
        <v>18</v>
      </c>
      <c r="H47" s="133" t="n">
        <v>337</v>
      </c>
      <c r="I47" s="134" t="n">
        <v>29000</v>
      </c>
      <c r="J47" s="134" t="inlineStr">
        <is>
          <t>10</t>
        </is>
      </c>
      <c r="K47" s="134" t="n">
        <v>20000</v>
      </c>
      <c r="L47" s="134" t="inlineStr">
        <is>
          <t>7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1</v>
      </c>
      <c r="R47" s="121" t="n">
        <v>1</v>
      </c>
      <c r="S47" s="121" t="inlineStr">
        <is>
          <t>계</t>
        </is>
      </c>
      <c r="T47" s="5" t="inlineStr">
        <is>
          <t>34B</t>
        </is>
      </c>
      <c r="U47" s="9" t="n"/>
    </row>
    <row r="48" ht="12" customFormat="1" customHeight="1" s="37">
      <c r="A48" s="75" t="inlineStr">
        <is>
          <t>지정면 원주롯데캐슬더퍼스트</t>
        </is>
      </c>
      <c r="B48" s="76" t="inlineStr">
        <is>
          <t>18.06.</t>
        </is>
      </c>
      <c r="C48" s="130" t="n">
        <v>1243</v>
      </c>
      <c r="D48" s="131" t="n">
        <v>85.09999999999999</v>
      </c>
      <c r="E48" s="132" t="n">
        <v>26</v>
      </c>
      <c r="F48" s="131" t="n">
        <v>60</v>
      </c>
      <c r="G48" s="17" t="n">
        <v>18</v>
      </c>
      <c r="H48" s="133" t="n">
        <v>532</v>
      </c>
      <c r="I48" s="134" t="n">
        <v>29000</v>
      </c>
      <c r="J48" s="134" t="inlineStr">
        <is>
          <t>고</t>
        </is>
      </c>
      <c r="K48" s="134" t="n">
        <v>20000</v>
      </c>
      <c r="L48" s="134" t="inlineStr">
        <is>
          <t>17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4</v>
      </c>
      <c r="R48" s="121" t="n">
        <v>2</v>
      </c>
      <c r="S48" s="121" t="inlineStr">
        <is>
          <t>계</t>
        </is>
      </c>
      <c r="T48" s="5" t="n">
        <v>156</v>
      </c>
      <c r="U48" s="9" t="n"/>
    </row>
    <row r="49" ht="12" customFormat="1" customHeight="1" s="37">
      <c r="A49" s="75" t="inlineStr">
        <is>
          <t>단계동 원주봉화산푸르지오</t>
        </is>
      </c>
      <c r="B49" s="76" t="inlineStr">
        <is>
          <t>17.11.</t>
        </is>
      </c>
      <c r="C49" s="130" t="n">
        <v>996</v>
      </c>
      <c r="D49" s="131" t="n">
        <v>85</v>
      </c>
      <c r="E49" s="132" t="n">
        <v>26</v>
      </c>
      <c r="F49" s="131" t="n">
        <v>60.8</v>
      </c>
      <c r="G49" s="17" t="n">
        <v>18</v>
      </c>
      <c r="H49" s="133" t="n">
        <v>337</v>
      </c>
      <c r="I49" s="134" t="n">
        <v>29000</v>
      </c>
      <c r="J49" s="134" t="inlineStr">
        <is>
          <t>13</t>
        </is>
      </c>
      <c r="K49" s="134" t="n">
        <v>22000</v>
      </c>
      <c r="L49" s="134" t="inlineStr">
        <is>
          <t>9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계</t>
        </is>
      </c>
      <c r="T49" s="5" t="inlineStr">
        <is>
          <t>78A</t>
        </is>
      </c>
      <c r="U49" s="9" t="n"/>
    </row>
    <row r="50" ht="24" customFormat="1" customHeight="1" s="37">
      <c r="A50" s="75" t="inlineStr">
        <is>
          <t>반곡동 e편한세상반곡</t>
        </is>
      </c>
      <c r="B50" s="76" t="inlineStr">
        <is>
          <t>18.11.</t>
        </is>
      </c>
      <c r="C50" s="130" t="n">
        <v>508</v>
      </c>
      <c r="D50" s="131" t="n">
        <v>84.5</v>
      </c>
      <c r="E50" s="132" t="n">
        <v>26</v>
      </c>
      <c r="F50" s="131" t="n">
        <v>59.8</v>
      </c>
      <c r="G50" s="17" t="n">
        <v>18</v>
      </c>
      <c r="H50" s="133" t="n">
        <v>164</v>
      </c>
      <c r="I50" s="134" t="n">
        <v>28900</v>
      </c>
      <c r="J50" s="134" t="inlineStr">
        <is>
          <t>8</t>
        </is>
      </c>
      <c r="K50" s="134" t="n">
        <v>23000</v>
      </c>
      <c r="L50" s="134" t="inlineStr">
        <is>
          <t>10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107A</t>
        </is>
      </c>
      <c r="U50" s="9" t="n"/>
    </row>
    <row r="51" ht="24" customFormat="1" customHeight="1" s="37">
      <c r="A51" s="75" t="inlineStr">
        <is>
          <t>지정면 이지더원더그레이스</t>
        </is>
      </c>
      <c r="B51" s="76" t="inlineStr">
        <is>
          <t>20.06.</t>
        </is>
      </c>
      <c r="C51" s="130" t="n">
        <v>776</v>
      </c>
      <c r="D51" s="131" t="n">
        <v>82</v>
      </c>
      <c r="E51" s="132" t="n">
        <v>25</v>
      </c>
      <c r="F51" s="131" t="n">
        <v>60</v>
      </c>
      <c r="G51" s="17" t="n">
        <v>18</v>
      </c>
      <c r="H51" s="133" t="n">
        <v>172</v>
      </c>
      <c r="I51" s="134" t="n">
        <v>28500</v>
      </c>
      <c r="J51" s="134" t="inlineStr">
        <is>
          <t>중</t>
        </is>
      </c>
      <c r="K51" s="134" t="n">
        <v>22000</v>
      </c>
      <c r="L51" s="134" t="inlineStr">
        <is>
          <t>11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102</v>
      </c>
      <c r="U51" s="9" t="n"/>
    </row>
    <row r="52" ht="12" customFormat="1" customHeight="1" s="37">
      <c r="A52" s="75" t="inlineStr">
        <is>
          <t>지정면 원주기업도시호반베르디움(3-2블록)</t>
        </is>
      </c>
      <c r="B52" s="76" t="inlineStr">
        <is>
          <t>19.05.</t>
        </is>
      </c>
      <c r="C52" s="130" t="n">
        <v>824</v>
      </c>
      <c r="D52" s="131" t="n">
        <v>83.09999999999999</v>
      </c>
      <c r="E52" s="132" t="n">
        <v>25</v>
      </c>
      <c r="F52" s="131" t="n">
        <v>60</v>
      </c>
      <c r="G52" s="17" t="n">
        <v>18</v>
      </c>
      <c r="H52" s="133" t="n">
        <v>244</v>
      </c>
      <c r="I52" s="134" t="n">
        <v>28000</v>
      </c>
      <c r="J52" s="134" t="inlineStr">
        <is>
          <t>중</t>
        </is>
      </c>
      <c r="K52" s="134" t="n">
        <v>20000</v>
      </c>
      <c r="L52" s="134" t="inlineStr">
        <is>
          <t>8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87A</t>
        </is>
      </c>
      <c r="U52" s="9" t="n"/>
    </row>
    <row r="53" ht="12" customFormat="1" customHeight="1" s="37">
      <c r="A53" s="75" t="inlineStr">
        <is>
          <t>단계동 봉화산벨라시티</t>
        </is>
      </c>
      <c r="B53" s="76" t="inlineStr">
        <is>
          <t>16.10.</t>
        </is>
      </c>
      <c r="C53" s="130" t="n">
        <v>566</v>
      </c>
      <c r="D53" s="131" t="n">
        <v>87.90000000000001</v>
      </c>
      <c r="E53" s="132" t="n">
        <v>27</v>
      </c>
      <c r="F53" s="131" t="n">
        <v>59.9</v>
      </c>
      <c r="G53" s="17" t="n">
        <v>18</v>
      </c>
      <c r="H53" s="133" t="n">
        <v>164</v>
      </c>
      <c r="I53" s="134" t="n">
        <v>28000</v>
      </c>
      <c r="J53" s="134" t="inlineStr">
        <is>
          <t>중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복</t>
        </is>
      </c>
      <c r="T53" s="5" t="inlineStr">
        <is>
          <t>115A</t>
        </is>
      </c>
      <c r="U53" s="9" t="n"/>
    </row>
    <row r="54" ht="12" customFormat="1" customHeight="1" s="37">
      <c r="A54" s="75" t="inlineStr">
        <is>
          <t>지정면 원주기업도시유보라아이비파크1단지</t>
        </is>
      </c>
      <c r="B54" s="76" t="inlineStr">
        <is>
          <t>20.01.</t>
        </is>
      </c>
      <c r="C54" s="130" t="n">
        <v>548</v>
      </c>
      <c r="D54" s="131" t="n">
        <v>81.3</v>
      </c>
      <c r="E54" s="132" t="n">
        <v>25</v>
      </c>
      <c r="F54" s="131" t="n">
        <v>60</v>
      </c>
      <c r="G54" s="17" t="n">
        <v>18</v>
      </c>
      <c r="H54" s="133" t="n">
        <v>178</v>
      </c>
      <c r="I54" s="134" t="n">
        <v>27000</v>
      </c>
      <c r="J54" s="134" t="inlineStr">
        <is>
          <t>중</t>
        </is>
      </c>
      <c r="K54" s="134" t="n">
        <v>22000</v>
      </c>
      <c r="L54" s="134" t="inlineStr">
        <is>
          <t>고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inlineStr">
        <is>
          <t>107D</t>
        </is>
      </c>
      <c r="U54" s="9" t="n"/>
    </row>
    <row r="55" ht="12" customFormat="1" customHeight="1" s="37">
      <c r="A55" s="75" t="inlineStr">
        <is>
          <t>지정면 원주기업도시라온프라이빗</t>
        </is>
      </c>
      <c r="B55" s="76" t="inlineStr">
        <is>
          <t>18.12.</t>
        </is>
      </c>
      <c r="C55" s="130" t="n">
        <v>713</v>
      </c>
      <c r="D55" s="131" t="n">
        <v>81.40000000000001</v>
      </c>
      <c r="E55" s="132" t="n">
        <v>25</v>
      </c>
      <c r="F55" s="131" t="n">
        <v>59.8</v>
      </c>
      <c r="G55" s="17" t="n">
        <v>18</v>
      </c>
      <c r="H55" s="133" t="n">
        <v>280</v>
      </c>
      <c r="I55" s="134" t="n">
        <v>27000</v>
      </c>
      <c r="J55" s="134" t="inlineStr">
        <is>
          <t>5</t>
        </is>
      </c>
      <c r="K55" s="134" t="n">
        <v>20000</v>
      </c>
      <c r="L55" s="134" t="inlineStr">
        <is>
          <t>22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n">
        <v>105</v>
      </c>
      <c r="U55" s="9" t="n"/>
    </row>
    <row r="56" ht="12" customFormat="1" customHeight="1" s="37">
      <c r="A56" s="75" t="inlineStr">
        <is>
          <t>지정면 원주기업도시호반베르디움(3-1블록)</t>
        </is>
      </c>
      <c r="B56" s="76" t="inlineStr">
        <is>
          <t>19.05.</t>
        </is>
      </c>
      <c r="C56" s="130" t="n">
        <v>892</v>
      </c>
      <c r="D56" s="131" t="n">
        <v>83.09999999999999</v>
      </c>
      <c r="E56" s="132" t="n">
        <v>25</v>
      </c>
      <c r="F56" s="131" t="n">
        <v>60</v>
      </c>
      <c r="G56" s="17" t="n">
        <v>18</v>
      </c>
      <c r="H56" s="133" t="n">
        <v>270</v>
      </c>
      <c r="I56" s="134" t="n">
        <v>26500</v>
      </c>
      <c r="J56" s="134" t="inlineStr">
        <is>
          <t>7</t>
        </is>
      </c>
      <c r="K56" s="134" t="n">
        <v>20000</v>
      </c>
      <c r="L56" s="134" t="inlineStr">
        <is>
          <t>고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126</v>
      </c>
      <c r="U56" s="9" t="n"/>
    </row>
    <row r="57" ht="12" customFormat="1" customHeight="1" s="37">
      <c r="A57" s="75" t="inlineStr">
        <is>
          <t>지정면 이지더원1차</t>
        </is>
      </c>
      <c r="B57" s="76" t="inlineStr">
        <is>
          <t>19.01.</t>
        </is>
      </c>
      <c r="C57" s="130" t="n">
        <v>1430</v>
      </c>
      <c r="D57" s="131" t="n">
        <v>79.59999999999999</v>
      </c>
      <c r="E57" s="132" t="n">
        <v>24</v>
      </c>
      <c r="F57" s="131" t="n">
        <v>59.9</v>
      </c>
      <c r="G57" s="17" t="n">
        <v>18</v>
      </c>
      <c r="H57" s="133" t="n">
        <v>470</v>
      </c>
      <c r="I57" s="134" t="n">
        <v>26000</v>
      </c>
      <c r="J57" s="134" t="inlineStr">
        <is>
          <t>고</t>
        </is>
      </c>
      <c r="K57" s="134" t="n">
        <v>19000</v>
      </c>
      <c r="L57" s="134" t="inlineStr">
        <is>
          <t>고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2</v>
      </c>
      <c r="R57" s="121" t="n">
        <v>1</v>
      </c>
      <c r="S57" s="121" t="inlineStr">
        <is>
          <t>복</t>
        </is>
      </c>
      <c r="T57" s="5" t="n">
        <v>61</v>
      </c>
      <c r="U57" s="9" t="n"/>
    </row>
    <row r="58" ht="12" customFormat="1" customHeight="1" s="37">
      <c r="A58" s="75" t="inlineStr">
        <is>
          <t>태장동 이안원주태장</t>
        </is>
      </c>
      <c r="B58" s="76" t="inlineStr">
        <is>
          <t>19.08.</t>
        </is>
      </c>
      <c r="C58" s="130" t="n">
        <v>920</v>
      </c>
      <c r="D58" s="131" t="n">
        <v>82.40000000000001</v>
      </c>
      <c r="E58" s="132" t="n">
        <v>25</v>
      </c>
      <c r="F58" s="131" t="n">
        <v>60</v>
      </c>
      <c r="G58" s="17" t="n">
        <v>18</v>
      </c>
      <c r="H58" s="133" t="n">
        <v>372</v>
      </c>
      <c r="I58" s="134" t="n">
        <v>21000</v>
      </c>
      <c r="J58" s="134" t="inlineStr">
        <is>
          <t>고</t>
        </is>
      </c>
      <c r="K58" s="134" t="n">
        <v>20000</v>
      </c>
      <c r="L58" s="134" t="inlineStr">
        <is>
          <t>17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5</v>
      </c>
      <c r="R58" s="121" t="n">
        <v>3</v>
      </c>
      <c r="S58" s="121" t="inlineStr">
        <is>
          <t>계</t>
        </is>
      </c>
      <c r="T58" s="5" t="inlineStr">
        <is>
          <t>204A</t>
        </is>
      </c>
      <c r="U58" s="9" t="n"/>
    </row>
    <row r="59" ht="12" customFormat="1" customHeight="1" s="37">
      <c r="A59" s="75" t="inlineStr">
        <is>
          <t>문막읍 서원주코아루아너스</t>
        </is>
      </c>
      <c r="B59" s="76" t="inlineStr">
        <is>
          <t>18.04.</t>
        </is>
      </c>
      <c r="C59" s="130" t="n">
        <v>842</v>
      </c>
      <c r="D59" s="131" t="n">
        <v>117.4</v>
      </c>
      <c r="E59" s="132" t="n">
        <v>35</v>
      </c>
      <c r="F59" s="131" t="n">
        <v>84.59999999999999</v>
      </c>
      <c r="G59" s="17" t="n">
        <v>26</v>
      </c>
      <c r="H59" s="133" t="n">
        <v>376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n">
        <v>103</v>
      </c>
      <c r="U59" s="9" t="n"/>
    </row>
    <row r="60" ht="12" customFormat="1" customHeight="1" s="37">
      <c r="A60" s="75" t="inlineStr">
        <is>
          <t>무실동 더샵원주센트럴파크1단지</t>
        </is>
      </c>
      <c r="B60" s="76" t="inlineStr">
        <is>
          <t>21.11.</t>
        </is>
      </c>
      <c r="C60" s="130" t="n">
        <v>936</v>
      </c>
      <c r="D60" s="131" t="n">
        <v>80</v>
      </c>
      <c r="E60" s="132" t="n">
        <v>24</v>
      </c>
      <c r="F60" s="131" t="n">
        <v>60</v>
      </c>
      <c r="G60" s="17" t="n">
        <v>18</v>
      </c>
      <c r="H60" s="133" t="n">
        <v>312</v>
      </c>
      <c r="I60" s="134" t="n"/>
      <c r="J60" s="134" t="n"/>
      <c r="K60" s="134" t="n">
        <v>26000</v>
      </c>
      <c r="L60" s="134" t="inlineStr">
        <is>
          <t>중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85B</t>
        </is>
      </c>
      <c r="U60" s="9" t="n"/>
    </row>
    <row r="61" ht="12" customFormat="1" customHeight="1" s="37">
      <c r="A61" s="75" t="inlineStr">
        <is>
          <t>단계동 원주봉화산벨라시티3차</t>
        </is>
      </c>
      <c r="B61" s="76" t="inlineStr">
        <is>
          <t>20.11.</t>
        </is>
      </c>
      <c r="C61" s="130" t="n">
        <v>499</v>
      </c>
      <c r="D61" s="131" t="n">
        <v>115.4</v>
      </c>
      <c r="E61" s="132" t="n">
        <v>35</v>
      </c>
      <c r="F61" s="131" t="n">
        <v>85</v>
      </c>
      <c r="G61" s="17" t="n">
        <v>26</v>
      </c>
      <c r="H61" s="133" t="n">
        <v>121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4</v>
      </c>
      <c r="R61" s="121" t="n">
        <v>2</v>
      </c>
      <c r="S61" s="121" t="inlineStr">
        <is>
          <t>계</t>
        </is>
      </c>
      <c r="T61" s="5" t="inlineStr">
        <is>
          <t>164C</t>
        </is>
      </c>
      <c r="U61" s="9" t="n"/>
    </row>
    <row r="62" ht="16.5" customFormat="1" customHeight="1" s="37">
      <c r="A62" s="74" t="n"/>
      <c r="B62" s="74" t="n"/>
      <c r="C62" s="74" t="n"/>
      <c r="D62" s="74" t="n"/>
      <c r="E62" s="74" t="n"/>
      <c r="F62" s="74" t="n"/>
      <c r="G62" s="74" t="n"/>
      <c r="H62" s="74" t="n"/>
      <c r="I62" s="74" t="n"/>
      <c r="J62" s="74" t="n"/>
      <c r="K62" s="74" t="n"/>
      <c r="L62" s="74" t="n"/>
      <c r="M62" s="74" t="n"/>
      <c r="N62" s="74" t="n"/>
      <c r="O62" s="74" t="n"/>
      <c r="P62" s="74" t="n"/>
      <c r="Q62" s="74" t="n"/>
      <c r="R62" s="74" t="n"/>
      <c r="S62" s="74" t="n"/>
      <c r="T62" s="74" t="n"/>
      <c r="U62" s="74" t="n"/>
      <c r="V62" s="74" t="n"/>
    </row>
    <row r="63" ht="16.5" customFormat="1" customHeight="1" s="37">
      <c r="A63" s="74" t="n"/>
      <c r="B63" s="74" t="n"/>
      <c r="C63" s="74" t="n"/>
      <c r="D63" s="74" t="n"/>
      <c r="E63" s="74" t="n"/>
      <c r="F63" s="74" t="n"/>
      <c r="G63" s="74" t="n"/>
      <c r="H63" s="74" t="n"/>
      <c r="I63" s="74" t="n"/>
      <c r="J63" s="74" t="n"/>
      <c r="K63" s="74" t="n"/>
      <c r="L63" s="74" t="n"/>
      <c r="M63" s="74" t="n"/>
      <c r="N63" s="74" t="n"/>
      <c r="O63" s="74" t="n"/>
      <c r="P63" s="74" t="n"/>
      <c r="Q63" s="74" t="n"/>
      <c r="R63" s="74" t="n"/>
      <c r="S63" s="74" t="n"/>
      <c r="T63" s="74" t="n"/>
      <c r="U63" s="74" t="n"/>
      <c r="V63" s="74" t="n"/>
    </row>
    <row r="64" ht="16.5" customFormat="1" customHeight="1" s="37">
      <c r="A64" s="74" t="n"/>
      <c r="B64" s="74" t="n"/>
      <c r="C64" s="74" t="n"/>
      <c r="D64" s="74" t="n"/>
      <c r="E64" s="74" t="n"/>
      <c r="F64" s="74" t="n"/>
      <c r="G64" s="74" t="n"/>
      <c r="H64" s="74" t="n"/>
      <c r="I64" s="74" t="n"/>
      <c r="J64" s="74" t="n"/>
      <c r="K64" s="74" t="n"/>
      <c r="L64" s="74" t="n"/>
      <c r="M64" s="74" t="n"/>
      <c r="N64" s="74" t="n"/>
      <c r="O64" s="74" t="n"/>
      <c r="P64" s="74" t="n"/>
      <c r="Q64" s="74" t="n"/>
      <c r="R64" s="74" t="n"/>
      <c r="S64" s="74" t="n"/>
      <c r="T64" s="74" t="n"/>
      <c r="U64" s="74" t="n"/>
      <c r="V64" s="74" t="n"/>
    </row>
    <row r="65" ht="16.5" customFormat="1" customHeight="1" s="37">
      <c r="A65" s="74" t="n"/>
      <c r="B65" s="74" t="n"/>
      <c r="C65" s="74" t="n"/>
      <c r="D65" s="74" t="n"/>
      <c r="E65" s="74" t="n"/>
      <c r="F65" s="74" t="n"/>
      <c r="G65" s="74" t="n"/>
      <c r="H65" s="74" t="n"/>
      <c r="I65" s="74" t="n"/>
      <c r="J65" s="74" t="n"/>
      <c r="K65" s="74" t="n"/>
      <c r="L65" s="74" t="n"/>
      <c r="M65" s="74" t="n"/>
      <c r="N65" s="74" t="n"/>
      <c r="O65" s="74" t="n"/>
      <c r="P65" s="74" t="n"/>
      <c r="Q65" s="74" t="n"/>
      <c r="R65" s="74" t="n"/>
      <c r="S65" s="74" t="n"/>
      <c r="T65" s="74" t="n"/>
      <c r="U65" s="74" t="n"/>
      <c r="V65" s="74" t="n"/>
    </row>
    <row r="66" ht="16.5" customFormat="1" customHeight="1" s="37">
      <c r="A66" s="74" t="n"/>
      <c r="B66" s="74" t="n"/>
      <c r="C66" s="74" t="n"/>
      <c r="D66" s="74" t="n"/>
      <c r="E66" s="74" t="n"/>
      <c r="F66" s="74" t="n"/>
      <c r="G66" s="74" t="n"/>
      <c r="H66" s="74" t="n"/>
      <c r="I66" s="74" t="n"/>
      <c r="J66" s="74" t="n"/>
      <c r="K66" s="74" t="n"/>
      <c r="L66" s="74" t="n"/>
      <c r="M66" s="74" t="n"/>
      <c r="N66" s="74" t="n"/>
      <c r="O66" s="74" t="n"/>
      <c r="P66" s="74" t="n"/>
      <c r="Q66" s="74" t="n"/>
      <c r="R66" s="74" t="n"/>
      <c r="S66" s="74" t="n"/>
      <c r="T66" s="74" t="n"/>
      <c r="U66" s="74" t="n"/>
      <c r="V66" s="74" t="n"/>
    </row>
    <row r="67" ht="16.5" customFormat="1" customHeight="1" s="37">
      <c r="A67" s="74" t="n"/>
      <c r="B67" s="74" t="n"/>
      <c r="C67" s="74" t="n"/>
      <c r="D67" s="74" t="n"/>
      <c r="E67" s="74" t="n"/>
      <c r="F67" s="74" t="n"/>
      <c r="G67" s="74" t="n"/>
      <c r="H67" s="74" t="n"/>
      <c r="I67" s="74" t="n"/>
      <c r="J67" s="74" t="n"/>
      <c r="K67" s="74" t="n"/>
      <c r="L67" s="74" t="n"/>
      <c r="M67" s="74" t="n"/>
      <c r="N67" s="74" t="n"/>
      <c r="O67" s="74" t="n"/>
      <c r="P67" s="74" t="n"/>
      <c r="Q67" s="74" t="n"/>
      <c r="R67" s="74" t="n"/>
      <c r="S67" s="74" t="n"/>
      <c r="T67" s="74" t="n"/>
      <c r="U67" s="74" t="n"/>
      <c r="V67" s="74" t="n"/>
    </row>
    <row r="68" ht="16.5" customFormat="1" customHeight="1" s="37">
      <c r="A68" s="74" t="n"/>
      <c r="B68" s="74" t="n"/>
      <c r="C68" s="74" t="n"/>
      <c r="D68" s="74" t="n"/>
      <c r="E68" s="74" t="n"/>
      <c r="F68" s="74" t="n"/>
      <c r="G68" s="74" t="n"/>
      <c r="H68" s="74" t="n"/>
      <c r="I68" s="74" t="n"/>
      <c r="J68" s="74" t="n"/>
      <c r="K68" s="74" t="n"/>
      <c r="L68" s="74" t="n"/>
      <c r="M68" s="74" t="n"/>
      <c r="N68" s="74" t="n"/>
      <c r="O68" s="74" t="n"/>
      <c r="P68" s="74" t="n"/>
      <c r="Q68" s="74" t="n"/>
      <c r="R68" s="74" t="n"/>
      <c r="S68" s="74" t="n"/>
      <c r="T68" s="74" t="n"/>
      <c r="U68" s="74" t="n"/>
      <c r="V68" s="74" t="n"/>
    </row>
    <row r="69" ht="16.5" customFormat="1" customHeight="1" s="37">
      <c r="A69" s="74" t="n"/>
      <c r="B69" s="74" t="n"/>
      <c r="C69" s="74" t="n"/>
      <c r="D69" s="74" t="n"/>
      <c r="E69" s="74" t="n"/>
      <c r="F69" s="74" t="n"/>
      <c r="G69" s="74" t="n"/>
      <c r="H69" s="74" t="n"/>
      <c r="I69" s="74" t="n"/>
      <c r="J69" s="74" t="n"/>
      <c r="K69" s="74" t="n"/>
      <c r="L69" s="74" t="n"/>
      <c r="M69" s="74" t="n"/>
      <c r="N69" s="74" t="n"/>
      <c r="O69" s="74" t="n"/>
      <c r="P69" s="74" t="n"/>
      <c r="Q69" s="74" t="n"/>
      <c r="R69" s="74" t="n"/>
      <c r="S69" s="74" t="n"/>
      <c r="T69" s="74" t="n"/>
      <c r="U69" s="74" t="n"/>
      <c r="V69" s="74" t="n"/>
    </row>
    <row r="70" ht="16.5" customFormat="1" customHeight="1" s="37">
      <c r="A70" s="74" t="n"/>
      <c r="B70" s="74" t="n"/>
      <c r="C70" s="74" t="n"/>
      <c r="D70" s="74" t="n"/>
      <c r="E70" s="74" t="n"/>
      <c r="F70" s="74" t="n"/>
      <c r="G70" s="74" t="n"/>
      <c r="H70" s="74" t="n"/>
      <c r="I70" s="74" t="n"/>
      <c r="J70" s="74" t="n"/>
      <c r="K70" s="74" t="n"/>
      <c r="L70" s="74" t="n"/>
      <c r="M70" s="74" t="n"/>
      <c r="N70" s="74" t="n"/>
      <c r="O70" s="74" t="n"/>
      <c r="P70" s="74" t="n"/>
      <c r="Q70" s="74" t="n"/>
      <c r="R70" s="74" t="n"/>
      <c r="S70" s="74" t="n"/>
      <c r="T70" s="74" t="n"/>
      <c r="U70" s="74" t="n"/>
      <c r="V70" s="74" t="n"/>
    </row>
    <row r="71" ht="16.5" customFormat="1" customHeight="1" s="37">
      <c r="A71" s="74" t="n"/>
      <c r="B71" s="74" t="n"/>
      <c r="C71" s="74" t="n"/>
      <c r="D71" s="74" t="n"/>
      <c r="E71" s="74" t="n"/>
      <c r="F71" s="74" t="n"/>
      <c r="G71" s="74" t="n"/>
      <c r="H71" s="74" t="n"/>
      <c r="I71" s="74" t="n"/>
      <c r="J71" s="74" t="n"/>
      <c r="K71" s="74" t="n"/>
      <c r="L71" s="74" t="n"/>
      <c r="M71" s="74" t="n"/>
      <c r="N71" s="74" t="n"/>
      <c r="O71" s="74" t="n"/>
      <c r="P71" s="74" t="n"/>
      <c r="Q71" s="74" t="n"/>
      <c r="R71" s="74" t="n"/>
      <c r="S71" s="74" t="n"/>
      <c r="T71" s="74" t="n"/>
      <c r="U71" s="74" t="n"/>
      <c r="V71" s="74" t="n"/>
    </row>
    <row r="72" ht="16.5" customFormat="1" customHeight="1" s="37">
      <c r="A72" s="74" t="n"/>
      <c r="B72" s="74" t="n"/>
      <c r="C72" s="74" t="n"/>
      <c r="D72" s="74" t="n"/>
      <c r="E72" s="74" t="n"/>
      <c r="F72" s="74" t="n"/>
      <c r="G72" s="74" t="n"/>
      <c r="H72" s="74" t="n"/>
      <c r="I72" s="74" t="n"/>
      <c r="J72" s="74" t="n"/>
      <c r="K72" s="74" t="n"/>
      <c r="L72" s="74" t="n"/>
      <c r="M72" s="74" t="n"/>
      <c r="N72" s="74" t="n"/>
      <c r="O72" s="74" t="n"/>
      <c r="P72" s="74" t="n"/>
      <c r="Q72" s="74" t="n"/>
      <c r="R72" s="74" t="n"/>
      <c r="S72" s="74" t="n"/>
      <c r="T72" s="74" t="n"/>
      <c r="U72" s="74" t="n"/>
      <c r="V72" s="74" t="n"/>
    </row>
    <row r="73" ht="16.5" customFormat="1" customHeight="1" s="37">
      <c r="A73" s="74" t="n"/>
      <c r="B73" s="74" t="n"/>
      <c r="C73" s="74" t="n"/>
      <c r="D73" s="74" t="n"/>
      <c r="E73" s="74" t="n"/>
      <c r="F73" s="74" t="n"/>
      <c r="G73" s="74" t="n"/>
      <c r="H73" s="74" t="n"/>
      <c r="I73" s="74" t="n"/>
      <c r="J73" s="74" t="n"/>
      <c r="K73" s="74" t="n"/>
      <c r="L73" s="74" t="n"/>
      <c r="M73" s="74" t="n"/>
      <c r="N73" s="74" t="n"/>
      <c r="O73" s="74" t="n"/>
      <c r="P73" s="74" t="n"/>
      <c r="Q73" s="74" t="n"/>
      <c r="R73" s="74" t="n"/>
      <c r="S73" s="74" t="n"/>
      <c r="T73" s="74" t="n"/>
      <c r="U73" s="74" t="n"/>
      <c r="V73" s="74" t="n"/>
    </row>
    <row r="74" ht="16.5" customFormat="1" customHeight="1" s="37">
      <c r="A74" s="74" t="n"/>
      <c r="B74" s="74" t="n"/>
      <c r="C74" s="74" t="n"/>
      <c r="D74" s="74" t="n"/>
      <c r="E74" s="74" t="n"/>
      <c r="F74" s="74" t="n"/>
      <c r="G74" s="74" t="n"/>
      <c r="H74" s="74" t="n"/>
      <c r="I74" s="74" t="n"/>
      <c r="J74" s="74" t="n"/>
      <c r="K74" s="74" t="n"/>
      <c r="L74" s="74" t="n"/>
      <c r="M74" s="74" t="n"/>
      <c r="N74" s="74" t="n"/>
      <c r="O74" s="74" t="n"/>
      <c r="P74" s="74" t="n"/>
      <c r="Q74" s="74" t="n"/>
      <c r="R74" s="74" t="n"/>
      <c r="S74" s="74" t="n"/>
      <c r="T74" s="74" t="n"/>
      <c r="U74" s="74" t="n"/>
      <c r="V74" s="74" t="n"/>
    </row>
    <row r="75" ht="16.5" customFormat="1" customHeight="1" s="37">
      <c r="A75" s="74" t="n"/>
      <c r="B75" s="74" t="n"/>
      <c r="C75" s="74" t="n"/>
      <c r="D75" s="74" t="n"/>
      <c r="E75" s="74" t="n"/>
      <c r="F75" s="74" t="n"/>
      <c r="G75" s="74" t="n"/>
      <c r="H75" s="74" t="n"/>
      <c r="I75" s="74" t="n"/>
      <c r="J75" s="74" t="n"/>
      <c r="K75" s="74" t="n"/>
      <c r="L75" s="74" t="n"/>
      <c r="M75" s="74" t="n"/>
      <c r="N75" s="74" t="n"/>
      <c r="O75" s="74" t="n"/>
      <c r="P75" s="74" t="n"/>
      <c r="Q75" s="74" t="n"/>
      <c r="R75" s="74" t="n"/>
      <c r="S75" s="74" t="n"/>
      <c r="T75" s="74" t="n"/>
      <c r="U75" s="74" t="n"/>
      <c r="V75" s="74" t="n"/>
    </row>
    <row r="76" ht="16.5" customFormat="1" customHeight="1" s="37">
      <c r="A76" s="74" t="n"/>
      <c r="B76" s="74" t="n"/>
      <c r="C76" s="74" t="n"/>
      <c r="D76" s="74" t="n"/>
      <c r="E76" s="74" t="n"/>
      <c r="F76" s="74" t="n"/>
      <c r="G76" s="74" t="n"/>
      <c r="H76" s="74" t="n"/>
      <c r="I76" s="74" t="n"/>
      <c r="J76" s="74" t="n"/>
      <c r="K76" s="74" t="n"/>
      <c r="L76" s="74" t="n"/>
      <c r="M76" s="74" t="n"/>
      <c r="N76" s="74" t="n"/>
      <c r="O76" s="74" t="n"/>
      <c r="P76" s="74" t="n"/>
      <c r="Q76" s="74" t="n"/>
      <c r="R76" s="74" t="n"/>
      <c r="S76" s="74" t="n"/>
      <c r="T76" s="74" t="n"/>
      <c r="U76" s="74" t="n"/>
      <c r="V76" s="74" t="n"/>
    </row>
    <row r="77" ht="16.5" customFormat="1" customHeight="1" s="37">
      <c r="A77" s="74" t="n"/>
      <c r="B77" s="74" t="n"/>
      <c r="C77" s="74" t="n"/>
      <c r="D77" s="74" t="n"/>
      <c r="E77" s="74" t="n"/>
      <c r="F77" s="74" t="n"/>
      <c r="G77" s="74" t="n"/>
      <c r="H77" s="74" t="n"/>
      <c r="I77" s="74" t="n"/>
      <c r="J77" s="74" t="n"/>
      <c r="K77" s="74" t="n"/>
      <c r="L77" s="74" t="n"/>
      <c r="M77" s="74" t="n"/>
      <c r="N77" s="74" t="n"/>
      <c r="O77" s="74" t="n"/>
      <c r="P77" s="74" t="n"/>
      <c r="Q77" s="74" t="n"/>
      <c r="R77" s="74" t="n"/>
      <c r="S77" s="74" t="n"/>
      <c r="T77" s="74" t="n"/>
      <c r="U77" s="74" t="n"/>
      <c r="V77" s="74" t="n"/>
    </row>
    <row r="78" ht="16.5" customFormat="1" customHeight="1" s="37">
      <c r="A78" s="74" t="n"/>
      <c r="B78" s="74" t="n"/>
      <c r="C78" s="74" t="n"/>
      <c r="D78" s="74" t="n"/>
      <c r="E78" s="74" t="n"/>
      <c r="F78" s="74" t="n"/>
      <c r="G78" s="74" t="n"/>
      <c r="H78" s="74" t="n"/>
      <c r="I78" s="74" t="n"/>
      <c r="J78" s="74" t="n"/>
      <c r="K78" s="74" t="n"/>
      <c r="L78" s="74" t="n"/>
      <c r="M78" s="74" t="n"/>
      <c r="N78" s="74" t="n"/>
      <c r="O78" s="74" t="n"/>
      <c r="P78" s="74" t="n"/>
      <c r="Q78" s="74" t="n"/>
      <c r="R78" s="74" t="n"/>
      <c r="S78" s="74" t="n"/>
      <c r="T78" s="74" t="n"/>
      <c r="U78" s="74" t="n"/>
      <c r="V78" s="74" t="n"/>
    </row>
    <row r="79" ht="16.5" customFormat="1" customHeight="1" s="37">
      <c r="A79" s="74" t="n"/>
      <c r="B79" s="74" t="n"/>
      <c r="C79" s="74" t="n"/>
      <c r="D79" s="74" t="n"/>
      <c r="E79" s="74" t="n"/>
      <c r="F79" s="74" t="n"/>
      <c r="G79" s="74" t="n"/>
      <c r="H79" s="74" t="n"/>
      <c r="I79" s="74" t="n"/>
      <c r="J79" s="74" t="n"/>
      <c r="K79" s="74" t="n"/>
      <c r="L79" s="74" t="n"/>
      <c r="M79" s="74" t="n"/>
      <c r="N79" s="74" t="n"/>
      <c r="O79" s="74" t="n"/>
      <c r="P79" s="74" t="n"/>
      <c r="Q79" s="74" t="n"/>
      <c r="R79" s="74" t="n"/>
      <c r="S79" s="74" t="n"/>
      <c r="T79" s="74" t="n"/>
      <c r="U79" s="74" t="n"/>
      <c r="V79" s="74" t="n"/>
    </row>
    <row r="80" ht="16.5" customFormat="1" customHeight="1" s="37">
      <c r="A80" s="74" t="n"/>
      <c r="B80" s="74" t="n"/>
      <c r="C80" s="74" t="n"/>
      <c r="D80" s="74" t="n"/>
      <c r="E80" s="74" t="n"/>
      <c r="F80" s="74" t="n"/>
      <c r="G80" s="74" t="n"/>
      <c r="H80" s="74" t="n"/>
      <c r="I80" s="74" t="n"/>
      <c r="J80" s="74" t="n"/>
      <c r="K80" s="74" t="n"/>
      <c r="L80" s="74" t="n"/>
      <c r="M80" s="74" t="n"/>
      <c r="N80" s="74" t="n"/>
      <c r="O80" s="74" t="n"/>
      <c r="P80" s="74" t="n"/>
      <c r="Q80" s="74" t="n"/>
      <c r="R80" s="74" t="n"/>
      <c r="S80" s="74" t="n"/>
      <c r="T80" s="74" t="n"/>
      <c r="U80" s="74" t="n"/>
      <c r="V80" s="74" t="n"/>
    </row>
    <row r="81" ht="16.5" customFormat="1" customHeight="1" s="37">
      <c r="A81" s="74" t="n"/>
      <c r="B81" s="74" t="n"/>
      <c r="C81" s="74" t="n"/>
      <c r="D81" s="74" t="n"/>
      <c r="E81" s="74" t="n"/>
      <c r="F81" s="74" t="n"/>
      <c r="G81" s="74" t="n"/>
      <c r="H81" s="74" t="n"/>
      <c r="I81" s="74" t="n"/>
      <c r="J81" s="74" t="n"/>
      <c r="K81" s="74" t="n"/>
      <c r="L81" s="74" t="n"/>
      <c r="M81" s="74" t="n"/>
      <c r="N81" s="74" t="n"/>
      <c r="O81" s="74" t="n"/>
      <c r="P81" s="74" t="n"/>
      <c r="Q81" s="74" t="n"/>
      <c r="R81" s="74" t="n"/>
      <c r="S81" s="74" t="n"/>
      <c r="T81" s="74" t="n"/>
      <c r="U81" s="74" t="n"/>
      <c r="V81" s="74" t="n"/>
    </row>
    <row r="82" ht="16.5" customFormat="1" customHeight="1" s="37">
      <c r="A82" s="74" t="n"/>
      <c r="B82" s="74" t="n"/>
      <c r="C82" s="74" t="n"/>
      <c r="D82" s="74" t="n"/>
      <c r="E82" s="74" t="n"/>
      <c r="F82" s="74" t="n"/>
      <c r="G82" s="74" t="n"/>
      <c r="H82" s="74" t="n"/>
      <c r="I82" s="74" t="n"/>
      <c r="J82" s="74" t="n"/>
      <c r="K82" s="74" t="n"/>
      <c r="L82" s="74" t="n"/>
      <c r="M82" s="74" t="n"/>
      <c r="N82" s="74" t="n"/>
      <c r="O82" s="74" t="n"/>
      <c r="P82" s="74" t="n"/>
      <c r="Q82" s="74" t="n"/>
      <c r="R82" s="74" t="n"/>
      <c r="S82" s="74" t="n"/>
      <c r="T82" s="74" t="n"/>
      <c r="U82" s="74" t="n"/>
      <c r="V82" s="74" t="n"/>
    </row>
    <row r="83" ht="16.5" customFormat="1" customHeight="1" s="37">
      <c r="A83" s="74" t="n"/>
      <c r="B83" s="74" t="n"/>
      <c r="C83" s="74" t="n"/>
      <c r="D83" s="74" t="n"/>
      <c r="E83" s="74" t="n"/>
      <c r="F83" s="74" t="n"/>
      <c r="G83" s="74" t="n"/>
      <c r="H83" s="74" t="n"/>
      <c r="I83" s="74" t="n"/>
      <c r="J83" s="74" t="n"/>
      <c r="K83" s="74" t="n"/>
      <c r="L83" s="74" t="n"/>
      <c r="M83" s="74" t="n"/>
      <c r="N83" s="74" t="n"/>
      <c r="O83" s="74" t="n"/>
      <c r="P83" s="74" t="n"/>
      <c r="Q83" s="74" t="n"/>
      <c r="R83" s="74" t="n"/>
      <c r="S83" s="74" t="n"/>
      <c r="T83" s="74" t="n"/>
      <c r="U83" s="74" t="n"/>
      <c r="V83" s="74" t="n"/>
    </row>
    <row r="84" ht="16.5" customFormat="1" customHeight="1" s="37">
      <c r="A84" s="74" t="n"/>
      <c r="B84" s="74" t="n"/>
      <c r="C84" s="74" t="n"/>
      <c r="D84" s="74" t="n"/>
      <c r="E84" s="74" t="n"/>
      <c r="F84" s="74" t="n"/>
      <c r="G84" s="74" t="n"/>
      <c r="H84" s="74" t="n"/>
      <c r="I84" s="74" t="n"/>
      <c r="J84" s="74" t="n"/>
      <c r="K84" s="74" t="n"/>
      <c r="L84" s="74" t="n"/>
      <c r="M84" s="74" t="n"/>
      <c r="N84" s="74" t="n"/>
      <c r="O84" s="74" t="n"/>
      <c r="P84" s="74" t="n"/>
      <c r="Q84" s="74" t="n"/>
      <c r="R84" s="74" t="n"/>
      <c r="S84" s="74" t="n"/>
      <c r="T84" s="74" t="n"/>
      <c r="U84" s="74" t="n"/>
      <c r="V84" s="74" t="n"/>
    </row>
    <row r="85" ht="16.5" customFormat="1" customHeight="1" s="37">
      <c r="A85" s="74" t="n"/>
      <c r="B85" s="74" t="n"/>
      <c r="C85" s="74" t="n"/>
      <c r="D85" s="74" t="n"/>
      <c r="E85" s="74" t="n"/>
      <c r="F85" s="74" t="n"/>
      <c r="G85" s="74" t="n"/>
      <c r="H85" s="74" t="n"/>
      <c r="I85" s="74" t="n"/>
      <c r="J85" s="74" t="n"/>
      <c r="K85" s="74" t="n"/>
      <c r="L85" s="74" t="n"/>
      <c r="M85" s="74" t="n"/>
      <c r="N85" s="74" t="n"/>
      <c r="O85" s="74" t="n"/>
      <c r="P85" s="74" t="n"/>
      <c r="Q85" s="74" t="n"/>
      <c r="R85" s="74" t="n"/>
      <c r="S85" s="74" t="n"/>
      <c r="T85" s="74" t="n"/>
      <c r="U85" s="74" t="n"/>
      <c r="V85" s="74" t="n"/>
    </row>
    <row r="86" ht="16.5" customFormat="1" customHeight="1" s="37">
      <c r="A86" s="74" t="n"/>
      <c r="B86" s="74" t="n"/>
      <c r="C86" s="74" t="n"/>
      <c r="D86" s="74" t="n"/>
      <c r="E86" s="74" t="n"/>
      <c r="F86" s="74" t="n"/>
      <c r="G86" s="74" t="n"/>
      <c r="H86" s="74" t="n"/>
      <c r="I86" s="74" t="n"/>
      <c r="J86" s="74" t="n"/>
      <c r="K86" s="74" t="n"/>
      <c r="L86" s="74" t="n"/>
      <c r="M86" s="74" t="n"/>
      <c r="N86" s="74" t="n"/>
      <c r="O86" s="74" t="n"/>
      <c r="P86" s="74" t="n"/>
      <c r="Q86" s="74" t="n"/>
      <c r="R86" s="74" t="n"/>
      <c r="S86" s="74" t="n"/>
      <c r="T86" s="74" t="n"/>
      <c r="U86" s="74" t="n"/>
      <c r="V86" s="74" t="n"/>
    </row>
    <row r="87" ht="16.5" customFormat="1" customHeight="1" s="37">
      <c r="A87" s="74" t="n"/>
      <c r="B87" s="74" t="n"/>
      <c r="C87" s="74" t="n"/>
      <c r="D87" s="74" t="n"/>
      <c r="E87" s="74" t="n"/>
      <c r="F87" s="74" t="n"/>
      <c r="G87" s="74" t="n"/>
      <c r="H87" s="74" t="n"/>
      <c r="I87" s="74" t="n"/>
      <c r="J87" s="74" t="n"/>
      <c r="K87" s="74" t="n"/>
      <c r="L87" s="74" t="n"/>
      <c r="M87" s="74" t="n"/>
      <c r="N87" s="74" t="n"/>
      <c r="O87" s="74" t="n"/>
      <c r="P87" s="74" t="n"/>
      <c r="Q87" s="74" t="n"/>
      <c r="R87" s="74" t="n"/>
      <c r="S87" s="74" t="n"/>
      <c r="T87" s="74" t="n"/>
      <c r="U87" s="74" t="n"/>
      <c r="V87" s="74" t="n"/>
    </row>
    <row r="88" ht="16.5" customFormat="1" customHeight="1" s="37">
      <c r="A88" s="74" t="n"/>
      <c r="B88" s="74" t="n"/>
      <c r="C88" s="74" t="n"/>
      <c r="D88" s="74" t="n"/>
      <c r="E88" s="74" t="n"/>
      <c r="F88" s="74" t="n"/>
      <c r="G88" s="74" t="n"/>
      <c r="H88" s="74" t="n"/>
      <c r="I88" s="74" t="n"/>
      <c r="J88" s="74" t="n"/>
      <c r="K88" s="74" t="n"/>
      <c r="L88" s="74" t="n"/>
      <c r="M88" s="74" t="n"/>
      <c r="N88" s="74" t="n"/>
      <c r="O88" s="74" t="n"/>
      <c r="P88" s="74" t="n"/>
      <c r="Q88" s="74" t="n"/>
      <c r="R88" s="74" t="n"/>
      <c r="S88" s="74" t="n"/>
      <c r="T88" s="74" t="n"/>
      <c r="U88" s="74" t="n"/>
      <c r="V88" s="74" t="n"/>
    </row>
    <row r="89" ht="16.5" customFormat="1" customHeight="1" s="37">
      <c r="A89" s="74" t="n"/>
      <c r="B89" s="74" t="n"/>
      <c r="C89" s="74" t="n"/>
      <c r="D89" s="74" t="n"/>
      <c r="E89" s="74" t="n"/>
      <c r="F89" s="74" t="n"/>
      <c r="G89" s="74" t="n"/>
      <c r="H89" s="74" t="n"/>
      <c r="I89" s="74" t="n"/>
      <c r="J89" s="74" t="n"/>
      <c r="K89" s="74" t="n"/>
      <c r="L89" s="74" t="n"/>
      <c r="M89" s="74" t="n"/>
      <c r="N89" s="74" t="n"/>
      <c r="O89" s="74" t="n"/>
      <c r="P89" s="74" t="n"/>
      <c r="Q89" s="74" t="n"/>
      <c r="R89" s="74" t="n"/>
      <c r="S89" s="74" t="n"/>
      <c r="T89" s="74" t="n"/>
      <c r="U89" s="74" t="n"/>
      <c r="V89" s="74" t="n"/>
    </row>
    <row r="90" ht="16.5" customFormat="1" customHeight="1" s="37">
      <c r="A90" s="74" t="n"/>
      <c r="B90" s="74" t="n"/>
      <c r="C90" s="74" t="n"/>
      <c r="D90" s="74" t="n"/>
      <c r="E90" s="74" t="n"/>
      <c r="F90" s="74" t="n"/>
      <c r="G90" s="74" t="n"/>
      <c r="H90" s="74" t="n"/>
      <c r="I90" s="74" t="n"/>
      <c r="J90" s="74" t="n"/>
      <c r="K90" s="74" t="n"/>
      <c r="L90" s="74" t="n"/>
      <c r="M90" s="74" t="n"/>
      <c r="N90" s="74" t="n"/>
      <c r="O90" s="74" t="n"/>
      <c r="P90" s="74" t="n"/>
      <c r="Q90" s="74" t="n"/>
      <c r="R90" s="74" t="n"/>
      <c r="S90" s="74" t="n"/>
      <c r="T90" s="74" t="n"/>
      <c r="U90" s="74" t="n"/>
      <c r="V90" s="74" t="n"/>
    </row>
    <row r="91" ht="16.5" customFormat="1" customHeight="1" s="37">
      <c r="A91" s="74" t="n"/>
      <c r="B91" s="74" t="n"/>
      <c r="C91" s="74" t="n"/>
      <c r="D91" s="74" t="n"/>
      <c r="E91" s="74" t="n"/>
      <c r="F91" s="74" t="n"/>
      <c r="G91" s="74" t="n"/>
      <c r="H91" s="74" t="n"/>
      <c r="I91" s="74" t="n"/>
      <c r="J91" s="74" t="n"/>
      <c r="K91" s="74" t="n"/>
      <c r="L91" s="74" t="n"/>
      <c r="M91" s="74" t="n"/>
      <c r="N91" s="74" t="n"/>
      <c r="O91" s="74" t="n"/>
      <c r="P91" s="74" t="n"/>
      <c r="Q91" s="74" t="n"/>
      <c r="R91" s="74" t="n"/>
      <c r="S91" s="74" t="n"/>
      <c r="T91" s="74" t="n"/>
      <c r="U91" s="74" t="n"/>
      <c r="V91" s="74" t="n"/>
    </row>
    <row r="92" ht="16.5" customFormat="1" customHeight="1" s="37">
      <c r="A92" s="74" t="n"/>
      <c r="B92" s="74" t="n"/>
      <c r="C92" s="74" t="n"/>
      <c r="D92" s="74" t="n"/>
      <c r="E92" s="74" t="n"/>
      <c r="F92" s="74" t="n"/>
      <c r="G92" s="74" t="n"/>
      <c r="H92" s="74" t="n"/>
      <c r="I92" s="74" t="n"/>
      <c r="J92" s="74" t="n"/>
      <c r="K92" s="74" t="n"/>
      <c r="L92" s="74" t="n"/>
      <c r="M92" s="74" t="n"/>
      <c r="N92" s="74" t="n"/>
      <c r="O92" s="74" t="n"/>
      <c r="P92" s="74" t="n"/>
      <c r="Q92" s="74" t="n"/>
      <c r="R92" s="74" t="n"/>
      <c r="S92" s="74" t="n"/>
      <c r="T92" s="74" t="n"/>
      <c r="U92" s="74" t="n"/>
      <c r="V92" s="74" t="n"/>
    </row>
    <row r="93" ht="16.5" customFormat="1" customHeight="1" s="37">
      <c r="A93" s="74" t="n"/>
      <c r="B93" s="74" t="n"/>
      <c r="C93" s="74" t="n"/>
      <c r="D93" s="74" t="n"/>
      <c r="E93" s="74" t="n"/>
      <c r="F93" s="74" t="n"/>
      <c r="G93" s="74" t="n"/>
      <c r="H93" s="74" t="n"/>
      <c r="I93" s="74" t="n"/>
      <c r="J93" s="74" t="n"/>
      <c r="K93" s="74" t="n"/>
      <c r="L93" s="74" t="n"/>
      <c r="M93" s="74" t="n"/>
      <c r="N93" s="74" t="n"/>
      <c r="O93" s="74" t="n"/>
      <c r="P93" s="74" t="n"/>
      <c r="Q93" s="74" t="n"/>
      <c r="R93" s="74" t="n"/>
      <c r="S93" s="74" t="n"/>
      <c r="T93" s="74" t="n"/>
      <c r="U93" s="74" t="n"/>
      <c r="V93" s="74" t="n"/>
    </row>
    <row r="94" ht="16.5" customFormat="1" customHeight="1" s="37">
      <c r="A94" s="74" t="n"/>
      <c r="B94" s="74" t="n"/>
      <c r="C94" s="74" t="n"/>
      <c r="D94" s="74" t="n"/>
      <c r="E94" s="74" t="n"/>
      <c r="F94" s="74" t="n"/>
      <c r="G94" s="74" t="n"/>
      <c r="H94" s="74" t="n"/>
      <c r="I94" s="74" t="n"/>
      <c r="J94" s="74" t="n"/>
      <c r="K94" s="74" t="n"/>
      <c r="L94" s="74" t="n"/>
      <c r="M94" s="74" t="n"/>
      <c r="N94" s="74" t="n"/>
      <c r="O94" s="74" t="n"/>
      <c r="P94" s="74" t="n"/>
      <c r="Q94" s="74" t="n"/>
      <c r="R94" s="74" t="n"/>
      <c r="S94" s="74" t="n"/>
      <c r="T94" s="74" t="n"/>
      <c r="U94" s="74" t="n"/>
      <c r="V94" s="74" t="n"/>
    </row>
    <row r="95" ht="16.5" customFormat="1" customHeight="1" s="37">
      <c r="A95" s="74" t="n"/>
      <c r="B95" s="74" t="n"/>
      <c r="C95" s="74" t="n"/>
      <c r="D95" s="74" t="n"/>
      <c r="E95" s="74" t="n"/>
      <c r="F95" s="74" t="n"/>
      <c r="G95" s="74" t="n"/>
      <c r="H95" s="74" t="n"/>
      <c r="I95" s="74" t="n"/>
      <c r="J95" s="74" t="n"/>
      <c r="K95" s="74" t="n"/>
      <c r="L95" s="74" t="n"/>
      <c r="M95" s="74" t="n"/>
      <c r="N95" s="74" t="n"/>
      <c r="O95" s="74" t="n"/>
      <c r="P95" s="74" t="n"/>
      <c r="Q95" s="74" t="n"/>
      <c r="R95" s="74" t="n"/>
      <c r="S95" s="74" t="n"/>
      <c r="T95" s="74" t="n"/>
      <c r="U95" s="74" t="n"/>
      <c r="V95" s="74" t="n"/>
    </row>
    <row r="96" ht="16.5" customFormat="1" customHeight="1" s="37">
      <c r="A96" s="74" t="n"/>
      <c r="B96" s="74" t="n"/>
      <c r="C96" s="74" t="n"/>
      <c r="D96" s="74" t="n"/>
      <c r="E96" s="74" t="n"/>
      <c r="F96" s="74" t="n"/>
      <c r="G96" s="74" t="n"/>
      <c r="H96" s="74" t="n"/>
      <c r="I96" s="74" t="n"/>
      <c r="J96" s="74" t="n"/>
      <c r="K96" s="74" t="n"/>
      <c r="L96" s="74" t="n"/>
      <c r="M96" s="74" t="n"/>
      <c r="N96" s="74" t="n"/>
      <c r="O96" s="74" t="n"/>
      <c r="P96" s="74" t="n"/>
      <c r="Q96" s="74" t="n"/>
      <c r="R96" s="74" t="n"/>
      <c r="S96" s="74" t="n"/>
      <c r="T96" s="74" t="n"/>
      <c r="U96" s="74" t="n"/>
      <c r="V96" s="74" t="n"/>
    </row>
    <row r="97" ht="16.5" customFormat="1" customHeight="1" s="37">
      <c r="A97" s="74" t="n"/>
      <c r="B97" s="74" t="n"/>
      <c r="C97" s="74" t="n"/>
      <c r="D97" s="74" t="n"/>
      <c r="E97" s="74" t="n"/>
      <c r="F97" s="74" t="n"/>
      <c r="G97" s="74" t="n"/>
      <c r="H97" s="74" t="n"/>
      <c r="I97" s="74" t="n"/>
      <c r="J97" s="74" t="n"/>
      <c r="K97" s="74" t="n"/>
      <c r="L97" s="74" t="n"/>
      <c r="M97" s="74" t="n"/>
      <c r="N97" s="74" t="n"/>
      <c r="O97" s="74" t="n"/>
      <c r="P97" s="74" t="n"/>
      <c r="Q97" s="74" t="n"/>
      <c r="R97" s="74" t="n"/>
      <c r="S97" s="74" t="n"/>
      <c r="T97" s="74" t="n"/>
      <c r="U97" s="74" t="n"/>
      <c r="V97" s="74" t="n"/>
    </row>
    <row r="98" ht="16.5" customFormat="1" customHeight="1" s="37">
      <c r="A98" s="74" t="n"/>
      <c r="B98" s="74" t="n"/>
      <c r="C98" s="74" t="n"/>
      <c r="D98" s="74" t="n"/>
      <c r="E98" s="74" t="n"/>
      <c r="F98" s="74" t="n"/>
      <c r="G98" s="74" t="n"/>
      <c r="H98" s="74" t="n"/>
      <c r="I98" s="74" t="n"/>
      <c r="J98" s="74" t="n"/>
      <c r="K98" s="74" t="n"/>
      <c r="L98" s="74" t="n"/>
      <c r="M98" s="74" t="n"/>
      <c r="N98" s="74" t="n"/>
      <c r="O98" s="74" t="n"/>
      <c r="P98" s="74" t="n"/>
      <c r="Q98" s="74" t="n"/>
      <c r="R98" s="74" t="n"/>
      <c r="S98" s="74" t="n"/>
      <c r="T98" s="74" t="n"/>
      <c r="U98" s="74" t="n"/>
      <c r="V98" s="74" t="n"/>
    </row>
    <row r="99" ht="16.5" customFormat="1" customHeight="1" s="37">
      <c r="A99" s="74" t="n"/>
      <c r="B99" s="74" t="n"/>
      <c r="C99" s="74" t="n"/>
      <c r="D99" s="74" t="n"/>
      <c r="E99" s="74" t="n"/>
      <c r="F99" s="74" t="n"/>
      <c r="G99" s="74" t="n"/>
      <c r="H99" s="74" t="n"/>
      <c r="I99" s="74" t="n"/>
      <c r="J99" s="74" t="n"/>
      <c r="K99" s="74" t="n"/>
      <c r="L99" s="74" t="n"/>
      <c r="M99" s="74" t="n"/>
      <c r="N99" s="74" t="n"/>
      <c r="O99" s="74" t="n"/>
      <c r="P99" s="74" t="n"/>
      <c r="Q99" s="74" t="n"/>
      <c r="R99" s="74" t="n"/>
      <c r="S99" s="74" t="n"/>
      <c r="T99" s="74" t="n"/>
      <c r="U99" s="74" t="n"/>
      <c r="V99" s="74" t="n"/>
    </row>
    <row r="100" ht="16.5" customFormat="1" customHeight="1" s="37">
      <c r="A100" s="74" t="n"/>
      <c r="B100" s="74" t="n"/>
      <c r="C100" s="74" t="n"/>
      <c r="D100" s="74" t="n"/>
      <c r="E100" s="74" t="n"/>
      <c r="F100" s="74" t="n"/>
      <c r="G100" s="74" t="n"/>
      <c r="H100" s="74" t="n"/>
      <c r="I100" s="74" t="n"/>
      <c r="J100" s="74" t="n"/>
      <c r="K100" s="74" t="n"/>
      <c r="L100" s="74" t="n"/>
      <c r="M100" s="74" t="n"/>
      <c r="N100" s="74" t="n"/>
      <c r="O100" s="74" t="n"/>
      <c r="P100" s="74" t="n"/>
      <c r="Q100" s="74" t="n"/>
      <c r="R100" s="74" t="n"/>
      <c r="S100" s="74" t="n"/>
      <c r="T100" s="74" t="n"/>
      <c r="U100" s="74" t="n"/>
      <c r="V100" s="74" t="n"/>
    </row>
    <row r="101" ht="16.5" customFormat="1" customHeight="1" s="37">
      <c r="A101" s="74" t="n"/>
      <c r="B101" s="74" t="n"/>
      <c r="C101" s="74" t="n"/>
      <c r="D101" s="74" t="n"/>
      <c r="E101" s="74" t="n"/>
      <c r="F101" s="74" t="n"/>
      <c r="G101" s="74" t="n"/>
      <c r="H101" s="74" t="n"/>
      <c r="I101" s="74" t="n"/>
      <c r="J101" s="74" t="n"/>
      <c r="K101" s="74" t="n"/>
      <c r="L101" s="74" t="n"/>
      <c r="M101" s="74" t="n"/>
      <c r="N101" s="74" t="n"/>
      <c r="O101" s="74" t="n"/>
      <c r="P101" s="74" t="n"/>
      <c r="Q101" s="74" t="n"/>
      <c r="R101" s="74" t="n"/>
      <c r="S101" s="74" t="n"/>
      <c r="T101" s="74" t="n"/>
      <c r="U101" s="74" t="n"/>
      <c r="V101" s="74" t="n"/>
    </row>
    <row r="102" ht="16.5" customFormat="1" customHeight="1" s="37">
      <c r="A102" s="74" t="n"/>
      <c r="B102" s="74" t="n"/>
      <c r="C102" s="74" t="n"/>
      <c r="D102" s="74" t="n"/>
      <c r="E102" s="74" t="n"/>
      <c r="F102" s="74" t="n"/>
      <c r="G102" s="74" t="n"/>
      <c r="H102" s="74" t="n"/>
      <c r="I102" s="74" t="n"/>
      <c r="J102" s="74" t="n"/>
      <c r="K102" s="74" t="n"/>
      <c r="L102" s="74" t="n"/>
      <c r="M102" s="74" t="n"/>
      <c r="N102" s="74" t="n"/>
      <c r="O102" s="74" t="n"/>
      <c r="P102" s="74" t="n"/>
      <c r="Q102" s="74" t="n"/>
      <c r="R102" s="74" t="n"/>
      <c r="S102" s="74" t="n"/>
      <c r="T102" s="74" t="n"/>
      <c r="U102" s="74" t="n"/>
      <c r="V102" s="74" t="n"/>
    </row>
    <row r="103" ht="16.5" customFormat="1" customHeight="1" s="37">
      <c r="A103" s="74" t="n"/>
      <c r="B103" s="74" t="n"/>
      <c r="C103" s="74" t="n"/>
      <c r="D103" s="74" t="n"/>
      <c r="E103" s="74" t="n"/>
      <c r="F103" s="74" t="n"/>
      <c r="G103" s="74" t="n"/>
      <c r="H103" s="74" t="n"/>
      <c r="I103" s="74" t="n"/>
      <c r="J103" s="74" t="n"/>
      <c r="K103" s="74" t="n"/>
      <c r="L103" s="74" t="n"/>
      <c r="M103" s="74" t="n"/>
      <c r="N103" s="74" t="n"/>
      <c r="O103" s="74" t="n"/>
      <c r="P103" s="74" t="n"/>
      <c r="Q103" s="74" t="n"/>
      <c r="R103" s="74" t="n"/>
      <c r="S103" s="74" t="n"/>
      <c r="T103" s="74" t="n"/>
      <c r="U103" s="74" t="n"/>
      <c r="V103" s="74" t="n"/>
    </row>
    <row r="104" ht="16.5" customFormat="1" customHeight="1" s="37">
      <c r="A104" s="74" t="n"/>
      <c r="B104" s="74" t="n"/>
      <c r="C104" s="74" t="n"/>
      <c r="D104" s="74" t="n"/>
      <c r="E104" s="74" t="n"/>
      <c r="F104" s="74" t="n"/>
      <c r="G104" s="74" t="n"/>
      <c r="H104" s="74" t="n"/>
      <c r="I104" s="74" t="n"/>
      <c r="J104" s="74" t="n"/>
      <c r="K104" s="74" t="n"/>
      <c r="L104" s="74" t="n"/>
      <c r="M104" s="74" t="n"/>
      <c r="N104" s="74" t="n"/>
      <c r="O104" s="74" t="n"/>
      <c r="P104" s="74" t="n"/>
      <c r="Q104" s="74" t="n"/>
      <c r="R104" s="74" t="n"/>
      <c r="S104" s="74" t="n"/>
      <c r="T104" s="74" t="n"/>
      <c r="U104" s="74" t="n"/>
      <c r="V104" s="74" t="n"/>
    </row>
    <row r="105" ht="16.5" customFormat="1" customHeight="1" s="37">
      <c r="A105" s="74" t="n"/>
      <c r="B105" s="74" t="n"/>
      <c r="C105" s="74" t="n"/>
      <c r="D105" s="74" t="n"/>
      <c r="E105" s="74" t="n"/>
      <c r="F105" s="74" t="n"/>
      <c r="G105" s="74" t="n"/>
      <c r="H105" s="74" t="n"/>
      <c r="I105" s="74" t="n"/>
      <c r="J105" s="74" t="n"/>
      <c r="K105" s="74" t="n"/>
      <c r="L105" s="74" t="n"/>
      <c r="M105" s="74" t="n"/>
      <c r="N105" s="74" t="n"/>
      <c r="O105" s="74" t="n"/>
      <c r="P105" s="74" t="n"/>
      <c r="Q105" s="74" t="n"/>
      <c r="R105" s="74" t="n"/>
      <c r="S105" s="74" t="n"/>
      <c r="T105" s="74" t="n"/>
      <c r="U105" s="74" t="n"/>
      <c r="V105" s="74" t="n"/>
    </row>
    <row r="106" ht="16.5" customFormat="1" customHeight="1" s="37">
      <c r="A106" s="74" t="n"/>
      <c r="B106" s="74" t="n"/>
      <c r="C106" s="74" t="n"/>
      <c r="D106" s="74" t="n"/>
      <c r="E106" s="74" t="n"/>
      <c r="F106" s="74" t="n"/>
      <c r="G106" s="74" t="n"/>
      <c r="H106" s="74" t="n"/>
      <c r="I106" s="74" t="n"/>
      <c r="J106" s="74" t="n"/>
      <c r="K106" s="74" t="n"/>
      <c r="L106" s="74" t="n"/>
      <c r="M106" s="74" t="n"/>
      <c r="N106" s="74" t="n"/>
      <c r="O106" s="74" t="n"/>
      <c r="P106" s="74" t="n"/>
      <c r="Q106" s="74" t="n"/>
      <c r="R106" s="74" t="n"/>
      <c r="S106" s="74" t="n"/>
      <c r="T106" s="74" t="n"/>
      <c r="U106" s="74" t="n"/>
      <c r="V106" s="74" t="n"/>
    </row>
    <row r="107" ht="16.5" customFormat="1" customHeight="1" s="37">
      <c r="A107" s="74" t="n"/>
      <c r="B107" s="74" t="n"/>
      <c r="C107" s="74" t="n"/>
      <c r="D107" s="74" t="n"/>
      <c r="E107" s="74" t="n"/>
      <c r="F107" s="74" t="n"/>
      <c r="G107" s="74" t="n"/>
      <c r="H107" s="74" t="n"/>
      <c r="I107" s="74" t="n"/>
      <c r="J107" s="74" t="n"/>
      <c r="K107" s="74" t="n"/>
      <c r="L107" s="74" t="n"/>
      <c r="M107" s="74" t="n"/>
      <c r="N107" s="74" t="n"/>
      <c r="O107" s="74" t="n"/>
      <c r="P107" s="74" t="n"/>
      <c r="Q107" s="74" t="n"/>
      <c r="R107" s="74" t="n"/>
      <c r="S107" s="74" t="n"/>
      <c r="T107" s="74" t="n"/>
      <c r="U107" s="74" t="n"/>
      <c r="V107" s="74" t="n"/>
    </row>
    <row r="108" ht="16.5" customFormat="1" customHeight="1" s="37">
      <c r="A108" s="74" t="n"/>
      <c r="B108" s="74" t="n"/>
      <c r="C108" s="74" t="n"/>
      <c r="D108" s="74" t="n"/>
      <c r="E108" s="74" t="n"/>
      <c r="F108" s="74" t="n"/>
      <c r="G108" s="74" t="n"/>
      <c r="H108" s="74" t="n"/>
      <c r="I108" s="74" t="n"/>
      <c r="J108" s="74" t="n"/>
      <c r="K108" s="74" t="n"/>
      <c r="L108" s="74" t="n"/>
      <c r="M108" s="74" t="n"/>
      <c r="N108" s="74" t="n"/>
      <c r="O108" s="74" t="n"/>
      <c r="P108" s="74" t="n"/>
      <c r="Q108" s="74" t="n"/>
      <c r="R108" s="74" t="n"/>
      <c r="S108" s="74" t="n"/>
      <c r="T108" s="74" t="n"/>
      <c r="U108" s="74" t="n"/>
      <c r="V108" s="74" t="n"/>
    </row>
    <row r="109" ht="16.5" customFormat="1" customHeight="1" s="37">
      <c r="A109" s="74" t="n"/>
      <c r="B109" s="74" t="n"/>
      <c r="C109" s="74" t="n"/>
      <c r="D109" s="74" t="n"/>
      <c r="E109" s="74" t="n"/>
      <c r="F109" s="74" t="n"/>
      <c r="G109" s="74" t="n"/>
      <c r="H109" s="74" t="n"/>
      <c r="I109" s="74" t="n"/>
      <c r="J109" s="74" t="n"/>
      <c r="K109" s="74" t="n"/>
      <c r="L109" s="74" t="n"/>
      <c r="M109" s="74" t="n"/>
      <c r="N109" s="74" t="n"/>
      <c r="O109" s="74" t="n"/>
      <c r="P109" s="74" t="n"/>
      <c r="Q109" s="74" t="n"/>
      <c r="R109" s="74" t="n"/>
      <c r="S109" s="74" t="n"/>
      <c r="T109" s="74" t="n"/>
      <c r="U109" s="74" t="n"/>
      <c r="V109" s="74" t="n"/>
    </row>
    <row r="110" ht="16.5" customFormat="1" customHeight="1" s="37">
      <c r="A110" s="74" t="n"/>
      <c r="B110" s="74" t="n"/>
      <c r="C110" s="74" t="n"/>
      <c r="D110" s="74" t="n"/>
      <c r="E110" s="74" t="n"/>
      <c r="F110" s="74" t="n"/>
      <c r="G110" s="74" t="n"/>
      <c r="H110" s="74" t="n"/>
      <c r="I110" s="74" t="n"/>
      <c r="J110" s="74" t="n"/>
      <c r="K110" s="74" t="n"/>
      <c r="L110" s="74" t="n"/>
      <c r="M110" s="74" t="n"/>
      <c r="N110" s="74" t="n"/>
      <c r="O110" s="74" t="n"/>
      <c r="P110" s="74" t="n"/>
      <c r="Q110" s="74" t="n"/>
      <c r="R110" s="74" t="n"/>
      <c r="S110" s="74" t="n"/>
      <c r="T110" s="74" t="n"/>
      <c r="U110" s="74" t="n"/>
      <c r="V110" s="74" t="n"/>
    </row>
    <row r="111" ht="16.5" customFormat="1" customHeight="1" s="37">
      <c r="A111" s="74" t="n"/>
      <c r="B111" s="74" t="n"/>
      <c r="C111" s="74" t="n"/>
      <c r="D111" s="74" t="n"/>
      <c r="E111" s="74" t="n"/>
      <c r="F111" s="74" t="n"/>
      <c r="G111" s="74" t="n"/>
      <c r="H111" s="74" t="n"/>
      <c r="I111" s="74" t="n"/>
      <c r="J111" s="74" t="n"/>
      <c r="K111" s="74" t="n"/>
      <c r="L111" s="74" t="n"/>
      <c r="M111" s="74" t="n"/>
      <c r="N111" s="74" t="n"/>
      <c r="O111" s="74" t="n"/>
      <c r="P111" s="74" t="n"/>
      <c r="Q111" s="74" t="n"/>
      <c r="R111" s="74" t="n"/>
      <c r="S111" s="74" t="n"/>
      <c r="T111" s="74" t="n"/>
      <c r="U111" s="74" t="n"/>
      <c r="V111" s="74" t="n"/>
    </row>
    <row r="112" ht="16.5" customFormat="1" customHeight="1" s="37">
      <c r="A112" s="74" t="n"/>
      <c r="B112" s="74" t="n"/>
      <c r="C112" s="74" t="n"/>
      <c r="D112" s="74" t="n"/>
      <c r="E112" s="74" t="n"/>
      <c r="F112" s="74" t="n"/>
      <c r="G112" s="74" t="n"/>
      <c r="H112" s="74" t="n"/>
      <c r="I112" s="74" t="n"/>
      <c r="J112" s="74" t="n"/>
      <c r="K112" s="74" t="n"/>
      <c r="L112" s="74" t="n"/>
      <c r="M112" s="74" t="n"/>
      <c r="N112" s="74" t="n"/>
      <c r="O112" s="74" t="n"/>
      <c r="P112" s="74" t="n"/>
      <c r="Q112" s="74" t="n"/>
      <c r="R112" s="74" t="n"/>
      <c r="S112" s="74" t="n"/>
      <c r="T112" s="74" t="n"/>
      <c r="U112" s="74" t="n"/>
      <c r="V112" s="74" t="n"/>
    </row>
    <row r="113" ht="16.5" customFormat="1" customHeight="1" s="37">
      <c r="A113" s="74" t="n"/>
      <c r="B113" s="74" t="n"/>
      <c r="C113" s="74" t="n"/>
      <c r="D113" s="74" t="n"/>
      <c r="E113" s="74" t="n"/>
      <c r="F113" s="74" t="n"/>
      <c r="G113" s="74" t="n"/>
      <c r="H113" s="74" t="n"/>
      <c r="I113" s="74" t="n"/>
      <c r="J113" s="74" t="n"/>
      <c r="K113" s="74" t="n"/>
      <c r="L113" s="74" t="n"/>
      <c r="M113" s="74" t="n"/>
      <c r="N113" s="74" t="n"/>
      <c r="O113" s="74" t="n"/>
      <c r="P113" s="74" t="n"/>
      <c r="Q113" s="74" t="n"/>
      <c r="R113" s="74" t="n"/>
      <c r="S113" s="74" t="n"/>
      <c r="T113" s="74" t="n"/>
      <c r="U113" s="74" t="n"/>
      <c r="V113" s="74" t="n"/>
    </row>
    <row r="114" ht="16.5" customFormat="1" customHeight="1" s="37">
      <c r="A114" s="74" t="n"/>
      <c r="B114" s="74" t="n"/>
      <c r="C114" s="74" t="n"/>
      <c r="D114" s="74" t="n"/>
      <c r="E114" s="74" t="n"/>
      <c r="F114" s="74" t="n"/>
      <c r="G114" s="74" t="n"/>
      <c r="H114" s="74" t="n"/>
      <c r="I114" s="74" t="n"/>
      <c r="J114" s="74" t="n"/>
      <c r="K114" s="74" t="n"/>
      <c r="L114" s="74" t="n"/>
      <c r="M114" s="74" t="n"/>
      <c r="N114" s="74" t="n"/>
      <c r="O114" s="74" t="n"/>
      <c r="P114" s="74" t="n"/>
      <c r="Q114" s="74" t="n"/>
      <c r="R114" s="74" t="n"/>
      <c r="S114" s="74" t="n"/>
      <c r="T114" s="74" t="n"/>
      <c r="U114" s="74" t="n"/>
      <c r="V114" s="74" t="n"/>
    </row>
    <row r="115" ht="16.5" customFormat="1" customHeight="1" s="37">
      <c r="A115" s="74" t="n"/>
      <c r="B115" s="74" t="n"/>
      <c r="C115" s="74" t="n"/>
      <c r="D115" s="74" t="n"/>
      <c r="E115" s="74" t="n"/>
      <c r="F115" s="74" t="n"/>
      <c r="G115" s="74" t="n"/>
      <c r="H115" s="74" t="n"/>
      <c r="I115" s="74" t="n"/>
      <c r="J115" s="74" t="n"/>
      <c r="K115" s="74" t="n"/>
      <c r="L115" s="74" t="n"/>
      <c r="M115" s="74" t="n"/>
      <c r="N115" s="74" t="n"/>
      <c r="O115" s="74" t="n"/>
      <c r="P115" s="74" t="n"/>
      <c r="Q115" s="74" t="n"/>
      <c r="R115" s="74" t="n"/>
      <c r="S115" s="74" t="n"/>
      <c r="T115" s="74" t="n"/>
      <c r="U115" s="74" t="n"/>
      <c r="V115" s="74" t="n"/>
    </row>
    <row r="116" ht="16.5" customFormat="1" customHeight="1" s="37">
      <c r="A116" s="74" t="n"/>
      <c r="B116" s="74" t="n"/>
      <c r="C116" s="74" t="n"/>
      <c r="D116" s="74" t="n"/>
      <c r="E116" s="74" t="n"/>
      <c r="F116" s="74" t="n"/>
      <c r="G116" s="74" t="n"/>
      <c r="H116" s="74" t="n"/>
      <c r="I116" s="74" t="n"/>
      <c r="J116" s="74" t="n"/>
      <c r="K116" s="74" t="n"/>
      <c r="L116" s="74" t="n"/>
      <c r="M116" s="74" t="n"/>
      <c r="N116" s="74" t="n"/>
      <c r="O116" s="74" t="n"/>
      <c r="P116" s="74" t="n"/>
      <c r="Q116" s="74" t="n"/>
      <c r="R116" s="74" t="n"/>
      <c r="S116" s="74" t="n"/>
      <c r="T116" s="74" t="n"/>
      <c r="U116" s="74" t="n"/>
      <c r="V116" s="74" t="n"/>
    </row>
    <row r="117" ht="16.5" customFormat="1" customHeight="1" s="37">
      <c r="A117" s="74" t="n"/>
      <c r="B117" s="74" t="n"/>
      <c r="C117" s="74" t="n"/>
      <c r="D117" s="74" t="n"/>
      <c r="E117" s="74" t="n"/>
      <c r="F117" s="74" t="n"/>
      <c r="G117" s="74" t="n"/>
      <c r="H117" s="74" t="n"/>
      <c r="I117" s="74" t="n"/>
      <c r="J117" s="74" t="n"/>
      <c r="K117" s="74" t="n"/>
      <c r="L117" s="74" t="n"/>
      <c r="M117" s="74" t="n"/>
      <c r="N117" s="74" t="n"/>
      <c r="O117" s="74" t="n"/>
      <c r="P117" s="74" t="n"/>
      <c r="Q117" s="74" t="n"/>
      <c r="R117" s="74" t="n"/>
      <c r="S117" s="74" t="n"/>
      <c r="T117" s="74" t="n"/>
      <c r="U117" s="74" t="n"/>
      <c r="V117" s="74" t="n"/>
    </row>
    <row r="118" ht="16.5" customFormat="1" customHeight="1" s="37">
      <c r="A118" s="74" t="n"/>
      <c r="B118" s="74" t="n"/>
      <c r="C118" s="74" t="n"/>
      <c r="D118" s="74" t="n"/>
      <c r="E118" s="74" t="n"/>
      <c r="F118" s="74" t="n"/>
      <c r="G118" s="74" t="n"/>
      <c r="H118" s="74" t="n"/>
      <c r="I118" s="74" t="n"/>
      <c r="J118" s="74" t="n"/>
      <c r="K118" s="74" t="n"/>
      <c r="L118" s="74" t="n"/>
      <c r="M118" s="74" t="n"/>
      <c r="N118" s="74" t="n"/>
      <c r="O118" s="74" t="n"/>
      <c r="P118" s="74" t="n"/>
      <c r="Q118" s="74" t="n"/>
      <c r="R118" s="74" t="n"/>
      <c r="S118" s="74" t="n"/>
      <c r="T118" s="74" t="n"/>
      <c r="U118" s="74" t="n"/>
      <c r="V118" s="74" t="n"/>
    </row>
    <row r="119" ht="16.5" customFormat="1" customHeight="1" s="37">
      <c r="A119" s="74" t="n"/>
      <c r="B119" s="74" t="n"/>
      <c r="C119" s="74" t="n"/>
      <c r="D119" s="74" t="n"/>
      <c r="E119" s="74" t="n"/>
      <c r="F119" s="74" t="n"/>
      <c r="G119" s="74" t="n"/>
      <c r="H119" s="74" t="n"/>
      <c r="I119" s="74" t="n"/>
      <c r="J119" s="74" t="n"/>
      <c r="K119" s="74" t="n"/>
      <c r="L119" s="74" t="n"/>
      <c r="M119" s="74" t="n"/>
      <c r="N119" s="74" t="n"/>
      <c r="O119" s="74" t="n"/>
      <c r="P119" s="74" t="n"/>
      <c r="Q119" s="74" t="n"/>
      <c r="R119" s="74" t="n"/>
      <c r="S119" s="74" t="n"/>
      <c r="T119" s="74" t="n"/>
      <c r="U119" s="74" t="n"/>
      <c r="V119" s="74" t="n"/>
    </row>
    <row r="120" ht="16.5" customFormat="1" customHeight="1" s="37">
      <c r="A120" s="74" t="n"/>
      <c r="B120" s="74" t="n"/>
      <c r="C120" s="74" t="n"/>
      <c r="D120" s="74" t="n"/>
      <c r="E120" s="74" t="n"/>
      <c r="F120" s="74" t="n"/>
      <c r="G120" s="74" t="n"/>
      <c r="H120" s="74" t="n"/>
      <c r="I120" s="74" t="n"/>
      <c r="J120" s="74" t="n"/>
      <c r="K120" s="74" t="n"/>
      <c r="L120" s="74" t="n"/>
      <c r="M120" s="74" t="n"/>
      <c r="N120" s="74" t="n"/>
      <c r="O120" s="74" t="n"/>
      <c r="P120" s="74" t="n"/>
      <c r="Q120" s="74" t="n"/>
      <c r="R120" s="74" t="n"/>
      <c r="S120" s="74" t="n"/>
      <c r="T120" s="74" t="n"/>
      <c r="U120" s="74" t="n"/>
      <c r="V120" s="74" t="n"/>
    </row>
    <row r="121" ht="16.5" customFormat="1" customHeight="1" s="37">
      <c r="A121" s="74" t="n"/>
      <c r="B121" s="74" t="n"/>
      <c r="C121" s="74" t="n"/>
      <c r="D121" s="74" t="n"/>
      <c r="E121" s="74" t="n"/>
      <c r="F121" s="74" t="n"/>
      <c r="G121" s="74" t="n"/>
      <c r="H121" s="74" t="n"/>
      <c r="I121" s="74" t="n"/>
      <c r="J121" s="74" t="n"/>
      <c r="K121" s="74" t="n"/>
      <c r="L121" s="74" t="n"/>
      <c r="M121" s="74" t="n"/>
      <c r="N121" s="74" t="n"/>
      <c r="O121" s="74" t="n"/>
      <c r="P121" s="74" t="n"/>
      <c r="Q121" s="74" t="n"/>
      <c r="R121" s="74" t="n"/>
      <c r="S121" s="74" t="n"/>
      <c r="T121" s="74" t="n"/>
      <c r="U121" s="74" t="n"/>
      <c r="V121" s="74" t="n"/>
    </row>
    <row r="122" ht="16.5" customFormat="1" customHeight="1" s="37">
      <c r="A122" s="74" t="n"/>
      <c r="B122" s="74" t="n"/>
      <c r="C122" s="74" t="n"/>
      <c r="D122" s="74" t="n"/>
      <c r="E122" s="74" t="n"/>
      <c r="F122" s="74" t="n"/>
      <c r="G122" s="74" t="n"/>
      <c r="H122" s="74" t="n"/>
      <c r="I122" s="74" t="n"/>
      <c r="J122" s="74" t="n"/>
      <c r="K122" s="74" t="n"/>
      <c r="L122" s="74" t="n"/>
      <c r="M122" s="74" t="n"/>
      <c r="N122" s="74" t="n"/>
      <c r="O122" s="74" t="n"/>
      <c r="P122" s="74" t="n"/>
      <c r="Q122" s="74" t="n"/>
      <c r="R122" s="74" t="n"/>
      <c r="S122" s="74" t="n"/>
      <c r="T122" s="74" t="n"/>
      <c r="U122" s="74" t="n"/>
      <c r="V122" s="74" t="n"/>
    </row>
    <row r="123" ht="16.5" customFormat="1" customHeight="1" s="37">
      <c r="A123" s="74" t="n"/>
      <c r="B123" s="74" t="n"/>
      <c r="C123" s="74" t="n"/>
      <c r="D123" s="74" t="n"/>
      <c r="E123" s="74" t="n"/>
      <c r="F123" s="74" t="n"/>
      <c r="G123" s="74" t="n"/>
      <c r="H123" s="74" t="n"/>
      <c r="I123" s="74" t="n"/>
      <c r="J123" s="74" t="n"/>
      <c r="K123" s="74" t="n"/>
      <c r="L123" s="74" t="n"/>
      <c r="M123" s="74" t="n"/>
      <c r="N123" s="74" t="n"/>
      <c r="O123" s="74" t="n"/>
      <c r="P123" s="74" t="n"/>
      <c r="Q123" s="74" t="n"/>
      <c r="R123" s="74" t="n"/>
      <c r="S123" s="74" t="n"/>
      <c r="T123" s="74" t="n"/>
      <c r="U123" s="74" t="n"/>
      <c r="V123" s="74" t="n"/>
    </row>
    <row r="124" ht="16.5" customFormat="1" customHeight="1" s="37">
      <c r="A124" s="74" t="n"/>
      <c r="B124" s="74" t="n"/>
      <c r="C124" s="74" t="n"/>
      <c r="D124" s="74" t="n"/>
      <c r="E124" s="74" t="n"/>
      <c r="F124" s="74" t="n"/>
      <c r="G124" s="74" t="n"/>
      <c r="H124" s="74" t="n"/>
      <c r="I124" s="74" t="n"/>
      <c r="J124" s="74" t="n"/>
      <c r="K124" s="74" t="n"/>
      <c r="L124" s="74" t="n"/>
      <c r="M124" s="74" t="n"/>
      <c r="N124" s="74" t="n"/>
      <c r="O124" s="74" t="n"/>
      <c r="P124" s="74" t="n"/>
      <c r="Q124" s="74" t="n"/>
      <c r="R124" s="74" t="n"/>
      <c r="S124" s="74" t="n"/>
      <c r="T124" s="74" t="n"/>
      <c r="U124" s="74" t="n"/>
      <c r="V124" s="74" t="n"/>
    </row>
    <row r="125" ht="16.5" customFormat="1" customHeight="1" s="37">
      <c r="A125" s="74" t="n"/>
      <c r="B125" s="74" t="n"/>
      <c r="C125" s="74" t="n"/>
      <c r="D125" s="74" t="n"/>
      <c r="E125" s="74" t="n"/>
      <c r="F125" s="74" t="n"/>
      <c r="G125" s="74" t="n"/>
      <c r="H125" s="74" t="n"/>
      <c r="I125" s="74" t="n"/>
      <c r="J125" s="74" t="n"/>
      <c r="K125" s="74" t="n"/>
      <c r="L125" s="74" t="n"/>
      <c r="M125" s="74" t="n"/>
      <c r="N125" s="74" t="n"/>
      <c r="O125" s="74" t="n"/>
      <c r="P125" s="74" t="n"/>
      <c r="Q125" s="74" t="n"/>
      <c r="R125" s="74" t="n"/>
      <c r="S125" s="74" t="n"/>
      <c r="T125" s="74" t="n"/>
      <c r="U125" s="74" t="n"/>
      <c r="V125" s="74" t="n"/>
    </row>
    <row r="126" ht="16.5" customFormat="1" customHeight="1" s="37">
      <c r="A126" s="74" t="n"/>
      <c r="B126" s="74" t="n"/>
      <c r="C126" s="74" t="n"/>
      <c r="D126" s="74" t="n"/>
      <c r="E126" s="74" t="n"/>
      <c r="F126" s="74" t="n"/>
      <c r="G126" s="74" t="n"/>
      <c r="H126" s="74" t="n"/>
      <c r="I126" s="74" t="n"/>
      <c r="J126" s="74" t="n"/>
      <c r="K126" s="74" t="n"/>
      <c r="L126" s="74" t="n"/>
      <c r="M126" s="74" t="n"/>
      <c r="N126" s="74" t="n"/>
      <c r="O126" s="74" t="n"/>
      <c r="P126" s="74" t="n"/>
      <c r="Q126" s="74" t="n"/>
      <c r="R126" s="74" t="n"/>
      <c r="S126" s="74" t="n"/>
      <c r="T126" s="74" t="n"/>
      <c r="U126" s="74" t="n"/>
      <c r="V126" s="74" t="n"/>
    </row>
    <row r="127" ht="16.5" customFormat="1" customHeight="1" s="37">
      <c r="A127" s="74" t="n"/>
      <c r="B127" s="74" t="n"/>
      <c r="C127" s="74" t="n"/>
      <c r="D127" s="74" t="n"/>
      <c r="E127" s="74" t="n"/>
      <c r="F127" s="74" t="n"/>
      <c r="G127" s="74" t="n"/>
      <c r="H127" s="74" t="n"/>
      <c r="I127" s="74" t="n"/>
      <c r="J127" s="74" t="n"/>
      <c r="K127" s="74" t="n"/>
      <c r="L127" s="74" t="n"/>
      <c r="M127" s="74" t="n"/>
      <c r="N127" s="74" t="n"/>
      <c r="O127" s="74" t="n"/>
      <c r="P127" s="74" t="n"/>
      <c r="Q127" s="74" t="n"/>
      <c r="R127" s="74" t="n"/>
      <c r="S127" s="74" t="n"/>
      <c r="T127" s="74" t="n"/>
      <c r="U127" s="74" t="n"/>
      <c r="V127" s="74" t="n"/>
    </row>
    <row r="128" ht="16.5" customFormat="1" customHeight="1" s="37">
      <c r="A128" s="74" t="n"/>
      <c r="B128" s="74" t="n"/>
      <c r="C128" s="74" t="n"/>
      <c r="D128" s="74" t="n"/>
      <c r="E128" s="74" t="n"/>
      <c r="F128" s="74" t="n"/>
      <c r="G128" s="74" t="n"/>
      <c r="H128" s="74" t="n"/>
      <c r="I128" s="74" t="n"/>
      <c r="J128" s="74" t="n"/>
      <c r="K128" s="74" t="n"/>
      <c r="L128" s="74" t="n"/>
      <c r="M128" s="74" t="n"/>
      <c r="N128" s="74" t="n"/>
      <c r="O128" s="74" t="n"/>
      <c r="P128" s="74" t="n"/>
      <c r="Q128" s="74" t="n"/>
      <c r="R128" s="74" t="n"/>
      <c r="S128" s="74" t="n"/>
      <c r="T128" s="74" t="n"/>
      <c r="U128" s="74" t="n"/>
      <c r="V128" s="74" t="n"/>
    </row>
    <row r="129" ht="16.5" customFormat="1" customHeight="1" s="37">
      <c r="A129" s="74" t="n"/>
      <c r="B129" s="74" t="n"/>
      <c r="C129" s="74" t="n"/>
      <c r="D129" s="74" t="n"/>
      <c r="E129" s="74" t="n"/>
      <c r="F129" s="74" t="n"/>
      <c r="G129" s="74" t="n"/>
      <c r="H129" s="74" t="n"/>
      <c r="I129" s="74" t="n"/>
      <c r="J129" s="74" t="n"/>
      <c r="K129" s="74" t="n"/>
      <c r="L129" s="74" t="n"/>
      <c r="M129" s="74" t="n"/>
      <c r="N129" s="74" t="n"/>
      <c r="O129" s="74" t="n"/>
      <c r="P129" s="74" t="n"/>
      <c r="Q129" s="74" t="n"/>
      <c r="R129" s="74" t="n"/>
      <c r="S129" s="74" t="n"/>
      <c r="T129" s="74" t="n"/>
      <c r="U129" s="74" t="n"/>
      <c r="V129" s="74" t="n"/>
    </row>
    <row r="130" ht="16.5" customFormat="1" customHeight="1" s="37">
      <c r="A130" s="74" t="n"/>
      <c r="B130" s="74" t="n"/>
      <c r="C130" s="74" t="n"/>
      <c r="D130" s="74" t="n"/>
      <c r="E130" s="74" t="n"/>
      <c r="F130" s="74" t="n"/>
      <c r="G130" s="74" t="n"/>
      <c r="H130" s="74" t="n"/>
      <c r="I130" s="74" t="n"/>
      <c r="J130" s="74" t="n"/>
      <c r="K130" s="74" t="n"/>
      <c r="L130" s="74" t="n"/>
      <c r="M130" s="74" t="n"/>
      <c r="N130" s="74" t="n"/>
      <c r="O130" s="74" t="n"/>
      <c r="P130" s="74" t="n"/>
      <c r="Q130" s="74" t="n"/>
      <c r="R130" s="74" t="n"/>
      <c r="S130" s="74" t="n"/>
      <c r="T130" s="74" t="n"/>
      <c r="U130" s="74" t="n"/>
      <c r="V130" s="74" t="n"/>
    </row>
    <row r="131" ht="16.5" customFormat="1" customHeight="1" s="37">
      <c r="A131" s="74" t="n"/>
      <c r="B131" s="74" t="n"/>
      <c r="C131" s="74" t="n"/>
      <c r="D131" s="74" t="n"/>
      <c r="E131" s="74" t="n"/>
      <c r="F131" s="74" t="n"/>
      <c r="G131" s="74" t="n"/>
      <c r="H131" s="74" t="n"/>
      <c r="I131" s="74" t="n"/>
      <c r="J131" s="74" t="n"/>
      <c r="K131" s="74" t="n"/>
      <c r="L131" s="74" t="n"/>
      <c r="M131" s="74" t="n"/>
      <c r="N131" s="74" t="n"/>
      <c r="O131" s="74" t="n"/>
      <c r="P131" s="74" t="n"/>
      <c r="Q131" s="74" t="n"/>
      <c r="R131" s="74" t="n"/>
      <c r="S131" s="74" t="n"/>
      <c r="T131" s="74" t="n"/>
      <c r="U131" s="74" t="n"/>
      <c r="V131" s="74" t="n"/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61">
    <sortState ref="A4:U6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6422" operator="greaterThan" dxfId="17">
      <formula>0.9</formula>
    </cfRule>
    <cfRule type="cellIs" priority="36423" operator="greaterThan" dxfId="16">
      <formula>0.85</formula>
    </cfRule>
  </conditionalFormatting>
  <conditionalFormatting sqref="N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4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4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4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4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4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4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4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4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5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5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5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5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5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5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5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5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5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6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N6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:E61">
    <cfRule type="expression" priority="72934" dxfId="3">
      <formula>AND(IF(OR($Q4=1,$Q4=2),1,0),IF(#REF!&lt;=20,1,0))</formula>
    </cfRule>
    <cfRule type="expression" priority="72935" dxfId="2">
      <formula>AND(IF($Q4=2,1,0),IF(#REF!&lt;30,1,0))</formula>
    </cfRule>
    <cfRule type="expression" priority="72936" dxfId="1">
      <formula>AND(IF($Q4=3,1,0),IF(#REF!&lt;30,1,0))</formula>
    </cfRule>
    <cfRule type="expression" priority="7293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13" sqref="G13"/>
    </sheetView>
  </sheetViews>
  <sheetFormatPr baseColWidth="8" defaultColWidth="17.5" defaultRowHeight="13.5"/>
  <cols>
    <col width="4.62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0"/>
    <col width="17.5" customWidth="1" style="120" min="51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무실동</t>
        </is>
      </c>
      <c r="E4" s="120" t="inlineStr">
        <is>
          <t>지정면</t>
        </is>
      </c>
      <c r="F4" s="120" t="inlineStr">
        <is>
          <t>반곡동</t>
        </is>
      </c>
      <c r="G4" s="120" t="inlineStr">
        <is>
          <t>단계동</t>
        </is>
      </c>
      <c r="H4" s="120" t="inlineStr">
        <is>
          <t>단구동</t>
        </is>
      </c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3" t="n">
        <v>8</v>
      </c>
      <c r="B8" s="57" t="inlineStr">
        <is>
          <t>~</t>
        </is>
      </c>
      <c r="C8" s="144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5" t="n">
        <v>7</v>
      </c>
      <c r="B9" s="59" t="inlineStr">
        <is>
          <t>~</t>
        </is>
      </c>
      <c r="C9" s="146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7" t="n">
        <v>6</v>
      </c>
      <c r="B10" s="55" t="inlineStr">
        <is>
          <t>~</t>
        </is>
      </c>
      <c r="C10" s="148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4">
      <c r="A11" s="147" t="n">
        <v>5</v>
      </c>
      <c r="B11" s="55" t="inlineStr">
        <is>
          <t>~</t>
        </is>
      </c>
      <c r="C11" s="148" t="n">
        <v>6</v>
      </c>
      <c r="D11" s="56" t="inlineStr">
        <is>
          <t>더샵원주센트럴파크1단지(34평/5.6)_x000D_
무실우미린(34평/5.0)</t>
        </is>
      </c>
      <c r="E11" s="56" t="inlineStr">
        <is>
          <t>원주롯데캐슬골드파크1차(33평/5.3)_x000D_
원주롯데캐슬골드파크2차(34평/5.0)</t>
        </is>
      </c>
      <c r="F11" s="56" t="inlineStr">
        <is>
          <t>힐데스하임5단지(35평/5.0)</t>
        </is>
      </c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96" customHeight="1" s="124">
      <c r="A12" s="147" t="n">
        <v>4</v>
      </c>
      <c r="B12" s="55" t="inlineStr">
        <is>
          <t>~</t>
        </is>
      </c>
      <c r="C12" s="148" t="n">
        <v>5</v>
      </c>
      <c r="D12" s="56" t="inlineStr">
        <is>
          <t>원주무실세영리첼1차(33평/4.8)_x000D_
원주무실세영리첼2차(33평/4.7)_x000D_
무실우미린(30평/4.2)</t>
        </is>
      </c>
      <c r="E12" s="56" t="inlineStr">
        <is>
          <t>이지더원더그레이스(35평/4.3)_x000D_
원주기업도시호반베르디움8단지(34평/4.1)_x000D_
원주기업도시유보라아이비파크2단지(34평/4.0)_x000D_
원주기업도시라온프라이빗(34평/4.0)</t>
        </is>
      </c>
      <c r="F12" s="56" t="inlineStr">
        <is>
          <t>중흥에스-클래스프라디움(34평/4.7)_x000D_
반곡모아엘가(33평/4.0)</t>
        </is>
      </c>
      <c r="G12" s="56" t="inlineStr">
        <is>
          <t>원주봉화산푸르지오(33평/4.2)_x000D_
원주봉화산벨라시티2차(35평/4.0)</t>
        </is>
      </c>
      <c r="H12" s="56" t="inlineStr">
        <is>
          <t>원주단구내안애카운티에듀파크2단지(33평/4.0)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20" customHeight="1" s="124">
      <c r="A13" s="149" t="n">
        <v>3</v>
      </c>
      <c r="B13" s="60" t="inlineStr">
        <is>
          <t>~</t>
        </is>
      </c>
      <c r="C13" s="150" t="n">
        <v>4</v>
      </c>
      <c r="D13" s="61" t="inlineStr">
        <is>
          <t>사랑으로부영(27평/3.2)</t>
        </is>
      </c>
      <c r="E13" s="61" t="inlineStr">
        <is>
          <t>원주기업도시호반베르디움(3-1블록)(34평/4.0)_x000D_
원주기업도시호반베르디움(3-2블록)(34평/4.0)_x000D_
원주기업도시유보라아이비파크1단지(33평/3.8)_x000D_
원주롯데캐슬더퍼스트2차(34평/3.7)_x000D_
이지더원1차(34평/3.6)_x000D_
원주롯데캐슬골드파크2차(25평/3.5)_x000D_
원주롯데캐슬골드파크1차(25평/3.3)_x000D_
원주롯데캐슬더퍼스트2차(26평/3.0)</t>
        </is>
      </c>
      <c r="F13" s="61" t="inlineStr">
        <is>
          <t>e편한세상반곡(34평/4.0)_x000D_
LH센트럴파크(34평/3.8)_x000D_
푸른숨LH3단지(33평/3.7)_x000D_
푸른숨휴브레스(33평/3.7)_x000D_
반곡퍼스트힐(33평/3.2)</t>
        </is>
      </c>
      <c r="G13" s="61" t="inlineStr">
        <is>
          <t>봉화산벨라시티(34평/3.7)_x000D_
원주봉화산푸르지오(30평/3.6)_x000D_
원주봉화산벨라시티3차(25평/3.2)_x000D_
원주봉화산벨라시티2차(25평/3.2)</t>
        </is>
      </c>
      <c r="H13" s="61" t="inlineStr">
        <is>
          <t>원주단구내안애카운티에듀파크1단지(32평/3.7)_x000D_
단구한신더휴(35평/3.6)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68" customHeight="1" s="124">
      <c r="A14" s="149" t="n">
        <v>2.5</v>
      </c>
      <c r="B14" s="60" t="inlineStr">
        <is>
          <t>~</t>
        </is>
      </c>
      <c r="C14" s="150" t="n">
        <v>3</v>
      </c>
      <c r="D14" s="61" t="n"/>
      <c r="E14" s="61" t="inlineStr">
        <is>
          <t>원주기업도시유보라아이비파크2단지(24평/2.9)_x000D_
원주기업도시호반베르디움8단지(26평/2.9)_x000D_
원주롯데캐슬더퍼스트(26평/2.9)_x000D_
이지더원더그레이스(25평/2.9)_x000D_
원주기업도시호반베르디움(3-2블록)(25평/2.8)_x000D_
원주기업도시유보라아이비파크1단지(25평/2.7)_x000D_
원주기업도시라온프라이빗(25평/2.7)_x000D_
원주기업도시호반베르디움(3-1블록)(25평/2.7)_x000D_
이지더원1차(24평/2.6)</t>
        </is>
      </c>
      <c r="F14" s="61" t="inlineStr">
        <is>
          <t>e편한세상반곡(26평/2.9)</t>
        </is>
      </c>
      <c r="G14" s="61" t="inlineStr">
        <is>
          <t>원주봉화산푸르지오(26평/2.9)_x000D_
봉화산벨라시티(27평/2.8)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49" t="n">
        <v>2</v>
      </c>
      <c r="B15" s="60" t="inlineStr">
        <is>
          <t>~</t>
        </is>
      </c>
      <c r="C15" s="150" t="n">
        <v>2.5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51" t="n">
        <v>1.5</v>
      </c>
      <c r="B16" s="62" t="inlineStr">
        <is>
          <t>~</t>
        </is>
      </c>
      <c r="C16" s="152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5">
        <f>IF(A9="","",A9)</f>
        <v/>
      </c>
      <c r="B22" s="59">
        <f>IF(B9="","",B9)</f>
        <v/>
      </c>
      <c r="C22" s="146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7">
        <f>IF(A10="","",A10)</f>
        <v/>
      </c>
      <c r="B23" s="55">
        <f>IF(B10="","",B10)</f>
        <v/>
      </c>
      <c r="C23" s="148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inlineStr">
        <is>
          <t>더샵원주센트럴파크1단지('21/5.6)_x000D_
무실우미린('14/5.0)</t>
        </is>
      </c>
      <c r="E24" s="56" t="inlineStr">
        <is>
          <t>원주롯데캐슬골드파크1차('19/5.3)_x000D_
원주롯데캐슬골드파크2차('19/5.0)</t>
        </is>
      </c>
      <c r="F24" s="56" t="inlineStr">
        <is>
          <t>힐데스하임5단지('15/5.0)</t>
        </is>
      </c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84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inlineStr">
        <is>
          <t>원주무실세영리첼1차('14/4.8)_x000D_
원주무실세영리첼2차('15/4.7)_x000D_
무실우미린('14/4.2)</t>
        </is>
      </c>
      <c r="E25" s="56" t="inlineStr">
        <is>
          <t>이지더원더그레이스('20/4.3)_x000D_
원주기업도시호반베르디움8단지('18/4.1)_x000D_
원주기업도시유보라아이비파크2단지('20/4.0)_x000D_
원주기업도시라온프라이빗('18/4.0)</t>
        </is>
      </c>
      <c r="F25" s="56" t="inlineStr">
        <is>
          <t>중흥에스-클래스프라디움('16/4.7)_x000D_
반곡모아엘가('17/4.0)</t>
        </is>
      </c>
      <c r="G25" s="56" t="inlineStr">
        <is>
          <t>원주봉화산푸르지오('17/4.2)_x000D_
원주봉화산벨라시티2차('18/4.0)</t>
        </is>
      </c>
      <c r="H25" s="56" t="inlineStr">
        <is>
          <t>원주단구내안애카운티에듀파크2단지('20/4.0)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84" customHeight="1" s="124">
      <c r="A26" s="149">
        <f>IF(A13="","",A13)</f>
        <v/>
      </c>
      <c r="B26" s="60">
        <f>IF(B13="","",B13)</f>
        <v/>
      </c>
      <c r="C26" s="150">
        <f>IF(C13="","",C13)</f>
        <v/>
      </c>
      <c r="D26" s="61" t="n"/>
      <c r="E26" s="61" t="inlineStr">
        <is>
          <t>원주기업도시호반베르디움(3-1블록)('19/4.0)_x000D_
원주기업도시호반베르디움(3-2블록)('19/4.0)_x000D_
원주기업도시유보라아이비파크1단지('20/3.8)_x000D_
원주롯데캐슬더퍼스트2차('18/3.7)_x000D_
이지더원1차('19/3.6)</t>
        </is>
      </c>
      <c r="F26" s="61" t="inlineStr">
        <is>
          <t>e편한세상반곡('18/4.0)_x000D_
LH센트럴파크('19/3.8)_x000D_
푸른숨LH3단지('15/3.7)_x000D_
푸른숨휴브레스('13/3.7)_x000D_
반곡퍼스트힐('14/3.2)</t>
        </is>
      </c>
      <c r="G26" s="61" t="inlineStr">
        <is>
          <t>봉화산벨라시티('16/3.7)_x000D_
원주봉화산푸르지오('17/3.6)</t>
        </is>
      </c>
      <c r="H26" s="61" t="inlineStr">
        <is>
          <t>원주단구내안애카운티에듀파크1단지('20/3.7)_x000D_
단구한신더휴('17/3.6)</t>
        </is>
      </c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9">
        <f>IF(A15="","",A15)</f>
        <v/>
      </c>
      <c r="B28" s="60">
        <f>IF(B15="","",B15)</f>
        <v/>
      </c>
      <c r="C28" s="150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7">
        <f>IF(A24="","",A24)</f>
        <v/>
      </c>
      <c r="B37" s="55">
        <f>IF(B24="","",B24)</f>
        <v/>
      </c>
      <c r="C37" s="148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7">
        <f>IF(A25="","",A25)</f>
        <v/>
      </c>
      <c r="B38" s="55">
        <f>IF(B25="","",B25)</f>
        <v/>
      </c>
      <c r="C38" s="148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inlineStr">
        <is>
          <t>사랑으로부영('12/3.2)</t>
        </is>
      </c>
      <c r="E39" s="61" t="inlineStr">
        <is>
          <t>원주롯데캐슬골드파크2차('19/3.5)_x000D_
원주롯데캐슬골드파크1차('19/3.3)</t>
        </is>
      </c>
      <c r="F39" s="61" t="n"/>
      <c r="G39" s="61" t="inlineStr">
        <is>
          <t>원주봉화산벨라시티2차('18/3.2)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96" customHeight="1" s="124">
      <c r="A40" s="149">
        <f>IF(A27="","",A27)</f>
        <v/>
      </c>
      <c r="B40" s="60">
        <f>IF(B27="","",B27)</f>
        <v/>
      </c>
      <c r="C40" s="150">
        <f>IF(C27="","",C27)</f>
        <v/>
      </c>
      <c r="D40" s="61" t="n"/>
      <c r="E40" s="61" t="inlineStr">
        <is>
          <t>이지더원더그레이스('20/2.9)_x000D_
원주기업도시호반베르디움(3-2블록)('19/2.8)_x000D_
원주기업도시유보라아이비파크1단지('20/2.7)_x000D_
원주기업도시라온프라이빗('18/2.7)_x000D_
원주기업도시호반베르디움(3-1블록)('19/2.7)</t>
        </is>
      </c>
      <c r="F40" s="61" t="inlineStr">
        <is>
          <t>e편한세상반곡('18/2.9)</t>
        </is>
      </c>
      <c r="G40" s="61" t="inlineStr">
        <is>
          <t>봉화산벨라시티('16/2.8)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51">
        <f>IF(A29="","",A29)</f>
        <v/>
      </c>
      <c r="B42" s="62">
        <f>IF(B29="","",B29)</f>
        <v/>
      </c>
      <c r="C42" s="152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7">
        <f>IF(A38="","",A38)</f>
        <v/>
      </c>
      <c r="B51" s="55">
        <f>IF(B38="","",B38)</f>
        <v/>
      </c>
      <c r="C51" s="148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inlineStr">
        <is>
          <t>이지더원1차('19/2.6)</t>
        </is>
      </c>
      <c r="F53" s="61" t="n"/>
      <c r="G53" s="61" t="inlineStr">
        <is>
          <t>원주봉화산푸르지오('17/2.9)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7">
        <f>IF(A51="","",A51)</f>
        <v/>
      </c>
      <c r="B64" s="55">
        <f>IF(B51="","",B51)</f>
        <v/>
      </c>
      <c r="C64" s="148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61"/>
  <sheetViews>
    <sheetView topLeftCell="A31" zoomScaleNormal="100" workbookViewId="0">
      <selection activeCell="O7" sqref="O7"/>
    </sheetView>
  </sheetViews>
  <sheetFormatPr baseColWidth="8" defaultRowHeight="16.5"/>
  <sheetData>
    <row r="1">
      <c r="A1" s="0" t="inlineStr">
        <is>
          <t>[판부면]</t>
        </is>
      </c>
      <c r="B1" s="0" t="n">
        <v>114285</v>
      </c>
      <c r="C1" s="0" t="n">
        <v>3</v>
      </c>
      <c r="D1" s="0" t="inlineStr">
        <is>
          <t>남원주코아루미소지움</t>
        </is>
      </c>
      <c r="E1" s="0" t="inlineStr">
        <is>
          <t>2018.03.</t>
        </is>
      </c>
      <c r="F1" s="0" t="n">
        <v>359</v>
      </c>
      <c r="G1" s="0" t="n">
        <v>33.28</v>
      </c>
      <c r="H1" s="0" t="n">
        <v>110.03</v>
      </c>
      <c r="I1" s="0" t="n">
        <v>24.19</v>
      </c>
      <c r="J1" s="0" t="n">
        <v>79.97</v>
      </c>
      <c r="K1" s="0" t="n">
        <v>157</v>
      </c>
      <c r="L1" s="0" t="n">
        <v>33000</v>
      </c>
      <c r="M1" s="0" t="n">
        <v>13</v>
      </c>
      <c r="N1" s="0" t="n">
        <v>27000</v>
      </c>
      <c r="O1" s="0" t="inlineStr">
        <is>
          <t>저</t>
        </is>
      </c>
      <c r="T1" s="0" t="n">
        <v>2</v>
      </c>
      <c r="U1" s="0" t="n">
        <v>1</v>
      </c>
      <c r="V1" s="0" t="inlineStr">
        <is>
          <t>계단식</t>
        </is>
      </c>
      <c r="W1" s="0" t="inlineStr">
        <is>
          <t>77B</t>
        </is>
      </c>
      <c r="X1" s="0" t="n">
        <v>10</v>
      </c>
      <c r="Y1" s="0" t="n">
        <v>10</v>
      </c>
      <c r="Z1" s="0" t="inlineStr">
        <is>
          <t>https://new.land.naver.com/complexes/118981?tab=detail&amp;rf=Y</t>
        </is>
      </c>
      <c r="AA1" s="0" t="inlineStr">
        <is>
          <t>강원도 원주시 단계동 777-4</t>
        </is>
      </c>
      <c r="AB1" s="0" t="inlineStr">
        <is>
          <t>강원도</t>
        </is>
      </c>
      <c r="AC1" s="0" t="inlineStr">
        <is>
          <t>원주시</t>
        </is>
      </c>
      <c r="AD1" s="0" t="inlineStr">
        <is>
          <t>단계동</t>
        </is>
      </c>
      <c r="AG1" s="0" t="inlineStr">
        <is>
          <t>강원도 원주시 천사로 106</t>
        </is>
      </c>
      <c r="AH1" s="0" t="n">
        <v>0</v>
      </c>
      <c r="AI1" s="0" t="n">
        <v>546</v>
      </c>
      <c r="AJ1" s="0" t="n">
        <v>69</v>
      </c>
      <c r="AK1" s="0" t="n">
        <v>24</v>
      </c>
      <c r="AL1" s="0" t="n">
        <v>1</v>
      </c>
    </row>
    <row r="2">
      <c r="A2" s="0" t="inlineStr">
        <is>
          <t>[판부면]</t>
        </is>
      </c>
      <c r="B2" s="0" t="n">
        <v>114285</v>
      </c>
      <c r="C2" s="0" t="n">
        <v>1</v>
      </c>
      <c r="D2" s="0" t="inlineStr">
        <is>
          <t>남원주코아루미소지움</t>
        </is>
      </c>
      <c r="E2" s="0" t="inlineStr">
        <is>
          <t>2018.03.</t>
        </is>
      </c>
      <c r="F2" s="0" t="n">
        <v>359</v>
      </c>
      <c r="G2" s="0" t="n">
        <v>24.93</v>
      </c>
      <c r="H2" s="0" t="n">
        <v>82.42</v>
      </c>
      <c r="I2" s="0" t="n">
        <v>18.14</v>
      </c>
      <c r="J2" s="0" t="n">
        <v>59.97</v>
      </c>
      <c r="K2" s="0" t="n">
        <v>126</v>
      </c>
      <c r="L2" s="0" t="n">
        <v>28000</v>
      </c>
      <c r="M2" s="0" t="n">
        <v>8</v>
      </c>
      <c r="N2" s="0" t="n">
        <v>23500</v>
      </c>
      <c r="O2" s="0" t="n">
        <v>19</v>
      </c>
      <c r="T2" s="0" t="n">
        <v>2</v>
      </c>
      <c r="U2" s="0" t="n">
        <v>1</v>
      </c>
      <c r="V2" s="0" t="inlineStr">
        <is>
          <t>계단식</t>
        </is>
      </c>
      <c r="W2" s="0" t="inlineStr">
        <is>
          <t>70C</t>
        </is>
      </c>
      <c r="X2" s="0" t="n">
        <v>10</v>
      </c>
      <c r="Y2" s="0" t="n">
        <v>10</v>
      </c>
      <c r="Z2" s="0" t="inlineStr">
        <is>
          <t>https://new.land.naver.com/complexes/118981?tab=detail&amp;rf=Y</t>
        </is>
      </c>
      <c r="AA2" s="0" t="inlineStr">
        <is>
          <t>강원도 원주시 단계동 777-4</t>
        </is>
      </c>
      <c r="AB2" s="0" t="inlineStr">
        <is>
          <t>강원도</t>
        </is>
      </c>
      <c r="AC2" s="0" t="inlineStr">
        <is>
          <t>원주시</t>
        </is>
      </c>
      <c r="AD2" s="0" t="inlineStr">
        <is>
          <t>단계동</t>
        </is>
      </c>
      <c r="AG2" s="0" t="inlineStr">
        <is>
          <t>강원도 원주시 천사로 106</t>
        </is>
      </c>
      <c r="AH2" s="0" t="n">
        <v>0</v>
      </c>
      <c r="AI2" s="0" t="n">
        <v>546</v>
      </c>
      <c r="AJ2" s="0" t="n">
        <v>69</v>
      </c>
      <c r="AK2" s="0" t="n">
        <v>24</v>
      </c>
      <c r="AL2" s="0" t="n">
        <v>1</v>
      </c>
    </row>
    <row r="3">
      <c r="A3" s="0" t="inlineStr">
        <is>
          <t>[태장동]</t>
        </is>
      </c>
      <c r="B3" s="0" t="n">
        <v>115931</v>
      </c>
      <c r="C3" s="0" t="n">
        <v>7</v>
      </c>
      <c r="D3" s="0" t="inlineStr">
        <is>
          <t>이안원주태장</t>
        </is>
      </c>
      <c r="E3" s="0" t="inlineStr">
        <is>
          <t>2019.08.</t>
        </is>
      </c>
      <c r="F3" s="0" t="n">
        <v>920</v>
      </c>
      <c r="G3" s="0" t="n">
        <v>35.35</v>
      </c>
      <c r="H3" s="0" t="n">
        <v>116.86</v>
      </c>
      <c r="I3" s="0" t="n">
        <v>25.69</v>
      </c>
      <c r="J3" s="0" t="n">
        <v>84.94</v>
      </c>
      <c r="K3" s="0" t="n">
        <v>62</v>
      </c>
      <c r="L3" s="0" t="n">
        <v>32000</v>
      </c>
      <c r="M3" s="0" t="inlineStr">
        <is>
          <t>고</t>
        </is>
      </c>
      <c r="N3" s="0" t="n">
        <v>28000</v>
      </c>
      <c r="O3" s="0" t="n">
        <v>20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115C</t>
        </is>
      </c>
      <c r="X3" s="0" t="n">
        <v>29</v>
      </c>
      <c r="Y3" s="0" t="n">
        <v>18</v>
      </c>
      <c r="Z3" s="0" t="inlineStr">
        <is>
          <t>https://new.land.naver.com/complexes/121588?tab=detail&amp;rf=Y</t>
        </is>
      </c>
      <c r="AA3" s="0" t="inlineStr">
        <is>
          <t>강원도 원주시 단계동 1221</t>
        </is>
      </c>
      <c r="AB3" s="0" t="inlineStr">
        <is>
          <t>강원도</t>
        </is>
      </c>
      <c r="AC3" s="0" t="inlineStr">
        <is>
          <t>원주시</t>
        </is>
      </c>
      <c r="AD3" s="0" t="inlineStr">
        <is>
          <t>단계동</t>
        </is>
      </c>
      <c r="AG3" s="0" t="inlineStr">
        <is>
          <t>강원도 원주시 서원대로 35</t>
        </is>
      </c>
      <c r="AH3" s="0" t="n">
        <v>0</v>
      </c>
      <c r="AI3" s="0" t="n">
        <v>0</v>
      </c>
      <c r="AJ3" s="0" t="n">
        <v>0</v>
      </c>
      <c r="AK3" s="0" t="n">
        <v>614</v>
      </c>
      <c r="AL3" s="0" t="n">
        <v>1.23</v>
      </c>
    </row>
    <row r="4">
      <c r="A4" s="0" t="inlineStr">
        <is>
          <t>[태장동]</t>
        </is>
      </c>
      <c r="B4" s="0" t="n">
        <v>113434</v>
      </c>
      <c r="C4" s="0" t="n">
        <v>4</v>
      </c>
      <c r="D4" s="0" t="inlineStr">
        <is>
          <t>e편한세상원주태장</t>
        </is>
      </c>
      <c r="E4" s="0" t="inlineStr">
        <is>
          <t>2018.12.</t>
        </is>
      </c>
      <c r="F4" s="0" t="n">
        <v>703</v>
      </c>
      <c r="G4" s="0" t="n">
        <v>31.31</v>
      </c>
      <c r="H4" s="0" t="n">
        <v>103.51</v>
      </c>
      <c r="I4" s="0" t="n">
        <v>22.68</v>
      </c>
      <c r="J4" s="0" t="n">
        <v>74.98999999999999</v>
      </c>
      <c r="K4" s="0" t="n">
        <v>308</v>
      </c>
      <c r="L4" s="0" t="n">
        <v>30000</v>
      </c>
      <c r="M4" s="0" t="inlineStr">
        <is>
          <t>중</t>
        </is>
      </c>
      <c r="N4" s="0" t="n">
        <v>24000</v>
      </c>
      <c r="O4" s="0" t="inlineStr">
        <is>
          <t>저</t>
        </is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106B</t>
        </is>
      </c>
      <c r="X4" s="0" t="n">
        <v>20</v>
      </c>
      <c r="Y4" s="0" t="n">
        <v>13</v>
      </c>
      <c r="Z4" s="0" t="inlineStr">
        <is>
          <t>https://new.land.naver.com/complexes/19154?tab=detail&amp;rf=Y</t>
        </is>
      </c>
      <c r="AA4" s="0" t="inlineStr">
        <is>
          <t>강원도 원주시 단계동 1095-1</t>
        </is>
      </c>
      <c r="AB4" s="0" t="inlineStr">
        <is>
          <t>강원도</t>
        </is>
      </c>
      <c r="AC4" s="0" t="inlineStr">
        <is>
          <t>원주시</t>
        </is>
      </c>
      <c r="AD4" s="0" t="inlineStr">
        <is>
          <t>단계동</t>
        </is>
      </c>
      <c r="AG4" s="0" t="inlineStr">
        <is>
          <t>강원도 원주시 봉화로 67</t>
        </is>
      </c>
      <c r="AH4" s="0" t="n">
        <v>0</v>
      </c>
      <c r="AI4" s="0" t="n">
        <v>220</v>
      </c>
      <c r="AJ4" s="0" t="n">
        <v>17</v>
      </c>
      <c r="AK4" s="0" t="n">
        <v>968</v>
      </c>
      <c r="AL4" s="0" t="n">
        <v>1.4</v>
      </c>
    </row>
    <row r="5">
      <c r="A5" s="0" t="inlineStr">
        <is>
          <t>[태장동]</t>
        </is>
      </c>
      <c r="B5" s="0" t="n">
        <v>113434</v>
      </c>
      <c r="C5" s="0" t="n">
        <v>1</v>
      </c>
      <c r="D5" s="0" t="inlineStr">
        <is>
          <t>e편한세상원주태장</t>
        </is>
      </c>
      <c r="E5" s="0" t="inlineStr">
        <is>
          <t>2018.12.</t>
        </is>
      </c>
      <c r="F5" s="0" t="n">
        <v>703</v>
      </c>
      <c r="G5" s="0" t="n">
        <v>25.35</v>
      </c>
      <c r="H5" s="0" t="n">
        <v>83.81</v>
      </c>
      <c r="I5" s="0" t="n">
        <v>18.14</v>
      </c>
      <c r="J5" s="0" t="n">
        <v>59.99</v>
      </c>
      <c r="K5" s="0" t="n">
        <v>227</v>
      </c>
      <c r="L5" s="0" t="n">
        <v>25000</v>
      </c>
      <c r="M5" s="0" t="inlineStr">
        <is>
          <t>고</t>
        </is>
      </c>
      <c r="N5" s="0" t="n">
        <v>20000</v>
      </c>
      <c r="O5" s="0" t="inlineStr">
        <is>
          <t>고</t>
        </is>
      </c>
      <c r="T5" s="0" t="n">
        <v>3</v>
      </c>
      <c r="U5" s="0" t="n">
        <v>1</v>
      </c>
      <c r="V5" s="0" t="inlineStr">
        <is>
          <t>계단식</t>
        </is>
      </c>
      <c r="W5" s="0" t="inlineStr">
        <is>
          <t>54S</t>
        </is>
      </c>
      <c r="X5" s="0" t="n">
        <v>5</v>
      </c>
      <c r="Y5" s="0" t="n">
        <v>5</v>
      </c>
      <c r="Z5" s="0" t="inlineStr">
        <is>
          <t>https://new.land.naver.com/complexes/14569?tab=detail&amp;rf=Y</t>
        </is>
      </c>
      <c r="AA5" s="0" t="inlineStr">
        <is>
          <t>강원도 원주시 단계동 792</t>
        </is>
      </c>
      <c r="AB5" s="0" t="inlineStr">
        <is>
          <t>강원도</t>
        </is>
      </c>
      <c r="AC5" s="0" t="inlineStr">
        <is>
          <t>원주시</t>
        </is>
      </c>
      <c r="AD5" s="0" t="inlineStr">
        <is>
          <t>단계동</t>
        </is>
      </c>
      <c r="AG5" s="0" t="inlineStr">
        <is>
          <t>강원도 원주시 서원대로 205</t>
        </is>
      </c>
      <c r="AH5" s="0" t="n">
        <v>0</v>
      </c>
      <c r="AI5" s="0" t="n">
        <v>0</v>
      </c>
      <c r="AJ5" s="0" t="n">
        <v>0</v>
      </c>
      <c r="AK5" s="0" t="n">
        <v>400</v>
      </c>
      <c r="AL5" s="0" t="n">
        <v>0.49</v>
      </c>
    </row>
    <row r="6">
      <c r="A6" s="0" t="inlineStr">
        <is>
          <t>[태장동]</t>
        </is>
      </c>
      <c r="B6" s="0" t="n">
        <v>115931</v>
      </c>
      <c r="C6" s="0" t="n">
        <v>1</v>
      </c>
      <c r="D6" s="0" t="inlineStr">
        <is>
          <t>이안원주태장</t>
        </is>
      </c>
      <c r="E6" s="0" t="inlineStr">
        <is>
          <t>2019.08.</t>
        </is>
      </c>
      <c r="F6" s="0" t="n">
        <v>920</v>
      </c>
      <c r="G6" s="0" t="n">
        <v>24.93</v>
      </c>
      <c r="H6" s="0" t="n">
        <v>82.43000000000001</v>
      </c>
      <c r="I6" s="0" t="n">
        <v>18.13</v>
      </c>
      <c r="J6" s="0" t="n">
        <v>59.96</v>
      </c>
      <c r="K6" s="0" t="n">
        <v>372</v>
      </c>
      <c r="L6" s="0" t="n">
        <v>21000</v>
      </c>
      <c r="M6" s="0" t="inlineStr">
        <is>
          <t>고</t>
        </is>
      </c>
      <c r="N6" s="0" t="n">
        <v>19000</v>
      </c>
      <c r="O6" s="0" t="n">
        <v>15</v>
      </c>
      <c r="T6" s="0" t="n">
        <v>5</v>
      </c>
      <c r="U6" s="0" t="n">
        <v>3</v>
      </c>
      <c r="V6" s="0" t="inlineStr">
        <is>
          <t>계단식</t>
        </is>
      </c>
      <c r="W6" s="0" t="inlineStr">
        <is>
          <t>204A</t>
        </is>
      </c>
      <c r="X6" s="0" t="n">
        <v>29</v>
      </c>
      <c r="Y6" s="0" t="n">
        <v>19</v>
      </c>
      <c r="Z6" s="0" t="inlineStr">
        <is>
          <t>https://new.land.naver.com/complexes/112708?tab=detail&amp;rf=Y</t>
        </is>
      </c>
      <c r="AA6" s="0" t="inlineStr">
        <is>
          <t>강원도 원주시 단계동 1218</t>
        </is>
      </c>
      <c r="AB6" s="0" t="inlineStr">
        <is>
          <t>강원도</t>
        </is>
      </c>
      <c r="AC6" s="0" t="inlineStr">
        <is>
          <t>원주시</t>
        </is>
      </c>
      <c r="AD6" s="0" t="inlineStr">
        <is>
          <t>단계동</t>
        </is>
      </c>
      <c r="AG6" s="0" t="inlineStr">
        <is>
          <t>강원도 원주시 백간길 17-14</t>
        </is>
      </c>
      <c r="AH6" s="0" t="n">
        <v>0</v>
      </c>
      <c r="AI6" s="0" t="n">
        <v>278</v>
      </c>
      <c r="AJ6" s="0" t="n">
        <v>16</v>
      </c>
      <c r="AK6" s="0" t="n">
        <v>1109</v>
      </c>
      <c r="AL6" s="0" t="n">
        <v>1.32</v>
      </c>
    </row>
    <row r="7">
      <c r="A7" s="0" t="inlineStr">
        <is>
          <t>[지정면]</t>
        </is>
      </c>
      <c r="B7" s="0" t="n">
        <v>117765</v>
      </c>
      <c r="C7" s="0" t="n">
        <v>3</v>
      </c>
      <c r="D7" s="0" t="inlineStr">
        <is>
          <t>원주롯데캐슬골드파크2차</t>
        </is>
      </c>
      <c r="E7" s="0" t="inlineStr">
        <is>
          <t>2019.12.</t>
        </is>
      </c>
      <c r="F7" s="0" t="n">
        <v>536</v>
      </c>
      <c r="G7" s="0" t="n">
        <v>33.56</v>
      </c>
      <c r="H7" s="0" t="n">
        <v>110.96</v>
      </c>
      <c r="I7" s="0" t="n">
        <v>25.7</v>
      </c>
      <c r="J7" s="0" t="n">
        <v>84.95999999999999</v>
      </c>
      <c r="K7" s="0" t="n">
        <v>243</v>
      </c>
      <c r="L7" s="0" t="n">
        <v>50000</v>
      </c>
      <c r="M7" s="0" t="n">
        <v>10</v>
      </c>
      <c r="N7" s="0" t="n">
        <v>32000</v>
      </c>
      <c r="O7" s="0" t="inlineStr">
        <is>
          <t>중</t>
        </is>
      </c>
      <c r="T7" s="0" t="n">
        <v>3</v>
      </c>
      <c r="U7" s="0" t="n">
        <v>2</v>
      </c>
      <c r="V7" s="0" t="inlineStr">
        <is>
          <t>계단식</t>
        </is>
      </c>
      <c r="W7" s="0" t="n">
        <v>113</v>
      </c>
      <c r="X7" s="0" t="n">
        <v>15</v>
      </c>
      <c r="Y7" s="0" t="n">
        <v>12</v>
      </c>
      <c r="Z7" s="0" t="inlineStr">
        <is>
          <t>https://new.land.naver.com/complexes/19694?tab=detail&amp;rf=Y</t>
        </is>
      </c>
      <c r="AA7" s="0" t="inlineStr">
        <is>
          <t>강원도 원주시 관설동 1774-4</t>
        </is>
      </c>
      <c r="AB7" s="0" t="inlineStr">
        <is>
          <t>강원도</t>
        </is>
      </c>
      <c r="AC7" s="0" t="inlineStr">
        <is>
          <t>원주시</t>
        </is>
      </c>
      <c r="AD7" s="0" t="inlineStr">
        <is>
          <t>관설동</t>
        </is>
      </c>
      <c r="AG7" s="0" t="inlineStr">
        <is>
          <t>강원도 원주시 시청로 496</t>
        </is>
      </c>
      <c r="AH7" s="0" t="n">
        <v>0</v>
      </c>
      <c r="AI7" s="0" t="n">
        <v>219</v>
      </c>
      <c r="AJ7" s="0" t="n">
        <v>22</v>
      </c>
      <c r="AK7" s="0" t="n">
        <v>436</v>
      </c>
      <c r="AL7" s="0" t="n">
        <v>1.21</v>
      </c>
    </row>
    <row r="8">
      <c r="A8" s="0" t="inlineStr">
        <is>
          <t>[지정면]</t>
        </is>
      </c>
      <c r="B8" s="0" t="n">
        <v>117764</v>
      </c>
      <c r="C8" s="0" t="n">
        <v>3</v>
      </c>
      <c r="D8" s="0" t="inlineStr">
        <is>
          <t>원주롯데캐슬골드파크1차</t>
        </is>
      </c>
      <c r="E8" s="0" t="inlineStr">
        <is>
          <t>2019.12.</t>
        </is>
      </c>
      <c r="F8" s="0" t="n">
        <v>624</v>
      </c>
      <c r="G8" s="0" t="n">
        <v>33.37</v>
      </c>
      <c r="H8" s="0" t="n">
        <v>110.33</v>
      </c>
      <c r="I8" s="0" t="n">
        <v>25.7</v>
      </c>
      <c r="J8" s="0" t="n">
        <v>84.95999999999999</v>
      </c>
      <c r="K8" s="0" t="n">
        <v>266</v>
      </c>
      <c r="L8" s="0" t="n">
        <v>49000</v>
      </c>
      <c r="M8" s="0" t="n">
        <v>5</v>
      </c>
      <c r="N8" s="0" t="n">
        <v>30000</v>
      </c>
      <c r="O8" s="0" t="n">
        <v>2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127A</t>
        </is>
      </c>
      <c r="X8" s="0" t="n">
        <v>15</v>
      </c>
      <c r="Y8" s="0" t="n">
        <v>9</v>
      </c>
      <c r="Z8" s="0" t="inlineStr">
        <is>
          <t>https://new.land.naver.com/complexes/25807?tab=detail&amp;rf=Y</t>
        </is>
      </c>
      <c r="AA8" s="0" t="inlineStr">
        <is>
          <t>강원도 원주시 단계동 1165</t>
        </is>
      </c>
      <c r="AB8" s="0" t="inlineStr">
        <is>
          <t>강원도</t>
        </is>
      </c>
      <c r="AC8" s="0" t="inlineStr">
        <is>
          <t>원주시</t>
        </is>
      </c>
      <c r="AD8" s="0" t="inlineStr">
        <is>
          <t>단계동</t>
        </is>
      </c>
      <c r="AG8" s="0" t="inlineStr">
        <is>
          <t>강원도 원주시 모란1길 52</t>
        </is>
      </c>
      <c r="AH8" s="0" t="n">
        <v>13</v>
      </c>
      <c r="AI8" s="0" t="n">
        <v>192</v>
      </c>
      <c r="AJ8" s="0" t="n">
        <v>16</v>
      </c>
      <c r="AK8" s="0" t="n">
        <v>363</v>
      </c>
      <c r="AL8" s="0" t="n">
        <v>1.22</v>
      </c>
    </row>
    <row r="9">
      <c r="A9" s="0" t="inlineStr">
        <is>
          <t>[지정면]</t>
        </is>
      </c>
      <c r="B9" s="0" t="n">
        <v>120519</v>
      </c>
      <c r="C9" s="0" t="n">
        <v>3</v>
      </c>
      <c r="D9" s="0" t="inlineStr">
        <is>
          <t>이지더원더그레이스</t>
        </is>
      </c>
      <c r="E9" s="0" t="inlineStr">
        <is>
          <t>2020.06.</t>
        </is>
      </c>
      <c r="F9" s="0" t="n">
        <v>776</v>
      </c>
      <c r="G9" s="0" t="n">
        <v>34.7</v>
      </c>
      <c r="H9" s="0" t="n">
        <v>114.73</v>
      </c>
      <c r="I9" s="0" t="n">
        <v>25.7</v>
      </c>
      <c r="J9" s="0" t="n">
        <v>84.97</v>
      </c>
      <c r="K9" s="0" t="n">
        <v>428</v>
      </c>
      <c r="L9" s="0" t="n">
        <v>45000</v>
      </c>
      <c r="M9" s="0" t="inlineStr">
        <is>
          <t>중</t>
        </is>
      </c>
      <c r="N9" s="0" t="n">
        <v>26000</v>
      </c>
      <c r="O9" s="0" t="inlineStr">
        <is>
          <t>저</t>
        </is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107B</t>
        </is>
      </c>
      <c r="X9" s="0" t="n">
        <v>18</v>
      </c>
      <c r="Y9" s="0" t="n">
        <v>5</v>
      </c>
      <c r="Z9" s="0" t="inlineStr">
        <is>
          <t>https://new.land.naver.com/complexes/6279?tab=detail&amp;rf=Y</t>
        </is>
      </c>
      <c r="AA9" s="0" t="inlineStr">
        <is>
          <t>강원도 원주시 개운동 322</t>
        </is>
      </c>
      <c r="AB9" s="0" t="inlineStr">
        <is>
          <t>강원도</t>
        </is>
      </c>
      <c r="AC9" s="0" t="inlineStr">
        <is>
          <t>원주시</t>
        </is>
      </c>
      <c r="AD9" s="0" t="inlineStr">
        <is>
          <t>개운동</t>
        </is>
      </c>
      <c r="AG9" s="0" t="inlineStr">
        <is>
          <t>강원도 원주시 남원로606번길 2</t>
        </is>
      </c>
      <c r="AH9" s="0" t="n">
        <v>0</v>
      </c>
      <c r="AI9" s="0" t="n">
        <v>302</v>
      </c>
      <c r="AJ9" s="0" t="n">
        <v>28</v>
      </c>
      <c r="AK9" s="0" t="n">
        <v>274</v>
      </c>
      <c r="AL9" s="0" t="n">
        <v>0.67</v>
      </c>
    </row>
    <row r="10">
      <c r="A10" s="0" t="inlineStr">
        <is>
          <t>[지정면]</t>
        </is>
      </c>
      <c r="B10" s="0" t="n">
        <v>111850</v>
      </c>
      <c r="C10" s="0" t="n">
        <v>3</v>
      </c>
      <c r="D10" s="0" t="inlineStr">
        <is>
          <t>원주롯데캐슬더퍼스트2차</t>
        </is>
      </c>
      <c r="E10" s="0" t="inlineStr">
        <is>
          <t>2018.08.</t>
        </is>
      </c>
      <c r="F10" s="0" t="n">
        <v>1116</v>
      </c>
      <c r="G10" s="0" t="n">
        <v>34.3</v>
      </c>
      <c r="H10" s="0" t="n">
        <v>113.41</v>
      </c>
      <c r="I10" s="0" t="n">
        <v>25.7</v>
      </c>
      <c r="J10" s="0" t="n">
        <v>84.95999999999999</v>
      </c>
      <c r="K10" s="0" t="n">
        <v>472</v>
      </c>
      <c r="L10" s="0" t="n">
        <v>45000</v>
      </c>
      <c r="M10" s="0" t="inlineStr">
        <is>
          <t>고</t>
        </is>
      </c>
      <c r="N10" s="0" t="n">
        <v>30000</v>
      </c>
      <c r="O10" s="0" t="n">
        <v>4</v>
      </c>
      <c r="T10" s="0" t="n">
        <v>1</v>
      </c>
      <c r="U10" s="0" t="n">
        <v>1</v>
      </c>
      <c r="V10" s="0" t="inlineStr">
        <is>
          <t>계단식</t>
        </is>
      </c>
      <c r="W10" s="0" t="inlineStr">
        <is>
          <t>45B</t>
        </is>
      </c>
      <c r="X10" s="0" t="n">
        <v>7</v>
      </c>
      <c r="Y10" s="0" t="n">
        <v>7</v>
      </c>
      <c r="Z10" s="0" t="inlineStr">
        <is>
          <t>https://new.land.naver.com/complexes/115100?tab=detail&amp;rf=Y</t>
        </is>
      </c>
      <c r="AA10" s="0" t="inlineStr">
        <is>
          <t>강원도 원주시 단계동 879-9</t>
        </is>
      </c>
      <c r="AB10" s="0" t="inlineStr">
        <is>
          <t>강원도</t>
        </is>
      </c>
      <c r="AC10" s="0" t="inlineStr">
        <is>
          <t>원주시</t>
        </is>
      </c>
      <c r="AD10" s="0" t="inlineStr">
        <is>
          <t>단계동</t>
        </is>
      </c>
      <c r="AG10" s="0" t="inlineStr">
        <is>
          <t>강원도 원주시 로아노크로 5-2</t>
        </is>
      </c>
      <c r="AH10" s="0" t="n">
        <v>0</v>
      </c>
      <c r="AI10" s="0" t="n">
        <v>388</v>
      </c>
      <c r="AJ10" s="0" t="n">
        <v>63</v>
      </c>
      <c r="AK10" s="0" t="n">
        <v>11</v>
      </c>
      <c r="AL10" s="0" t="n">
        <v>0.34</v>
      </c>
    </row>
    <row r="11">
      <c r="A11" s="0" t="inlineStr">
        <is>
          <t>[지정면]</t>
        </is>
      </c>
      <c r="B11" s="0" t="n">
        <v>118527</v>
      </c>
      <c r="C11" s="0" t="n">
        <v>3</v>
      </c>
      <c r="D11" s="0" t="inlineStr">
        <is>
          <t>원주기업도시유보라아이비파크2단지</t>
        </is>
      </c>
      <c r="E11" s="0" t="inlineStr">
        <is>
          <t>2020.01.</t>
        </is>
      </c>
      <c r="F11" s="0" t="n">
        <v>794</v>
      </c>
      <c r="G11" s="0" t="n">
        <v>33.84</v>
      </c>
      <c r="H11" s="0" t="n">
        <v>111.87</v>
      </c>
      <c r="I11" s="0" t="n">
        <v>25.7</v>
      </c>
      <c r="J11" s="0" t="n">
        <v>84.98</v>
      </c>
      <c r="K11" s="0" t="n">
        <v>263</v>
      </c>
      <c r="L11" s="0" t="n">
        <v>41000</v>
      </c>
      <c r="M11" s="0" t="inlineStr">
        <is>
          <t>중</t>
        </is>
      </c>
      <c r="N11" s="0" t="n">
        <v>30000</v>
      </c>
      <c r="O11" s="0" t="n">
        <v>26</v>
      </c>
      <c r="T11" s="0" t="n">
        <v>3</v>
      </c>
      <c r="U11" s="0" t="n">
        <v>1</v>
      </c>
      <c r="V11" s="0" t="inlineStr">
        <is>
          <t>계단식</t>
        </is>
      </c>
      <c r="W11" s="0" t="n">
        <v>77</v>
      </c>
      <c r="X11" s="0" t="n">
        <v>6</v>
      </c>
      <c r="Y11" s="0" t="n">
        <v>6</v>
      </c>
      <c r="Z11" s="0" t="inlineStr">
        <is>
          <t>https://new.land.naver.com/complexes/6282?tab=detail&amp;rf=Y</t>
        </is>
      </c>
      <c r="AA11" s="0" t="inlineStr">
        <is>
          <t>강원도 원주시 개운동 439-5</t>
        </is>
      </c>
      <c r="AB11" s="0" t="inlineStr">
        <is>
          <t>강원도</t>
        </is>
      </c>
      <c r="AC11" s="0" t="inlineStr">
        <is>
          <t>원주시</t>
        </is>
      </c>
      <c r="AD11" s="0" t="inlineStr">
        <is>
          <t>개운동</t>
        </is>
      </c>
      <c r="AG11" s="0" t="inlineStr">
        <is>
          <t>강원도 원주시 송림길 17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[지정면]</t>
        </is>
      </c>
      <c r="B12" s="0" t="n">
        <v>111661</v>
      </c>
      <c r="C12" s="0" t="n">
        <v>2</v>
      </c>
      <c r="D12" s="0" t="inlineStr">
        <is>
          <t>원주기업도시호반베르디움8단지</t>
        </is>
      </c>
      <c r="E12" s="0" t="inlineStr">
        <is>
          <t>2018.08.</t>
        </is>
      </c>
      <c r="F12" s="0" t="n">
        <v>882</v>
      </c>
      <c r="G12" s="0" t="n">
        <v>34.33</v>
      </c>
      <c r="H12" s="0" t="n">
        <v>113.49</v>
      </c>
      <c r="I12" s="0" t="n">
        <v>25.7</v>
      </c>
      <c r="J12" s="0" t="n">
        <v>84.95999999999999</v>
      </c>
      <c r="K12" s="0" t="n">
        <v>407</v>
      </c>
      <c r="L12" s="0" t="n">
        <v>41000</v>
      </c>
      <c r="M12" s="0" t="n">
        <v>16</v>
      </c>
      <c r="N12" s="0" t="n">
        <v>28000</v>
      </c>
      <c r="O12" s="0" t="inlineStr">
        <is>
          <t>고</t>
        </is>
      </c>
      <c r="T12" s="0" t="n">
        <v>1</v>
      </c>
      <c r="U12" s="0" t="n">
        <v>1</v>
      </c>
      <c r="V12" s="0" t="inlineStr">
        <is>
          <t>계단식</t>
        </is>
      </c>
      <c r="W12" s="0" t="inlineStr">
        <is>
          <t>34C</t>
        </is>
      </c>
      <c r="X12" s="0" t="n">
        <v>7</v>
      </c>
      <c r="Y12" s="0" t="n">
        <v>7</v>
      </c>
      <c r="Z12" s="0" t="inlineStr">
        <is>
          <t>https://new.land.naver.com/complexes/115100?tab=detail&amp;rf=Y</t>
        </is>
      </c>
      <c r="AA12" s="0" t="inlineStr">
        <is>
          <t>강원도 원주시 단계동 879-9</t>
        </is>
      </c>
      <c r="AB12" s="0" t="inlineStr">
        <is>
          <t>강원도</t>
        </is>
      </c>
      <c r="AC12" s="0" t="inlineStr">
        <is>
          <t>원주시</t>
        </is>
      </c>
      <c r="AD12" s="0" t="inlineStr">
        <is>
          <t>단계동</t>
        </is>
      </c>
      <c r="AG12" s="0" t="inlineStr">
        <is>
          <t>강원도 원주시 로아노크로 5-2</t>
        </is>
      </c>
      <c r="AH12" s="0" t="n">
        <v>0</v>
      </c>
      <c r="AI12" s="0" t="n">
        <v>388</v>
      </c>
      <c r="AJ12" s="0" t="n">
        <v>63</v>
      </c>
      <c r="AK12" s="0" t="n">
        <v>11</v>
      </c>
      <c r="AL12" s="0" t="n">
        <v>0.34</v>
      </c>
    </row>
    <row r="13">
      <c r="A13" s="0" t="inlineStr">
        <is>
          <t>[지정면]</t>
        </is>
      </c>
      <c r="B13" s="0" t="n">
        <v>111403</v>
      </c>
      <c r="C13" s="0" t="n">
        <v>4</v>
      </c>
      <c r="D13" s="0" t="inlineStr">
        <is>
          <t>원주롯데캐슬더퍼스트</t>
        </is>
      </c>
      <c r="E13" s="0" t="inlineStr">
        <is>
          <t>2018.06.</t>
        </is>
      </c>
      <c r="F13" s="0" t="n">
        <v>1243</v>
      </c>
      <c r="G13" s="0" t="n">
        <v>34.24</v>
      </c>
      <c r="H13" s="0" t="n">
        <v>113.21</v>
      </c>
      <c r="I13" s="0" t="n">
        <v>25.7</v>
      </c>
      <c r="J13" s="0" t="n">
        <v>84.97</v>
      </c>
      <c r="K13" s="0" t="n">
        <v>24</v>
      </c>
      <c r="L13" s="0" t="n">
        <v>41000</v>
      </c>
      <c r="M13" s="0" t="n">
        <v>24</v>
      </c>
      <c r="N13" s="0" t="n">
        <v>30000</v>
      </c>
      <c r="O13" s="0" t="inlineStr">
        <is>
          <t>중</t>
        </is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102A</t>
        </is>
      </c>
      <c r="X13" s="0" t="n">
        <v>19</v>
      </c>
      <c r="Y13" s="0" t="n">
        <v>12</v>
      </c>
      <c r="Z13" s="0" t="inlineStr">
        <is>
          <t>https://new.land.naver.com/complexes/6338?tab=detail&amp;rf=Y</t>
        </is>
      </c>
      <c r="AA13" s="0" t="inlineStr">
        <is>
          <t>강원도 원주시 단계동 507</t>
        </is>
      </c>
      <c r="AB13" s="0" t="inlineStr">
        <is>
          <t>강원도</t>
        </is>
      </c>
      <c r="AC13" s="0" t="inlineStr">
        <is>
          <t>원주시</t>
        </is>
      </c>
      <c r="AD13" s="0" t="inlineStr">
        <is>
          <t>단계동</t>
        </is>
      </c>
      <c r="AG13" s="0" t="inlineStr">
        <is>
          <t>강원도 원주시 원문로 176</t>
        </is>
      </c>
      <c r="AH13" s="0" t="n">
        <v>0</v>
      </c>
      <c r="AI13" s="0" t="n">
        <v>227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[지정면]</t>
        </is>
      </c>
      <c r="B14" s="0" t="n">
        <v>118431</v>
      </c>
      <c r="C14" s="0" t="n">
        <v>3</v>
      </c>
      <c r="D14" s="0" t="inlineStr">
        <is>
          <t>원주기업도시유보라아이비파크1단지</t>
        </is>
      </c>
      <c r="E14" s="0" t="inlineStr">
        <is>
          <t>2020.01.</t>
        </is>
      </c>
      <c r="F14" s="0" t="n">
        <v>548</v>
      </c>
      <c r="G14" s="0" t="n">
        <v>33.17</v>
      </c>
      <c r="H14" s="0" t="n">
        <v>109.66</v>
      </c>
      <c r="I14" s="0" t="n">
        <v>25.7</v>
      </c>
      <c r="J14" s="0" t="n">
        <v>84.98</v>
      </c>
      <c r="K14" s="0" t="n">
        <v>180</v>
      </c>
      <c r="L14" s="0" t="n">
        <v>40000</v>
      </c>
      <c r="M14" s="0" t="inlineStr">
        <is>
          <t>중</t>
        </is>
      </c>
      <c r="N14" s="0" t="n">
        <v>27000</v>
      </c>
      <c r="O14" s="0" t="inlineStr">
        <is>
          <t>중</t>
        </is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107A</t>
        </is>
      </c>
      <c r="X14" s="0" t="n">
        <v>18</v>
      </c>
      <c r="Y14" s="0" t="n">
        <v>5</v>
      </c>
      <c r="Z14" s="0" t="inlineStr">
        <is>
          <t>https://new.land.naver.com/complexes/6279?tab=detail&amp;rf=Y</t>
        </is>
      </c>
      <c r="AA14" s="0" t="inlineStr">
        <is>
          <t>강원도 원주시 개운동 322</t>
        </is>
      </c>
      <c r="AB14" s="0" t="inlineStr">
        <is>
          <t>강원도</t>
        </is>
      </c>
      <c r="AC14" s="0" t="inlineStr">
        <is>
          <t>원주시</t>
        </is>
      </c>
      <c r="AD14" s="0" t="inlineStr">
        <is>
          <t>개운동</t>
        </is>
      </c>
      <c r="AG14" s="0" t="inlineStr">
        <is>
          <t>강원도 원주시 남원로606번길 2</t>
        </is>
      </c>
      <c r="AH14" s="0" t="n">
        <v>0</v>
      </c>
      <c r="AI14" s="0" t="n">
        <v>302</v>
      </c>
      <c r="AJ14" s="0" t="n">
        <v>28</v>
      </c>
      <c r="AK14" s="0" t="n">
        <v>274</v>
      </c>
      <c r="AL14" s="0" t="n">
        <v>0.67</v>
      </c>
    </row>
    <row r="15">
      <c r="A15" s="0" t="inlineStr">
        <is>
          <t>[지정면]</t>
        </is>
      </c>
      <c r="B15" s="0" t="n">
        <v>114282</v>
      </c>
      <c r="C15" s="0" t="n">
        <v>2</v>
      </c>
      <c r="D15" s="0" t="inlineStr">
        <is>
          <t>원주기업도시호반베르디움(3-1블록)</t>
        </is>
      </c>
      <c r="E15" s="0" t="inlineStr">
        <is>
          <t>2019.05.</t>
        </is>
      </c>
      <c r="F15" s="0" t="n">
        <v>892</v>
      </c>
      <c r="G15" s="0" t="n">
        <v>33.57</v>
      </c>
      <c r="H15" s="0" t="n">
        <v>111</v>
      </c>
      <c r="I15" s="0" t="n">
        <v>25.68</v>
      </c>
      <c r="J15" s="0" t="n">
        <v>84.90000000000001</v>
      </c>
      <c r="K15" s="0" t="n">
        <v>532</v>
      </c>
      <c r="L15" s="0" t="n">
        <v>40000</v>
      </c>
      <c r="M15" s="0" t="n">
        <v>4</v>
      </c>
      <c r="N15" s="0" t="n">
        <v>30000</v>
      </c>
      <c r="O15" s="0" t="inlineStr">
        <is>
          <t>고</t>
        </is>
      </c>
      <c r="T15" s="0" t="n">
        <v>4</v>
      </c>
      <c r="U15" s="0" t="n">
        <v>2</v>
      </c>
      <c r="V15" s="0" t="inlineStr">
        <is>
          <t>계단식</t>
        </is>
      </c>
      <c r="W15" s="0" t="n">
        <v>146</v>
      </c>
      <c r="X15" s="0" t="n">
        <v>15</v>
      </c>
      <c r="Y15" s="0" t="n">
        <v>11</v>
      </c>
      <c r="Z15" s="0" t="inlineStr">
        <is>
          <t>https://new.land.naver.com/complexes/25806?tab=detail&amp;rf=Y</t>
        </is>
      </c>
      <c r="AA15" s="0" t="inlineStr">
        <is>
          <t>강원도 원주시 단계동 1166</t>
        </is>
      </c>
      <c r="AB15" s="0" t="inlineStr">
        <is>
          <t>강원도</t>
        </is>
      </c>
      <c r="AC15" s="0" t="inlineStr">
        <is>
          <t>원주시</t>
        </is>
      </c>
      <c r="AD15" s="0" t="inlineStr">
        <is>
          <t>단계동</t>
        </is>
      </c>
      <c r="AG15" s="0" t="inlineStr">
        <is>
          <t>강원도 원주시 모란1길 51</t>
        </is>
      </c>
      <c r="AH15" s="0" t="n">
        <v>7</v>
      </c>
      <c r="AI15" s="0" t="n">
        <v>224</v>
      </c>
      <c r="AJ15" s="0" t="n">
        <v>19</v>
      </c>
      <c r="AK15" s="0" t="n">
        <v>642</v>
      </c>
      <c r="AL15" s="0" t="n">
        <v>1.39</v>
      </c>
    </row>
    <row r="16">
      <c r="A16" s="0" t="inlineStr">
        <is>
          <t>[지정면]</t>
        </is>
      </c>
      <c r="B16" s="0" t="n">
        <v>114283</v>
      </c>
      <c r="C16" s="0" t="n">
        <v>2</v>
      </c>
      <c r="D16" s="0" t="inlineStr">
        <is>
          <t>원주기업도시호반베르디움(3-2블록)</t>
        </is>
      </c>
      <c r="E16" s="0" t="inlineStr">
        <is>
          <t>2019.05.</t>
        </is>
      </c>
      <c r="F16" s="0" t="n">
        <v>824</v>
      </c>
      <c r="G16" s="0" t="n">
        <v>33.55</v>
      </c>
      <c r="H16" s="0" t="n">
        <v>110.92</v>
      </c>
      <c r="I16" s="0" t="n">
        <v>25.68</v>
      </c>
      <c r="J16" s="0" t="n">
        <v>84.90000000000001</v>
      </c>
      <c r="K16" s="0" t="n">
        <v>494</v>
      </c>
      <c r="L16" s="0" t="n">
        <v>40000</v>
      </c>
      <c r="M16" s="0" t="n">
        <v>6</v>
      </c>
      <c r="N16" s="0" t="n">
        <v>30000</v>
      </c>
      <c r="O16" s="0" t="inlineStr">
        <is>
          <t>저</t>
        </is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87B</t>
        </is>
      </c>
      <c r="X16" s="0" t="n">
        <v>24</v>
      </c>
      <c r="Y16" s="0" t="n">
        <v>18</v>
      </c>
      <c r="Z16" s="0" t="inlineStr">
        <is>
          <t>https://new.land.naver.com/complexes/109371?tab=detail&amp;rf=Y</t>
        </is>
      </c>
      <c r="AA16" s="0" t="inlineStr">
        <is>
          <t>강원도 원주시 단계동 1215</t>
        </is>
      </c>
      <c r="AB16" s="0" t="inlineStr">
        <is>
          <t>강원도</t>
        </is>
      </c>
      <c r="AC16" s="0" t="inlineStr">
        <is>
          <t>원주시</t>
        </is>
      </c>
      <c r="AD16" s="0" t="inlineStr">
        <is>
          <t>단계동</t>
        </is>
      </c>
      <c r="AG16" s="0" t="inlineStr">
        <is>
          <t>강원도 원주시 백간길 17</t>
        </is>
      </c>
      <c r="AH16" s="0" t="n">
        <v>0</v>
      </c>
      <c r="AI16" s="0" t="n">
        <v>228</v>
      </c>
      <c r="AJ16" s="0" t="n">
        <v>15</v>
      </c>
      <c r="AK16" s="0" t="n">
        <v>739</v>
      </c>
      <c r="AL16" s="0" t="n">
        <v>1.31</v>
      </c>
    </row>
    <row r="17">
      <c r="A17" s="0" t="inlineStr">
        <is>
          <t>[지정면]</t>
        </is>
      </c>
      <c r="B17" s="0" t="n">
        <v>113162</v>
      </c>
      <c r="C17" s="0" t="n">
        <v>2</v>
      </c>
      <c r="D17" s="0" t="inlineStr">
        <is>
          <t>원주기업도시라온프라이빗</t>
        </is>
      </c>
      <c r="E17" s="0" t="inlineStr">
        <is>
          <t>2018.12.</t>
        </is>
      </c>
      <c r="F17" s="0" t="n">
        <v>713</v>
      </c>
      <c r="G17" s="0" t="n">
        <v>34.3</v>
      </c>
      <c r="H17" s="0" t="n">
        <v>113.42</v>
      </c>
      <c r="I17" s="0" t="n">
        <v>25.62</v>
      </c>
      <c r="J17" s="0" t="n">
        <v>84.7</v>
      </c>
      <c r="K17" s="0" t="n">
        <v>178</v>
      </c>
      <c r="L17" s="0" t="n">
        <v>39000</v>
      </c>
      <c r="M17" s="0" t="n">
        <v>9</v>
      </c>
      <c r="N17" s="0" t="n">
        <v>27000</v>
      </c>
      <c r="O17" s="0" t="inlineStr">
        <is>
          <t>중</t>
        </is>
      </c>
      <c r="T17" s="0" t="n">
        <v>4</v>
      </c>
      <c r="U17" s="0" t="n">
        <v>2</v>
      </c>
      <c r="V17" s="0" t="inlineStr">
        <is>
          <t>계단식</t>
        </is>
      </c>
      <c r="W17" s="0" t="n">
        <v>137</v>
      </c>
      <c r="X17" s="0" t="n">
        <v>15</v>
      </c>
      <c r="Y17" s="0" t="n">
        <v>15</v>
      </c>
      <c r="Z17" s="0" t="inlineStr">
        <is>
          <t>https://new.land.naver.com/complexes/6320?tab=detail&amp;rf=Y</t>
        </is>
      </c>
      <c r="AA17" s="0" t="inlineStr">
        <is>
          <t>강원도 원주시 단계동 1084-1</t>
        </is>
      </c>
      <c r="AB17" s="0" t="inlineStr">
        <is>
          <t>강원도</t>
        </is>
      </c>
      <c r="AC17" s="0" t="inlineStr">
        <is>
          <t>원주시</t>
        </is>
      </c>
      <c r="AD17" s="0" t="inlineStr">
        <is>
          <t>단계동</t>
        </is>
      </c>
      <c r="AG17" s="0" t="inlineStr">
        <is>
          <t>강원도 원주시 모래내길 50</t>
        </is>
      </c>
      <c r="AH17" s="0" t="n">
        <v>0</v>
      </c>
      <c r="AI17" s="0" t="n">
        <v>246</v>
      </c>
      <c r="AJ17" s="0" t="n">
        <v>19</v>
      </c>
      <c r="AK17" s="0" t="n">
        <v>266</v>
      </c>
      <c r="AL17" s="0" t="n">
        <v>2.22</v>
      </c>
    </row>
    <row r="18">
      <c r="A18" s="0" t="inlineStr">
        <is>
          <t>[지정면]</t>
        </is>
      </c>
      <c r="B18" s="0" t="n">
        <v>120519</v>
      </c>
      <c r="C18" s="0" t="n">
        <v>1</v>
      </c>
      <c r="D18" s="0" t="inlineStr">
        <is>
          <t>이지더원더그레이스</t>
        </is>
      </c>
      <c r="E18" s="0" t="inlineStr">
        <is>
          <t>2020.06.</t>
        </is>
      </c>
      <c r="F18" s="0" t="n">
        <v>776</v>
      </c>
      <c r="G18" s="0" t="n">
        <v>24.79</v>
      </c>
      <c r="H18" s="0" t="n">
        <v>81.95999999999999</v>
      </c>
      <c r="I18" s="0" t="n">
        <v>18.14</v>
      </c>
      <c r="J18" s="0" t="n">
        <v>59.99</v>
      </c>
      <c r="K18" s="0" t="n">
        <v>172</v>
      </c>
      <c r="L18" s="0" t="n">
        <v>35000</v>
      </c>
      <c r="M18" s="0" t="inlineStr">
        <is>
          <t>고</t>
        </is>
      </c>
      <c r="N18" s="0" t="n">
        <v>19000</v>
      </c>
      <c r="O18" s="0" t="inlineStr">
        <is>
          <t>중</t>
        </is>
      </c>
      <c r="T18" s="0" t="n">
        <v>3</v>
      </c>
      <c r="U18" s="0" t="n">
        <v>2</v>
      </c>
      <c r="V18" s="0" t="inlineStr">
        <is>
          <t>계단식</t>
        </is>
      </c>
      <c r="W18" s="0" t="n">
        <v>102</v>
      </c>
      <c r="X18" s="0" t="n">
        <v>15</v>
      </c>
      <c r="Y18" s="0" t="n">
        <v>8</v>
      </c>
      <c r="Z18" s="0" t="inlineStr">
        <is>
          <t>https://new.land.naver.com/complexes/14562?tab=detail&amp;rf=Y</t>
        </is>
      </c>
      <c r="AA18" s="0" t="inlineStr">
        <is>
          <t>강원도 원주시 개운동 118-26</t>
        </is>
      </c>
      <c r="AB18" s="0" t="inlineStr">
        <is>
          <t>강원도</t>
        </is>
      </c>
      <c r="AC18" s="0" t="inlineStr">
        <is>
          <t>원주시</t>
        </is>
      </c>
      <c r="AD18" s="0" t="inlineStr">
        <is>
          <t>개운동</t>
        </is>
      </c>
      <c r="AG18" s="0" t="inlineStr">
        <is>
          <t>강원도 원주시 치악로 1777</t>
        </is>
      </c>
      <c r="AH18" s="0" t="n">
        <v>0</v>
      </c>
      <c r="AI18" s="0" t="n">
        <v>4</v>
      </c>
      <c r="AJ18" s="0" t="n">
        <v>19</v>
      </c>
      <c r="AK18" s="0" t="n">
        <v>70</v>
      </c>
      <c r="AL18" s="0" t="n">
        <v>0.51</v>
      </c>
    </row>
    <row r="19">
      <c r="A19" s="0" t="inlineStr">
        <is>
          <t>[지정면]</t>
        </is>
      </c>
      <c r="B19" s="0" t="n">
        <v>117765</v>
      </c>
      <c r="C19" s="0" t="n">
        <v>1</v>
      </c>
      <c r="D19" s="0" t="inlineStr">
        <is>
          <t>원주롯데캐슬골드파크2차</t>
        </is>
      </c>
      <c r="E19" s="0" t="inlineStr">
        <is>
          <t>2019.12.</t>
        </is>
      </c>
      <c r="F19" s="0" t="n">
        <v>536</v>
      </c>
      <c r="G19" s="0" t="n">
        <v>24.55</v>
      </c>
      <c r="H19" s="0" t="n">
        <v>81.19</v>
      </c>
      <c r="I19" s="0" t="n">
        <v>18.14</v>
      </c>
      <c r="J19" s="0" t="n">
        <v>59.98</v>
      </c>
      <c r="K19" s="0" t="n">
        <v>128</v>
      </c>
      <c r="L19" s="0" t="n">
        <v>35000</v>
      </c>
      <c r="M19" s="0" t="inlineStr">
        <is>
          <t>고</t>
        </is>
      </c>
      <c r="N19" s="0" t="n">
        <v>21000</v>
      </c>
      <c r="O19" s="0" t="inlineStr">
        <is>
          <t>중</t>
        </is>
      </c>
      <c r="T19" s="0" t="n">
        <v>3</v>
      </c>
      <c r="U19" s="0" t="n">
        <v>2</v>
      </c>
      <c r="V19" s="0" t="inlineStr">
        <is>
          <t>계단식</t>
        </is>
      </c>
      <c r="W19" s="0" t="n">
        <v>104</v>
      </c>
      <c r="X19" s="0" t="n">
        <v>15</v>
      </c>
      <c r="Y19" s="0" t="n">
        <v>9</v>
      </c>
      <c r="Z19" s="0" t="inlineStr">
        <is>
          <t>https://new.land.naver.com/complexes/19747?tab=detail&amp;rf=Y</t>
        </is>
      </c>
      <c r="AA19" s="0" t="inlineStr">
        <is>
          <t>강원도 원주시 관설동 1774-2</t>
        </is>
      </c>
      <c r="AB19" s="0" t="inlineStr">
        <is>
          <t>강원도</t>
        </is>
      </c>
      <c r="AC19" s="0" t="inlineStr">
        <is>
          <t>원주시</t>
        </is>
      </c>
      <c r="AD19" s="0" t="inlineStr">
        <is>
          <t>관설동</t>
        </is>
      </c>
      <c r="AG19" s="0" t="inlineStr">
        <is>
          <t>강원도 원주시 시청로 494</t>
        </is>
      </c>
      <c r="AH19" s="0" t="n">
        <v>0</v>
      </c>
      <c r="AI19" s="0" t="n">
        <v>218</v>
      </c>
      <c r="AJ19" s="0" t="n">
        <v>23</v>
      </c>
      <c r="AK19" s="0" t="n">
        <v>429</v>
      </c>
      <c r="AL19" s="0" t="n">
        <v>1.22</v>
      </c>
    </row>
    <row r="20">
      <c r="A20" s="0" t="inlineStr">
        <is>
          <t>[지정면]</t>
        </is>
      </c>
      <c r="B20" s="0" t="n">
        <v>114284</v>
      </c>
      <c r="C20" s="0" t="n">
        <v>2</v>
      </c>
      <c r="D20" s="0" t="inlineStr">
        <is>
          <t>이지더원1차</t>
        </is>
      </c>
      <c r="E20" s="0" t="inlineStr">
        <is>
          <t>2019.01.</t>
        </is>
      </c>
      <c r="F20" s="0" t="n">
        <v>1430</v>
      </c>
      <c r="G20" s="0" t="n">
        <v>33.51</v>
      </c>
      <c r="H20" s="0" t="n">
        <v>110.8</v>
      </c>
      <c r="I20" s="0" t="n">
        <v>25.7</v>
      </c>
      <c r="J20" s="0" t="n">
        <v>84.98</v>
      </c>
      <c r="K20" s="0" t="n">
        <v>880</v>
      </c>
      <c r="L20" s="0" t="n">
        <v>35000</v>
      </c>
      <c r="M20" s="0" t="n">
        <v>4</v>
      </c>
      <c r="N20" s="0" t="n">
        <v>26000</v>
      </c>
      <c r="O20" s="0" t="inlineStr">
        <is>
          <t>고</t>
        </is>
      </c>
      <c r="T20" s="0" t="n">
        <v>3</v>
      </c>
      <c r="U20" s="0" t="n">
        <v>1</v>
      </c>
      <c r="V20" s="0" t="inlineStr">
        <is>
          <t>계단식</t>
        </is>
      </c>
      <c r="W20" s="0" t="n">
        <v>73</v>
      </c>
      <c r="X20" s="0" t="n">
        <v>15</v>
      </c>
      <c r="Y20" s="0" t="n">
        <v>5</v>
      </c>
      <c r="Z20" s="0" t="inlineStr">
        <is>
          <t>https://new.land.naver.com/complexes/6298?tab=detail&amp;rf=Y</t>
        </is>
      </c>
      <c r="AA20" s="0" t="inlineStr">
        <is>
          <t>강원도 원주시 단계동 111-47</t>
        </is>
      </c>
      <c r="AB20" s="0" t="inlineStr">
        <is>
          <t>강원도</t>
        </is>
      </c>
      <c r="AC20" s="0" t="inlineStr">
        <is>
          <t>원주시</t>
        </is>
      </c>
      <c r="AD20" s="0" t="inlineStr">
        <is>
          <t>단계동</t>
        </is>
      </c>
      <c r="AG20" s="0" t="inlineStr">
        <is>
          <t>강원도 원주시 원문로 160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[지정면]</t>
        </is>
      </c>
      <c r="B21" s="0" t="n">
        <v>117764</v>
      </c>
      <c r="C21" s="0" t="n">
        <v>1</v>
      </c>
      <c r="D21" s="0" t="inlineStr">
        <is>
          <t>원주롯데캐슬골드파크1차</t>
        </is>
      </c>
      <c r="E21" s="0" t="inlineStr">
        <is>
          <t>2019.12.</t>
        </is>
      </c>
      <c r="F21" s="0" t="n">
        <v>624</v>
      </c>
      <c r="G21" s="0" t="n">
        <v>24.68</v>
      </c>
      <c r="H21" s="0" t="n">
        <v>81.61</v>
      </c>
      <c r="I21" s="0" t="n">
        <v>18.14</v>
      </c>
      <c r="J21" s="0" t="n">
        <v>59.98</v>
      </c>
      <c r="K21" s="0" t="n">
        <v>157</v>
      </c>
      <c r="L21" s="0" t="n">
        <v>33000</v>
      </c>
      <c r="M21" s="0" t="inlineStr">
        <is>
          <t>고</t>
        </is>
      </c>
      <c r="N21" s="0" t="n">
        <v>23000</v>
      </c>
      <c r="O21" s="0" t="n">
        <v>6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111B</t>
        </is>
      </c>
      <c r="X21" s="0" t="n">
        <v>15</v>
      </c>
      <c r="Y21" s="0" t="n">
        <v>9</v>
      </c>
      <c r="Z21" s="0" t="inlineStr">
        <is>
          <t>https://new.land.naver.com/complexes/25807?tab=detail&amp;rf=Y</t>
        </is>
      </c>
      <c r="AA21" s="0" t="inlineStr">
        <is>
          <t>강원도 원주시 단계동 1165</t>
        </is>
      </c>
      <c r="AB21" s="0" t="inlineStr">
        <is>
          <t>강원도</t>
        </is>
      </c>
      <c r="AC21" s="0" t="inlineStr">
        <is>
          <t>원주시</t>
        </is>
      </c>
      <c r="AD21" s="0" t="inlineStr">
        <is>
          <t>단계동</t>
        </is>
      </c>
      <c r="AG21" s="0" t="inlineStr">
        <is>
          <t>강원도 원주시 모란1길 52</t>
        </is>
      </c>
      <c r="AH21" s="0" t="n">
        <v>13</v>
      </c>
      <c r="AI21" s="0" t="n">
        <v>192</v>
      </c>
      <c r="AJ21" s="0" t="n">
        <v>16</v>
      </c>
      <c r="AK21" s="0" t="n">
        <v>363</v>
      </c>
      <c r="AL21" s="0" t="n">
        <v>1.22</v>
      </c>
    </row>
    <row r="22">
      <c r="A22" s="0" t="inlineStr">
        <is>
          <t>[지정면]</t>
        </is>
      </c>
      <c r="B22" s="0" t="n">
        <v>118527</v>
      </c>
      <c r="C22" s="0" t="n">
        <v>2</v>
      </c>
      <c r="D22" s="0" t="inlineStr">
        <is>
          <t>원주기업도시유보라아이비파크2단지</t>
        </is>
      </c>
      <c r="E22" s="0" t="inlineStr">
        <is>
          <t>2020.01.</t>
        </is>
      </c>
      <c r="F22" s="0" t="n">
        <v>794</v>
      </c>
      <c r="G22" s="0" t="n">
        <v>24.36</v>
      </c>
      <c r="H22" s="0" t="n">
        <v>80.54000000000001</v>
      </c>
      <c r="I22" s="0" t="n">
        <v>18.14</v>
      </c>
      <c r="J22" s="0" t="n">
        <v>59.98</v>
      </c>
      <c r="K22" s="0" t="n">
        <v>34</v>
      </c>
      <c r="L22" s="0" t="n">
        <v>30000</v>
      </c>
      <c r="M22" s="0" t="n">
        <v>9</v>
      </c>
      <c r="N22" s="0" t="n">
        <v>23000</v>
      </c>
      <c r="O22" s="0" t="n">
        <v>28</v>
      </c>
      <c r="T22" s="0" t="n">
        <v>4</v>
      </c>
      <c r="U22" s="0" t="n">
        <v>2</v>
      </c>
      <c r="V22" s="0" t="inlineStr">
        <is>
          <t>계단식</t>
        </is>
      </c>
      <c r="W22" s="0" t="n">
        <v>135</v>
      </c>
      <c r="X22" s="0" t="n">
        <v>15</v>
      </c>
      <c r="Y22" s="0" t="n">
        <v>12</v>
      </c>
      <c r="Z22" s="0" t="inlineStr">
        <is>
          <t>https://new.land.naver.com/complexes/6286?tab=detail&amp;rf=Y</t>
        </is>
      </c>
      <c r="AA22" s="0" t="inlineStr">
        <is>
          <t>강원도 원주시 개운동 328-1</t>
        </is>
      </c>
      <c r="AB22" s="0" t="inlineStr">
        <is>
          <t>강원도</t>
        </is>
      </c>
      <c r="AC22" s="0" t="inlineStr">
        <is>
          <t>원주시</t>
        </is>
      </c>
      <c r="AD22" s="0" t="inlineStr">
        <is>
          <t>개운동</t>
        </is>
      </c>
      <c r="AG22" s="0" t="inlineStr">
        <is>
          <t>강원도 원주시 치악로1735번길 56</t>
        </is>
      </c>
      <c r="AH22" s="0" t="n">
        <v>0</v>
      </c>
      <c r="AI22" s="0" t="n">
        <v>307</v>
      </c>
      <c r="AJ22" s="0" t="n">
        <v>26</v>
      </c>
      <c r="AK22" s="0" t="n">
        <v>0</v>
      </c>
      <c r="AL22" s="0" t="n">
        <v>0</v>
      </c>
    </row>
    <row r="23">
      <c r="A23" s="0" t="inlineStr">
        <is>
          <t>[지정면]</t>
        </is>
      </c>
      <c r="B23" s="0" t="n">
        <v>114283</v>
      </c>
      <c r="C23" s="0" t="n">
        <v>1</v>
      </c>
      <c r="D23" s="0" t="inlineStr">
        <is>
          <t>원주기업도시호반베르디움(3-2블록)</t>
        </is>
      </c>
      <c r="E23" s="0" t="inlineStr">
        <is>
          <t>2019.05.</t>
        </is>
      </c>
      <c r="F23" s="0" t="n">
        <v>824</v>
      </c>
      <c r="G23" s="0" t="n">
        <v>25.14</v>
      </c>
      <c r="H23" s="0" t="n">
        <v>83.12</v>
      </c>
      <c r="I23" s="0" t="n">
        <v>18.14</v>
      </c>
      <c r="J23" s="0" t="n">
        <v>59.99</v>
      </c>
      <c r="K23" s="0" t="n">
        <v>244</v>
      </c>
      <c r="L23" s="0" t="n">
        <v>29000</v>
      </c>
      <c r="M23" s="0" t="n">
        <v>4</v>
      </c>
      <c r="N23" s="0" t="n">
        <v>21000</v>
      </c>
      <c r="O23" s="0" t="n">
        <v>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87A</t>
        </is>
      </c>
      <c r="X23" s="0" t="n">
        <v>24</v>
      </c>
      <c r="Y23" s="0" t="n">
        <v>18</v>
      </c>
      <c r="Z23" s="0" t="inlineStr">
        <is>
          <t>https://new.land.naver.com/complexes/109371?tab=detail&amp;rf=Y</t>
        </is>
      </c>
      <c r="AA23" s="0" t="inlineStr">
        <is>
          <t>강원도 원주시 단계동 1215</t>
        </is>
      </c>
      <c r="AB23" s="0" t="inlineStr">
        <is>
          <t>강원도</t>
        </is>
      </c>
      <c r="AC23" s="0" t="inlineStr">
        <is>
          <t>원주시</t>
        </is>
      </c>
      <c r="AD23" s="0" t="inlineStr">
        <is>
          <t>단계동</t>
        </is>
      </c>
      <c r="AG23" s="0" t="inlineStr">
        <is>
          <t>강원도 원주시 백간길 17</t>
        </is>
      </c>
      <c r="AH23" s="0" t="n">
        <v>0</v>
      </c>
      <c r="AI23" s="0" t="n">
        <v>228</v>
      </c>
      <c r="AJ23" s="0" t="n">
        <v>15</v>
      </c>
      <c r="AK23" s="0" t="n">
        <v>739</v>
      </c>
      <c r="AL23" s="0" t="n">
        <v>1.31</v>
      </c>
    </row>
    <row r="24">
      <c r="A24" s="0" t="inlineStr">
        <is>
          <t>[지정면]</t>
        </is>
      </c>
      <c r="B24" s="0" t="n">
        <v>111661</v>
      </c>
      <c r="C24" s="0" t="n">
        <v>1</v>
      </c>
      <c r="D24" s="0" t="inlineStr">
        <is>
          <t>원주기업도시호반베르디움8단지</t>
        </is>
      </c>
      <c r="E24" s="0" t="inlineStr">
        <is>
          <t>2018.08.</t>
        </is>
      </c>
      <c r="F24" s="0" t="n">
        <v>882</v>
      </c>
      <c r="G24" s="0" t="n">
        <v>25.92</v>
      </c>
      <c r="H24" s="0" t="n">
        <v>85.69</v>
      </c>
      <c r="I24" s="0" t="n">
        <v>18.13</v>
      </c>
      <c r="J24" s="0" t="n">
        <v>59.94</v>
      </c>
      <c r="K24" s="0" t="n">
        <v>337</v>
      </c>
      <c r="L24" s="0" t="n">
        <v>29000</v>
      </c>
      <c r="M24" s="0" t="n">
        <v>7</v>
      </c>
      <c r="N24" s="0" t="n">
        <v>20000</v>
      </c>
      <c r="O24" s="0" t="n">
        <v>2</v>
      </c>
      <c r="T24" s="0" t="n">
        <v>1</v>
      </c>
      <c r="U24" s="0" t="n">
        <v>1</v>
      </c>
      <c r="V24" s="0" t="inlineStr">
        <is>
          <t>계단식</t>
        </is>
      </c>
      <c r="W24" s="0" t="inlineStr">
        <is>
          <t>34B</t>
        </is>
      </c>
      <c r="X24" s="0" t="n">
        <v>7</v>
      </c>
      <c r="Y24" s="0" t="n">
        <v>7</v>
      </c>
      <c r="Z24" s="0" t="inlineStr">
        <is>
          <t>https://new.land.naver.com/complexes/115100?tab=detail&amp;rf=Y</t>
        </is>
      </c>
      <c r="AA24" s="0" t="inlineStr">
        <is>
          <t>강원도 원주시 단계동 879-9</t>
        </is>
      </c>
      <c r="AB24" s="0" t="inlineStr">
        <is>
          <t>강원도</t>
        </is>
      </c>
      <c r="AC24" s="0" t="inlineStr">
        <is>
          <t>원주시</t>
        </is>
      </c>
      <c r="AD24" s="0" t="inlineStr">
        <is>
          <t>단계동</t>
        </is>
      </c>
      <c r="AG24" s="0" t="inlineStr">
        <is>
          <t>강원도 원주시 로아노크로 5-2</t>
        </is>
      </c>
      <c r="AH24" s="0" t="n">
        <v>0</v>
      </c>
      <c r="AI24" s="0" t="n">
        <v>388</v>
      </c>
      <c r="AJ24" s="0" t="n">
        <v>63</v>
      </c>
      <c r="AK24" s="0" t="n">
        <v>11</v>
      </c>
      <c r="AL24" s="0" t="n">
        <v>0.34</v>
      </c>
    </row>
    <row r="25">
      <c r="A25" s="0" t="inlineStr">
        <is>
          <t>[지정면]</t>
        </is>
      </c>
      <c r="B25" s="0" t="n">
        <v>111850</v>
      </c>
      <c r="C25" s="0" t="n">
        <v>1</v>
      </c>
      <c r="D25" s="0" t="inlineStr">
        <is>
          <t>원주롯데캐슬더퍼스트2차</t>
        </is>
      </c>
      <c r="E25" s="0" t="inlineStr">
        <is>
          <t>2018.08.</t>
        </is>
      </c>
      <c r="F25" s="0" t="n">
        <v>1116</v>
      </c>
      <c r="G25" s="0" t="n">
        <v>25.58</v>
      </c>
      <c r="H25" s="0" t="n">
        <v>84.56999999999999</v>
      </c>
      <c r="I25" s="0" t="n">
        <v>18.14</v>
      </c>
      <c r="J25" s="0" t="n">
        <v>59.99</v>
      </c>
      <c r="K25" s="0" t="n">
        <v>571</v>
      </c>
      <c r="L25" s="0" t="n">
        <v>29000</v>
      </c>
      <c r="M25" s="0" t="n">
        <v>28</v>
      </c>
      <c r="N25" s="0" t="n">
        <v>22000</v>
      </c>
      <c r="O25" s="0" t="n">
        <v>4</v>
      </c>
      <c r="T25" s="0" t="n">
        <v>1</v>
      </c>
      <c r="U25" s="0" t="n">
        <v>1</v>
      </c>
      <c r="V25" s="0" t="inlineStr">
        <is>
          <t>계단식</t>
        </is>
      </c>
      <c r="W25" s="0" t="inlineStr">
        <is>
          <t>40B</t>
        </is>
      </c>
      <c r="X25" s="0" t="n">
        <v>7</v>
      </c>
      <c r="Y25" s="0" t="n">
        <v>7</v>
      </c>
      <c r="Z25" s="0" t="inlineStr">
        <is>
          <t>https://new.land.naver.com/complexes/115100?tab=detail&amp;rf=Y</t>
        </is>
      </c>
      <c r="AA25" s="0" t="inlineStr">
        <is>
          <t>강원도 원주시 단계동 879-9</t>
        </is>
      </c>
      <c r="AB25" s="0" t="inlineStr">
        <is>
          <t>강원도</t>
        </is>
      </c>
      <c r="AC25" s="0" t="inlineStr">
        <is>
          <t>원주시</t>
        </is>
      </c>
      <c r="AD25" s="0" t="inlineStr">
        <is>
          <t>단계동</t>
        </is>
      </c>
      <c r="AG25" s="0" t="inlineStr">
        <is>
          <t>강원도 원주시 로아노크로 5-2</t>
        </is>
      </c>
      <c r="AH25" s="0" t="n">
        <v>0</v>
      </c>
      <c r="AI25" s="0" t="n">
        <v>388</v>
      </c>
      <c r="AJ25" s="0" t="n">
        <v>63</v>
      </c>
      <c r="AK25" s="0" t="n">
        <v>11</v>
      </c>
      <c r="AL25" s="0" t="n">
        <v>0.34</v>
      </c>
    </row>
    <row r="26">
      <c r="A26" s="0" t="inlineStr">
        <is>
          <t>[지정면]</t>
        </is>
      </c>
      <c r="B26" s="0" t="n">
        <v>111403</v>
      </c>
      <c r="C26" s="0" t="n">
        <v>1</v>
      </c>
      <c r="D26" s="0" t="inlineStr">
        <is>
          <t>원주롯데캐슬더퍼스트</t>
        </is>
      </c>
      <c r="E26" s="0" t="inlineStr">
        <is>
          <t>2018.06.</t>
        </is>
      </c>
      <c r="F26" s="0" t="n">
        <v>1243</v>
      </c>
      <c r="G26" s="0" t="n">
        <v>25.73</v>
      </c>
      <c r="H26" s="0" t="n">
        <v>85.09</v>
      </c>
      <c r="I26" s="0" t="n">
        <v>18.14</v>
      </c>
      <c r="J26" s="0" t="n">
        <v>59.99</v>
      </c>
      <c r="K26" s="0" t="n">
        <v>532</v>
      </c>
      <c r="L26" s="0" t="n">
        <v>29000</v>
      </c>
      <c r="M26" s="0" t="n">
        <v>27</v>
      </c>
      <c r="N26" s="0" t="n">
        <v>20000</v>
      </c>
      <c r="O26" s="0" t="n">
        <v>18</v>
      </c>
      <c r="T26" s="0" t="n">
        <v>4</v>
      </c>
      <c r="U26" s="0" t="n">
        <v>2</v>
      </c>
      <c r="V26" s="0" t="inlineStr">
        <is>
          <t>계단식</t>
        </is>
      </c>
      <c r="W26" s="0" t="n">
        <v>156</v>
      </c>
      <c r="X26" s="0" t="n">
        <v>15</v>
      </c>
      <c r="Y26" s="0" t="n">
        <v>11</v>
      </c>
      <c r="Z26" s="0" t="inlineStr">
        <is>
          <t>https://new.land.naver.com/complexes/6301?tab=detail&amp;rf=Y</t>
        </is>
      </c>
      <c r="AA26" s="0" t="inlineStr">
        <is>
          <t>강원도 원주시 단계동 808-1</t>
        </is>
      </c>
      <c r="AB26" s="0" t="inlineStr">
        <is>
          <t>강원도</t>
        </is>
      </c>
      <c r="AC26" s="0" t="inlineStr">
        <is>
          <t>원주시</t>
        </is>
      </c>
      <c r="AD26" s="0" t="inlineStr">
        <is>
          <t>단계동</t>
        </is>
      </c>
      <c r="AG26" s="0" t="inlineStr">
        <is>
          <t>강원도 원주시 백간길 72</t>
        </is>
      </c>
      <c r="AH26" s="0" t="n">
        <v>0</v>
      </c>
      <c r="AI26" s="0" t="n">
        <v>169</v>
      </c>
      <c r="AJ26" s="0" t="n">
        <v>20</v>
      </c>
      <c r="AK26" s="0" t="n">
        <v>333</v>
      </c>
      <c r="AL26" s="0" t="n">
        <v>1.36</v>
      </c>
    </row>
    <row r="27">
      <c r="A27" s="0" t="inlineStr">
        <is>
          <t>[지정면]</t>
        </is>
      </c>
      <c r="B27" s="0" t="n">
        <v>114282</v>
      </c>
      <c r="C27" s="0" t="n">
        <v>1</v>
      </c>
      <c r="D27" s="0" t="inlineStr">
        <is>
          <t>원주기업도시호반베르디움(3-1블록)</t>
        </is>
      </c>
      <c r="E27" s="0" t="inlineStr">
        <is>
          <t>2019.05.</t>
        </is>
      </c>
      <c r="F27" s="0" t="n">
        <v>892</v>
      </c>
      <c r="G27" s="0" t="n">
        <v>25.13</v>
      </c>
      <c r="H27" s="0" t="n">
        <v>83.09</v>
      </c>
      <c r="I27" s="0" t="n">
        <v>18.14</v>
      </c>
      <c r="J27" s="0" t="n">
        <v>59.99</v>
      </c>
      <c r="K27" s="0" t="n">
        <v>270</v>
      </c>
      <c r="L27" s="0" t="n">
        <v>28000</v>
      </c>
      <c r="M27" s="0" t="inlineStr">
        <is>
          <t>중</t>
        </is>
      </c>
      <c r="N27" s="0" t="n">
        <v>20000</v>
      </c>
      <c r="O27" s="0" t="inlineStr">
        <is>
          <t>중</t>
        </is>
      </c>
      <c r="T27" s="0" t="n">
        <v>3</v>
      </c>
      <c r="U27" s="0" t="n">
        <v>2</v>
      </c>
      <c r="V27" s="0" t="inlineStr">
        <is>
          <t>계단식</t>
        </is>
      </c>
      <c r="W27" s="0" t="n">
        <v>126</v>
      </c>
      <c r="X27" s="0" t="n">
        <v>15</v>
      </c>
      <c r="Y27" s="0" t="n">
        <v>11</v>
      </c>
      <c r="Z27" s="0" t="inlineStr">
        <is>
          <t>https://new.land.naver.com/complexes/25806?tab=detail&amp;rf=Y</t>
        </is>
      </c>
      <c r="AA27" s="0" t="inlineStr">
        <is>
          <t>강원도 원주시 단계동 1166</t>
        </is>
      </c>
      <c r="AB27" s="0" t="inlineStr">
        <is>
          <t>강원도</t>
        </is>
      </c>
      <c r="AC27" s="0" t="inlineStr">
        <is>
          <t>원주시</t>
        </is>
      </c>
      <c r="AD27" s="0" t="inlineStr">
        <is>
          <t>단계동</t>
        </is>
      </c>
      <c r="AG27" s="0" t="inlineStr">
        <is>
          <t>강원도 원주시 모란1길 51</t>
        </is>
      </c>
      <c r="AH27" s="0" t="n">
        <v>7</v>
      </c>
      <c r="AI27" s="0" t="n">
        <v>224</v>
      </c>
      <c r="AJ27" s="0" t="n">
        <v>19</v>
      </c>
      <c r="AK27" s="0" t="n">
        <v>642</v>
      </c>
      <c r="AL27" s="0" t="n">
        <v>1.39</v>
      </c>
    </row>
    <row r="28">
      <c r="A28" s="0" t="inlineStr">
        <is>
          <t>[지정면]</t>
        </is>
      </c>
      <c r="B28" s="0" t="n">
        <v>118431</v>
      </c>
      <c r="C28" s="0" t="n">
        <v>1</v>
      </c>
      <c r="D28" s="0" t="inlineStr">
        <is>
          <t>원주기업도시유보라아이비파크1단지</t>
        </is>
      </c>
      <c r="E28" s="0" t="inlineStr">
        <is>
          <t>2020.01.</t>
        </is>
      </c>
      <c r="F28" s="0" t="n">
        <v>548</v>
      </c>
      <c r="G28" s="0" t="n">
        <v>24.59</v>
      </c>
      <c r="H28" s="0" t="n">
        <v>81.3</v>
      </c>
      <c r="I28" s="0" t="n">
        <v>18.14</v>
      </c>
      <c r="J28" s="0" t="n">
        <v>59.98</v>
      </c>
      <c r="K28" s="0" t="n">
        <v>178</v>
      </c>
      <c r="L28" s="0" t="n">
        <v>27000</v>
      </c>
      <c r="M28" s="0" t="inlineStr">
        <is>
          <t>중</t>
        </is>
      </c>
      <c r="N28" s="0" t="n">
        <v>22000</v>
      </c>
      <c r="O28" s="0" t="inlineStr">
        <is>
          <t>저</t>
        </is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107D</t>
        </is>
      </c>
      <c r="X28" s="0" t="n">
        <v>18</v>
      </c>
      <c r="Y28" s="0" t="n">
        <v>5</v>
      </c>
      <c r="Z28" s="0" t="inlineStr">
        <is>
          <t>https://new.land.naver.com/complexes/6279?tab=detail&amp;rf=Y</t>
        </is>
      </c>
      <c r="AA28" s="0" t="inlineStr">
        <is>
          <t>강원도 원주시 개운동 322</t>
        </is>
      </c>
      <c r="AB28" s="0" t="inlineStr">
        <is>
          <t>강원도</t>
        </is>
      </c>
      <c r="AC28" s="0" t="inlineStr">
        <is>
          <t>원주시</t>
        </is>
      </c>
      <c r="AD28" s="0" t="inlineStr">
        <is>
          <t>개운동</t>
        </is>
      </c>
      <c r="AG28" s="0" t="inlineStr">
        <is>
          <t>강원도 원주시 남원로606번길 2</t>
        </is>
      </c>
      <c r="AH28" s="0" t="n">
        <v>0</v>
      </c>
      <c r="AI28" s="0" t="n">
        <v>302</v>
      </c>
      <c r="AJ28" s="0" t="n">
        <v>28</v>
      </c>
      <c r="AK28" s="0" t="n">
        <v>274</v>
      </c>
      <c r="AL28" s="0" t="n">
        <v>0.67</v>
      </c>
    </row>
    <row r="29">
      <c r="A29" s="0" t="inlineStr">
        <is>
          <t>[지정면]</t>
        </is>
      </c>
      <c r="B29" s="0" t="n">
        <v>113162</v>
      </c>
      <c r="C29" s="0" t="n">
        <v>1</v>
      </c>
      <c r="D29" s="0" t="inlineStr">
        <is>
          <t>원주기업도시라온프라이빗</t>
        </is>
      </c>
      <c r="E29" s="0" t="inlineStr">
        <is>
          <t>2018.12.</t>
        </is>
      </c>
      <c r="F29" s="0" t="n">
        <v>713</v>
      </c>
      <c r="G29" s="0" t="n">
        <v>24.62</v>
      </c>
      <c r="H29" s="0" t="n">
        <v>81.40000000000001</v>
      </c>
      <c r="I29" s="0" t="n">
        <v>18.08</v>
      </c>
      <c r="J29" s="0" t="n">
        <v>59.78</v>
      </c>
      <c r="K29" s="0" t="n">
        <v>280</v>
      </c>
      <c r="L29" s="0" t="n">
        <v>27000</v>
      </c>
      <c r="M29" s="0" t="n">
        <v>9</v>
      </c>
      <c r="N29" s="0" t="n">
        <v>20000</v>
      </c>
      <c r="O29" s="0" t="n">
        <v>18</v>
      </c>
      <c r="T29" s="0" t="n">
        <v>3</v>
      </c>
      <c r="U29" s="0" t="n">
        <v>2</v>
      </c>
      <c r="V29" s="0" t="inlineStr">
        <is>
          <t>계단식</t>
        </is>
      </c>
      <c r="W29" s="0" t="n">
        <v>105</v>
      </c>
      <c r="X29" s="0" t="n">
        <v>15</v>
      </c>
      <c r="Y29" s="0" t="n">
        <v>15</v>
      </c>
      <c r="Z29" s="0" t="inlineStr">
        <is>
          <t>https://new.land.naver.com/complexes/6320?tab=detail&amp;rf=Y</t>
        </is>
      </c>
      <c r="AA29" s="0" t="inlineStr">
        <is>
          <t>강원도 원주시 단계동 1084-1</t>
        </is>
      </c>
      <c r="AB29" s="0" t="inlineStr">
        <is>
          <t>강원도</t>
        </is>
      </c>
      <c r="AC29" s="0" t="inlineStr">
        <is>
          <t>원주시</t>
        </is>
      </c>
      <c r="AD29" s="0" t="inlineStr">
        <is>
          <t>단계동</t>
        </is>
      </c>
      <c r="AG29" s="0" t="inlineStr">
        <is>
          <t>강원도 원주시 모래내길 50</t>
        </is>
      </c>
      <c r="AH29" s="0" t="n">
        <v>0</v>
      </c>
      <c r="AI29" s="0" t="n">
        <v>246</v>
      </c>
      <c r="AJ29" s="0" t="n">
        <v>19</v>
      </c>
      <c r="AK29" s="0" t="n">
        <v>266</v>
      </c>
      <c r="AL29" s="0" t="n">
        <v>2.22</v>
      </c>
    </row>
    <row r="30">
      <c r="A30" s="0" t="inlineStr">
        <is>
          <t>[지정면]</t>
        </is>
      </c>
      <c r="B30" s="0" t="n">
        <v>114284</v>
      </c>
      <c r="C30" s="0" t="n">
        <v>1</v>
      </c>
      <c r="D30" s="0" t="inlineStr">
        <is>
          <t>이지더원1차</t>
        </is>
      </c>
      <c r="E30" s="0" t="inlineStr">
        <is>
          <t>2019.01.</t>
        </is>
      </c>
      <c r="F30" s="0" t="n">
        <v>1430</v>
      </c>
      <c r="G30" s="0" t="n">
        <v>24.07</v>
      </c>
      <c r="H30" s="0" t="n">
        <v>79.59999999999999</v>
      </c>
      <c r="I30" s="0" t="n">
        <v>18.13</v>
      </c>
      <c r="J30" s="0" t="n">
        <v>59.94</v>
      </c>
      <c r="K30" s="0" t="n">
        <v>470</v>
      </c>
      <c r="L30" s="0" t="n">
        <v>25500</v>
      </c>
      <c r="M30" s="0" t="n">
        <v>6</v>
      </c>
      <c r="N30" s="0" t="n">
        <v>20000</v>
      </c>
      <c r="O30" s="0" t="inlineStr">
        <is>
          <t>고</t>
        </is>
      </c>
      <c r="T30" s="0" t="n">
        <v>2</v>
      </c>
      <c r="U30" s="0" t="n">
        <v>1</v>
      </c>
      <c r="V30" s="0" t="inlineStr">
        <is>
          <t>복도식</t>
        </is>
      </c>
      <c r="W30" s="0" t="n">
        <v>61</v>
      </c>
      <c r="X30" s="0" t="n">
        <v>15</v>
      </c>
      <c r="Y30" s="0" t="n">
        <v>5</v>
      </c>
      <c r="Z30" s="0" t="inlineStr">
        <is>
          <t>https://new.land.naver.com/complexes/6298?tab=detail&amp;rf=Y</t>
        </is>
      </c>
      <c r="AA30" s="0" t="inlineStr">
        <is>
          <t>강원도 원주시 단계동 111-47</t>
        </is>
      </c>
      <c r="AB30" s="0" t="inlineStr">
        <is>
          <t>강원도</t>
        </is>
      </c>
      <c r="AC30" s="0" t="inlineStr">
        <is>
          <t>원주시</t>
        </is>
      </c>
      <c r="AD30" s="0" t="inlineStr">
        <is>
          <t>단계동</t>
        </is>
      </c>
      <c r="AG30" s="0" t="inlineStr">
        <is>
          <t>강원도 원주시 원문로 160</t>
        </is>
      </c>
      <c r="AH30" s="0" t="n">
        <v>0</v>
      </c>
      <c r="AI30" s="0" t="n">
        <v>0</v>
      </c>
      <c r="AJ30" s="0" t="n">
        <v>0</v>
      </c>
      <c r="AK30" s="0" t="n">
        <v>0</v>
      </c>
      <c r="AL30" s="0" t="n">
        <v>0</v>
      </c>
    </row>
    <row r="31">
      <c r="A31" s="0" t="inlineStr">
        <is>
          <t>[우산동]</t>
        </is>
      </c>
      <c r="B31" s="0" t="n">
        <v>105025</v>
      </c>
      <c r="C31" s="0" t="n">
        <v>4</v>
      </c>
      <c r="D31" s="0" t="inlineStr">
        <is>
          <t>한라비발디2차</t>
        </is>
      </c>
      <c r="E31" s="0" t="inlineStr">
        <is>
          <t>2014.09.</t>
        </is>
      </c>
      <c r="F31" s="0" t="n">
        <v>717</v>
      </c>
      <c r="G31" s="0" t="n">
        <v>33.4</v>
      </c>
      <c r="H31" s="0" t="n">
        <v>110.42</v>
      </c>
      <c r="I31" s="0" t="n">
        <v>25.56</v>
      </c>
      <c r="J31" s="0" t="n">
        <v>84.52</v>
      </c>
      <c r="K31" s="0" t="n">
        <v>236</v>
      </c>
      <c r="L31" s="0" t="n">
        <v>30000</v>
      </c>
      <c r="M31" s="0" t="n">
        <v>10</v>
      </c>
      <c r="N31" s="0" t="n">
        <v>27000</v>
      </c>
      <c r="O31" s="0" t="n">
        <v>16</v>
      </c>
      <c r="T31" s="0" t="n">
        <v>3</v>
      </c>
      <c r="U31" s="0" t="n">
        <v>2</v>
      </c>
      <c r="V31" s="0" t="inlineStr">
        <is>
          <t>계단식</t>
        </is>
      </c>
      <c r="W31" s="0" t="n">
        <v>126</v>
      </c>
      <c r="X31" s="0" t="n">
        <v>24</v>
      </c>
      <c r="Y31" s="0" t="n">
        <v>24</v>
      </c>
      <c r="Z31" s="0" t="inlineStr">
        <is>
          <t>https://new.land.naver.com/complexes/105676?tab=detail&amp;rf=Y</t>
        </is>
      </c>
      <c r="AA31" s="0" t="inlineStr">
        <is>
          <t>강원도 원주시 단구동 1026-26</t>
        </is>
      </c>
      <c r="AB31" s="0" t="inlineStr">
        <is>
          <t>강원도</t>
        </is>
      </c>
      <c r="AC31" s="0" t="inlineStr">
        <is>
          <t>원주시</t>
        </is>
      </c>
      <c r="AD31" s="0" t="inlineStr">
        <is>
          <t>단구동</t>
        </is>
      </c>
      <c r="AG31" s="0" t="inlineStr">
        <is>
          <t>강원도 원주시 서원대로 434</t>
        </is>
      </c>
      <c r="AH31" s="0" t="n">
        <v>0</v>
      </c>
      <c r="AI31" s="0" t="n">
        <v>962</v>
      </c>
      <c r="AJ31" s="0" t="n">
        <v>69</v>
      </c>
      <c r="AK31" s="0" t="n">
        <v>212</v>
      </c>
      <c r="AL31" s="0" t="n">
        <v>1.68</v>
      </c>
    </row>
    <row r="32">
      <c r="A32" s="0" t="inlineStr">
        <is>
          <t>[반곡동]</t>
        </is>
      </c>
      <c r="B32" s="0" t="n">
        <v>109370</v>
      </c>
      <c r="C32" s="0" t="n">
        <v>1</v>
      </c>
      <c r="D32" s="0" t="inlineStr">
        <is>
          <t>중흥에스-클래스프라디움</t>
        </is>
      </c>
      <c r="E32" s="0" t="inlineStr">
        <is>
          <t>2016.10.</t>
        </is>
      </c>
      <c r="F32" s="0" t="n">
        <v>850</v>
      </c>
      <c r="G32" s="0" t="n">
        <v>34.06</v>
      </c>
      <c r="H32" s="0" t="n">
        <v>112.61</v>
      </c>
      <c r="I32" s="0" t="n">
        <v>25.7</v>
      </c>
      <c r="J32" s="0" t="n">
        <v>84.98999999999999</v>
      </c>
      <c r="K32" s="0" t="n">
        <v>246</v>
      </c>
      <c r="L32" s="0" t="n">
        <v>48000</v>
      </c>
      <c r="M32" s="0" t="inlineStr">
        <is>
          <t>고</t>
        </is>
      </c>
      <c r="N32" s="0" t="n">
        <v>36000</v>
      </c>
      <c r="O32" s="0" t="inlineStr">
        <is>
          <t>고</t>
        </is>
      </c>
      <c r="T32" s="0" t="n">
        <v>2</v>
      </c>
      <c r="U32" s="0" t="n">
        <v>1</v>
      </c>
      <c r="V32" s="0" t="inlineStr">
        <is>
          <t>계단식</t>
        </is>
      </c>
      <c r="W32" s="0" t="n">
        <v>57</v>
      </c>
      <c r="X32" s="0" t="n">
        <v>5</v>
      </c>
      <c r="Y32" s="0" t="n">
        <v>5</v>
      </c>
      <c r="Z32" s="0" t="inlineStr">
        <is>
          <t>https://new.land.naver.com/complexes/14576?tab=detail&amp;rf=Y</t>
        </is>
      </c>
      <c r="AA32" s="0" t="inlineStr">
        <is>
          <t>강원도 원주시 단구동 186-13</t>
        </is>
      </c>
      <c r="AB32" s="0" t="inlineStr">
        <is>
          <t>강원도</t>
        </is>
      </c>
      <c r="AC32" s="0" t="inlineStr">
        <is>
          <t>원주시</t>
        </is>
      </c>
      <c r="AD32" s="0" t="inlineStr">
        <is>
          <t>단구동</t>
        </is>
      </c>
      <c r="AG32" s="0" t="inlineStr">
        <is>
          <t>강원도 원주시 치악로 1652</t>
        </is>
      </c>
      <c r="AH32" s="0" t="n">
        <v>0</v>
      </c>
      <c r="AI32" s="0" t="n">
        <v>0</v>
      </c>
      <c r="AJ32" s="0" t="n">
        <v>0</v>
      </c>
      <c r="AK32" s="0" t="n">
        <v>0</v>
      </c>
      <c r="AL32" s="0" t="n">
        <v>0</v>
      </c>
    </row>
    <row r="33">
      <c r="A33" s="0" t="inlineStr">
        <is>
          <t>[반곡동]</t>
        </is>
      </c>
      <c r="B33" s="0" t="n">
        <v>106689</v>
      </c>
      <c r="C33" s="0" t="n">
        <v>1</v>
      </c>
      <c r="D33" s="0" t="inlineStr">
        <is>
          <t>힐데스하임5단지</t>
        </is>
      </c>
      <c r="E33" s="0" t="inlineStr">
        <is>
          <t>2015.05.</t>
        </is>
      </c>
      <c r="F33" s="0" t="n">
        <v>682</v>
      </c>
      <c r="G33" s="0" t="n">
        <v>34.73</v>
      </c>
      <c r="H33" s="0" t="n">
        <v>114.81</v>
      </c>
      <c r="I33" s="0" t="n">
        <v>25.69</v>
      </c>
      <c r="J33" s="0" t="n">
        <v>84.95</v>
      </c>
      <c r="K33" s="0" t="n">
        <v>216</v>
      </c>
      <c r="L33" s="0" t="n">
        <v>48000</v>
      </c>
      <c r="M33" s="0" t="inlineStr">
        <is>
          <t>중</t>
        </is>
      </c>
      <c r="N33" s="0" t="n">
        <v>37000</v>
      </c>
      <c r="O33" s="0" t="n">
        <v>1</v>
      </c>
      <c r="T33" s="0" t="n">
        <v>3</v>
      </c>
      <c r="U33" s="0" t="n">
        <v>1</v>
      </c>
      <c r="V33" s="0" t="inlineStr">
        <is>
          <t>복도식</t>
        </is>
      </c>
      <c r="W33" s="0" t="n">
        <v>95</v>
      </c>
      <c r="X33" s="0" t="n">
        <v>19</v>
      </c>
      <c r="Y33" s="0" t="n">
        <v>8</v>
      </c>
      <c r="Z33" s="0" t="inlineStr">
        <is>
          <t>https://new.land.naver.com/complexes/6352?tab=detail&amp;rf=Y</t>
        </is>
      </c>
      <c r="AA33" s="0" t="inlineStr">
        <is>
          <t>강원도 원주시 단구동 186-2</t>
        </is>
      </c>
      <c r="AB33" s="0" t="inlineStr">
        <is>
          <t>강원도</t>
        </is>
      </c>
      <c r="AC33" s="0" t="inlineStr">
        <is>
          <t>원주시</t>
        </is>
      </c>
      <c r="AD33" s="0" t="inlineStr">
        <is>
          <t>단구동</t>
        </is>
      </c>
      <c r="AG33" s="0" t="inlineStr">
        <is>
          <t>강원도 원주시 치악로 1634</t>
        </is>
      </c>
      <c r="AH33" s="0" t="n">
        <v>0</v>
      </c>
      <c r="AI33" s="0" t="n">
        <v>308</v>
      </c>
      <c r="AJ33" s="0" t="n">
        <v>21</v>
      </c>
      <c r="AK33" s="0" t="n">
        <v>249</v>
      </c>
      <c r="AL33" s="0" t="n">
        <v>0.72</v>
      </c>
    </row>
    <row r="34">
      <c r="A34" s="0" t="inlineStr">
        <is>
          <t>[반곡동]</t>
        </is>
      </c>
      <c r="B34" s="0" t="n">
        <v>109839</v>
      </c>
      <c r="C34" s="0" t="n">
        <v>1</v>
      </c>
      <c r="D34" s="0" t="inlineStr">
        <is>
          <t>반곡모아엘가</t>
        </is>
      </c>
      <c r="E34" s="0" t="inlineStr">
        <is>
          <t>2017.07.</t>
        </is>
      </c>
      <c r="F34" s="0" t="n">
        <v>418</v>
      </c>
      <c r="G34" s="0" t="n">
        <v>33.14</v>
      </c>
      <c r="H34" s="0" t="n">
        <v>109.58</v>
      </c>
      <c r="I34" s="0" t="n">
        <v>25.68</v>
      </c>
      <c r="J34" s="0" t="n">
        <v>84.92</v>
      </c>
      <c r="K34" s="0" t="n">
        <v>258</v>
      </c>
      <c r="L34" s="0" t="n">
        <v>40000</v>
      </c>
      <c r="M34" s="0" t="n">
        <v>4</v>
      </c>
      <c r="N34" s="0" t="n">
        <v>35000</v>
      </c>
      <c r="O34" s="0" t="inlineStr">
        <is>
          <t>고</t>
        </is>
      </c>
      <c r="T34" s="0" t="n">
        <v>3</v>
      </c>
      <c r="U34" s="0" t="n">
        <v>1</v>
      </c>
      <c r="V34" s="0" t="inlineStr">
        <is>
          <t>계단식</t>
        </is>
      </c>
      <c r="W34" s="0" t="n">
        <v>79</v>
      </c>
      <c r="X34" s="0" t="n">
        <v>15</v>
      </c>
      <c r="Y34" s="0" t="n">
        <v>9</v>
      </c>
      <c r="Z34" s="0" t="inlineStr">
        <is>
          <t>https://new.land.naver.com/complexes/27349?tab=detail&amp;rf=Y</t>
        </is>
      </c>
      <c r="AA34" s="0" t="inlineStr">
        <is>
          <t>강원도 원주시 단구동 1679</t>
        </is>
      </c>
      <c r="AB34" s="0" t="inlineStr">
        <is>
          <t>강원도</t>
        </is>
      </c>
      <c r="AC34" s="0" t="inlineStr">
        <is>
          <t>원주시</t>
        </is>
      </c>
      <c r="AD34" s="0" t="inlineStr">
        <is>
          <t>단구동</t>
        </is>
      </c>
      <c r="AG34" s="0" t="inlineStr">
        <is>
          <t>강원도 원주시 단구로 406</t>
        </is>
      </c>
      <c r="AH34" s="0" t="n">
        <v>0</v>
      </c>
      <c r="AI34" s="0" t="n">
        <v>182</v>
      </c>
      <c r="AJ34" s="0" t="n">
        <v>30</v>
      </c>
      <c r="AK34" s="0" t="n">
        <v>337</v>
      </c>
      <c r="AL34" s="0" t="n">
        <v>0.93</v>
      </c>
    </row>
    <row r="35">
      <c r="A35" s="0" t="inlineStr">
        <is>
          <t>[반곡동]</t>
        </is>
      </c>
      <c r="B35" s="0" t="n">
        <v>141657</v>
      </c>
      <c r="C35" s="0" t="n">
        <v>2</v>
      </c>
      <c r="D35" s="0" t="inlineStr">
        <is>
          <t>푸른숨LH3단지</t>
        </is>
      </c>
      <c r="E35" s="0" t="inlineStr">
        <is>
          <t>2015.06.</t>
        </is>
      </c>
      <c r="F35" s="0" t="n">
        <v>728</v>
      </c>
      <c r="G35" s="0" t="n">
        <v>33.15</v>
      </c>
      <c r="H35" s="0" t="n">
        <v>109.6</v>
      </c>
      <c r="I35" s="0" t="n">
        <v>25.68</v>
      </c>
      <c r="J35" s="0" t="n">
        <v>84.91</v>
      </c>
      <c r="K35" s="0" t="n">
        <v>191</v>
      </c>
      <c r="L35" s="0" t="n">
        <v>39000</v>
      </c>
      <c r="M35" s="0" t="n">
        <v>9</v>
      </c>
      <c r="N35" s="0" t="n">
        <v>29000</v>
      </c>
      <c r="O35" s="0" t="inlineStr">
        <is>
          <t>고</t>
        </is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108C</t>
        </is>
      </c>
      <c r="X35" s="0" t="n">
        <v>20</v>
      </c>
      <c r="Y35" s="0" t="n">
        <v>12</v>
      </c>
      <c r="Z35" s="0" t="inlineStr">
        <is>
          <t>https://new.land.naver.com/complexes/120251?tab=detail&amp;rf=Y</t>
        </is>
      </c>
      <c r="AA35" s="0" t="inlineStr">
        <is>
          <t>강원도 원주시 단구동 1711</t>
        </is>
      </c>
      <c r="AB35" s="0" t="inlineStr">
        <is>
          <t>강원도</t>
        </is>
      </c>
      <c r="AC35" s="0" t="inlineStr">
        <is>
          <t>원주시</t>
        </is>
      </c>
      <c r="AD35" s="0" t="inlineStr">
        <is>
          <t>단구동</t>
        </is>
      </c>
      <c r="AG35" s="0" t="inlineStr">
        <is>
          <t>강원도 원주시 오성마을길 63-30</t>
        </is>
      </c>
      <c r="AH35" s="0" t="n">
        <v>0</v>
      </c>
      <c r="AI35" s="0" t="n">
        <v>238</v>
      </c>
      <c r="AJ35" s="0" t="n">
        <v>20</v>
      </c>
      <c r="AK35" s="0" t="n">
        <v>459</v>
      </c>
      <c r="AL35" s="0" t="n">
        <v>1.32</v>
      </c>
    </row>
    <row r="36">
      <c r="A36" s="0" t="inlineStr">
        <is>
          <t>[반곡동]</t>
        </is>
      </c>
      <c r="B36" s="0" t="n">
        <v>113931</v>
      </c>
      <c r="C36" s="0" t="n">
        <v>3</v>
      </c>
      <c r="D36" s="0" t="inlineStr">
        <is>
          <t>e편한세상반곡</t>
        </is>
      </c>
      <c r="E36" s="0" t="inlineStr">
        <is>
          <t>2018.11.</t>
        </is>
      </c>
      <c r="F36" s="0" t="n">
        <v>508</v>
      </c>
      <c r="G36" s="0" t="n">
        <v>33.66</v>
      </c>
      <c r="H36" s="0" t="n">
        <v>111.28</v>
      </c>
      <c r="I36" s="0" t="n">
        <v>25.7</v>
      </c>
      <c r="J36" s="0" t="n">
        <v>84.98999999999999</v>
      </c>
      <c r="K36" s="0" t="n">
        <v>84</v>
      </c>
      <c r="L36" s="0" t="n">
        <v>37500</v>
      </c>
      <c r="M36" s="0" t="inlineStr">
        <is>
          <t>중</t>
        </is>
      </c>
      <c r="N36" s="0" t="n">
        <v>30000</v>
      </c>
      <c r="O36" s="0" t="n">
        <v>6</v>
      </c>
      <c r="T36" s="0" t="n">
        <v>1</v>
      </c>
      <c r="U36" s="0" t="n">
        <v>1</v>
      </c>
      <c r="V36" s="0" t="inlineStr">
        <is>
          <t>계단식</t>
        </is>
      </c>
      <c r="W36" s="0" t="inlineStr">
        <is>
          <t>33A</t>
        </is>
      </c>
      <c r="X36" s="0" t="n">
        <v>7</v>
      </c>
      <c r="Y36" s="0" t="n">
        <v>7</v>
      </c>
      <c r="Z36" s="0" t="inlineStr">
        <is>
          <t>https://new.land.naver.com/complexes/115100?tab=detail&amp;rf=Y</t>
        </is>
      </c>
      <c r="AA36" s="0" t="inlineStr">
        <is>
          <t>강원도 원주시 단계동 879-9</t>
        </is>
      </c>
      <c r="AB36" s="0" t="inlineStr">
        <is>
          <t>강원도</t>
        </is>
      </c>
      <c r="AC36" s="0" t="inlineStr">
        <is>
          <t>원주시</t>
        </is>
      </c>
      <c r="AD36" s="0" t="inlineStr">
        <is>
          <t>단계동</t>
        </is>
      </c>
      <c r="AG36" s="0" t="inlineStr">
        <is>
          <t>강원도 원주시 로아노크로 5-2</t>
        </is>
      </c>
      <c r="AH36" s="0" t="n">
        <v>0</v>
      </c>
      <c r="AI36" s="0" t="n">
        <v>388</v>
      </c>
      <c r="AJ36" s="0" t="n">
        <v>63</v>
      </c>
      <c r="AK36" s="0" t="n">
        <v>11</v>
      </c>
      <c r="AL36" s="0" t="n">
        <v>0.34</v>
      </c>
    </row>
    <row r="37">
      <c r="A37" s="0" t="inlineStr">
        <is>
          <t>[반곡동]</t>
        </is>
      </c>
      <c r="B37" s="0" t="n">
        <v>117793</v>
      </c>
      <c r="C37" s="0" t="n">
        <v>2</v>
      </c>
      <c r="D37" s="0" t="inlineStr">
        <is>
          <t>LH센트럴파크</t>
        </is>
      </c>
      <c r="E37" s="0" t="inlineStr">
        <is>
          <t>2019.02.</t>
        </is>
      </c>
      <c r="F37" s="0" t="n">
        <v>855</v>
      </c>
      <c r="G37" s="0" t="n">
        <v>33.55</v>
      </c>
      <c r="H37" s="0" t="n">
        <v>110.93</v>
      </c>
      <c r="I37" s="0" t="n">
        <v>25.7</v>
      </c>
      <c r="J37" s="0" t="n">
        <v>84.98</v>
      </c>
      <c r="K37" s="0" t="n">
        <v>601</v>
      </c>
      <c r="L37" s="0" t="n">
        <v>36500</v>
      </c>
      <c r="M37" s="0" t="inlineStr">
        <is>
          <t>중</t>
        </is>
      </c>
      <c r="N37" s="0" t="n">
        <v>30000</v>
      </c>
      <c r="O37" s="0" t="inlineStr">
        <is>
          <t>고</t>
        </is>
      </c>
      <c r="T37" s="0" t="n">
        <v>3</v>
      </c>
      <c r="U37" s="0" t="n">
        <v>1</v>
      </c>
      <c r="V37" s="0" t="inlineStr">
        <is>
          <t>계단식</t>
        </is>
      </c>
      <c r="W37" s="0" t="n">
        <v>80</v>
      </c>
      <c r="X37" s="0" t="n">
        <v>15</v>
      </c>
      <c r="Y37" s="0" t="n">
        <v>14</v>
      </c>
      <c r="Z37" s="0" t="inlineStr">
        <is>
          <t>https://new.land.naver.com/complexes/6329?tab=detail&amp;rf=Y</t>
        </is>
      </c>
      <c r="AA37" s="0" t="inlineStr">
        <is>
          <t>강원도 원주시 단계동 880</t>
        </is>
      </c>
      <c r="AB37" s="0" t="inlineStr">
        <is>
          <t>강원도</t>
        </is>
      </c>
      <c r="AC37" s="0" t="inlineStr">
        <is>
          <t>원주시</t>
        </is>
      </c>
      <c r="AD37" s="0" t="inlineStr">
        <is>
          <t>단계동</t>
        </is>
      </c>
      <c r="AG37" s="0" t="inlineStr">
        <is>
          <t>강원도 원주시 로아노크로 15</t>
        </is>
      </c>
      <c r="AH37" s="0" t="n">
        <v>0</v>
      </c>
      <c r="AI37" s="0" t="n">
        <v>175</v>
      </c>
      <c r="AJ37" s="0" t="n">
        <v>17</v>
      </c>
      <c r="AK37" s="0" t="n">
        <v>0</v>
      </c>
      <c r="AL37" s="0" t="n">
        <v>0</v>
      </c>
    </row>
    <row r="38">
      <c r="A38" s="0" t="inlineStr">
        <is>
          <t>[반곡동]</t>
        </is>
      </c>
      <c r="B38" s="0" t="n">
        <v>105031</v>
      </c>
      <c r="C38" s="0" t="n">
        <v>2</v>
      </c>
      <c r="D38" s="0" t="inlineStr">
        <is>
          <t>푸른숨휴브레스</t>
        </is>
      </c>
      <c r="E38" s="0" t="inlineStr">
        <is>
          <t>2013.12.</t>
        </is>
      </c>
      <c r="F38" s="0" t="n">
        <v>1110</v>
      </c>
      <c r="G38" s="0" t="n">
        <v>33</v>
      </c>
      <c r="H38" s="0" t="n">
        <v>109.12</v>
      </c>
      <c r="I38" s="0" t="n">
        <v>25.68</v>
      </c>
      <c r="J38" s="0" t="n">
        <v>84.92</v>
      </c>
      <c r="K38" s="0" t="n">
        <v>770</v>
      </c>
      <c r="L38" s="0" t="n">
        <v>35000</v>
      </c>
      <c r="M38" s="0" t="inlineStr">
        <is>
          <t>고</t>
        </is>
      </c>
      <c r="N38" s="0" t="n">
        <v>30000</v>
      </c>
      <c r="O38" s="0" t="inlineStr">
        <is>
          <t>중</t>
        </is>
      </c>
      <c r="T38" s="0" t="n">
        <v>3</v>
      </c>
      <c r="U38" s="0" t="n">
        <v>1</v>
      </c>
      <c r="V38" s="0" t="inlineStr">
        <is>
          <t>복도식</t>
        </is>
      </c>
      <c r="W38" s="0" t="n">
        <v>79</v>
      </c>
      <c r="X38" s="0" t="n">
        <v>15</v>
      </c>
      <c r="Y38" s="0" t="n">
        <v>10</v>
      </c>
      <c r="Z38" s="0" t="inlineStr">
        <is>
          <t>https://new.land.naver.com/complexes/26103?tab=detail&amp;rf=Y</t>
        </is>
      </c>
      <c r="AA38" s="0" t="inlineStr">
        <is>
          <t>강원도 원주시 단구동 1588-4</t>
        </is>
      </c>
      <c r="AB38" s="0" t="inlineStr">
        <is>
          <t>강원도</t>
        </is>
      </c>
      <c r="AC38" s="0" t="inlineStr">
        <is>
          <t>원주시</t>
        </is>
      </c>
      <c r="AD38" s="0" t="inlineStr">
        <is>
          <t>단구동</t>
        </is>
      </c>
      <c r="AG38" s="0" t="inlineStr">
        <is>
          <t>강원도 원주시 단구로 408</t>
        </is>
      </c>
      <c r="AH38" s="0" t="n">
        <v>0</v>
      </c>
      <c r="AI38" s="0" t="n">
        <v>214</v>
      </c>
      <c r="AJ38" s="0" t="n">
        <v>22</v>
      </c>
      <c r="AK38" s="0" t="n">
        <v>532</v>
      </c>
      <c r="AL38" s="0" t="n">
        <v>0.82</v>
      </c>
    </row>
    <row r="39">
      <c r="A39" s="0" t="inlineStr">
        <is>
          <t>[반곡동]</t>
        </is>
      </c>
      <c r="B39" s="0" t="n">
        <v>106118</v>
      </c>
      <c r="C39" s="0" t="n">
        <v>2</v>
      </c>
      <c r="D39" s="0" t="inlineStr">
        <is>
          <t>반곡퍼스트힐</t>
        </is>
      </c>
      <c r="E39" s="0" t="inlineStr">
        <is>
          <t>2014.10.</t>
        </is>
      </c>
      <c r="F39" s="0" t="n">
        <v>424</v>
      </c>
      <c r="G39" s="0" t="n">
        <v>33.18</v>
      </c>
      <c r="H39" s="0" t="n">
        <v>109.69</v>
      </c>
      <c r="I39" s="0" t="n">
        <v>25.7</v>
      </c>
      <c r="J39" s="0" t="n">
        <v>84.97</v>
      </c>
      <c r="K39" s="0" t="n">
        <v>251</v>
      </c>
      <c r="L39" s="0" t="n">
        <v>32500</v>
      </c>
      <c r="M39" s="0" t="inlineStr">
        <is>
          <t>고</t>
        </is>
      </c>
      <c r="N39" s="0" t="n">
        <v>27000</v>
      </c>
      <c r="O39" s="0" t="inlineStr">
        <is>
          <t>고</t>
        </is>
      </c>
      <c r="T39" s="0" t="n">
        <v>4</v>
      </c>
      <c r="U39" s="0" t="n">
        <v>2</v>
      </c>
      <c r="V39" s="0" t="inlineStr">
        <is>
          <t>계단식</t>
        </is>
      </c>
      <c r="W39" s="0" t="inlineStr">
        <is>
          <t>161A</t>
        </is>
      </c>
      <c r="X39" s="0" t="n">
        <v>15</v>
      </c>
      <c r="Y39" s="0" t="n">
        <v>8</v>
      </c>
      <c r="Z39" s="0" t="inlineStr">
        <is>
          <t>https://new.land.naver.com/complexes/101042?tab=detail&amp;rf=Y</t>
        </is>
      </c>
      <c r="AA39" s="0" t="inlineStr">
        <is>
          <t>강원도 원주시 단구동 1682-3</t>
        </is>
      </c>
      <c r="AB39" s="0" t="inlineStr">
        <is>
          <t>강원도</t>
        </is>
      </c>
      <c r="AC39" s="0" t="inlineStr">
        <is>
          <t>원주시</t>
        </is>
      </c>
      <c r="AD39" s="0" t="inlineStr">
        <is>
          <t>단구동</t>
        </is>
      </c>
      <c r="AG39" s="0" t="inlineStr">
        <is>
          <t>강원도 원주시 단구로 411</t>
        </is>
      </c>
      <c r="AH39" s="0" t="n">
        <v>0</v>
      </c>
      <c r="AI39" s="0" t="n">
        <v>217</v>
      </c>
      <c r="AJ39" s="0" t="n">
        <v>21</v>
      </c>
      <c r="AK39" s="0" t="n">
        <v>511</v>
      </c>
      <c r="AL39" s="0" t="n">
        <v>1.28</v>
      </c>
    </row>
    <row r="40">
      <c r="A40" s="0" t="inlineStr">
        <is>
          <t>[반곡동]</t>
        </is>
      </c>
      <c r="B40" s="0" t="n">
        <v>113931</v>
      </c>
      <c r="C40" s="0" t="n">
        <v>1</v>
      </c>
      <c r="D40" s="0" t="inlineStr">
        <is>
          <t>e편한세상반곡</t>
        </is>
      </c>
      <c r="E40" s="0" t="inlineStr">
        <is>
          <t>2018.11.</t>
        </is>
      </c>
      <c r="F40" s="0" t="n">
        <v>508</v>
      </c>
      <c r="G40" s="0" t="n">
        <v>25.57</v>
      </c>
      <c r="H40" s="0" t="n">
        <v>84.53</v>
      </c>
      <c r="I40" s="0" t="n">
        <v>18.1</v>
      </c>
      <c r="J40" s="0" t="n">
        <v>59.84</v>
      </c>
      <c r="K40" s="0" t="n">
        <v>164</v>
      </c>
      <c r="L40" s="0" t="n">
        <v>27000</v>
      </c>
      <c r="M40" s="0" t="n">
        <v>4</v>
      </c>
      <c r="N40" s="0" t="n">
        <v>24000</v>
      </c>
      <c r="O40" s="0" t="inlineStr">
        <is>
          <t>중</t>
        </is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107A</t>
        </is>
      </c>
      <c r="X40" s="0" t="n">
        <v>20</v>
      </c>
      <c r="Y40" s="0" t="n">
        <v>13</v>
      </c>
      <c r="Z40" s="0" t="inlineStr">
        <is>
          <t>https://new.land.naver.com/complexes/19154?tab=detail&amp;rf=Y</t>
        </is>
      </c>
      <c r="AA40" s="0" t="inlineStr">
        <is>
          <t>강원도 원주시 단계동 1095-1</t>
        </is>
      </c>
      <c r="AB40" s="0" t="inlineStr">
        <is>
          <t>강원도</t>
        </is>
      </c>
      <c r="AC40" s="0" t="inlineStr">
        <is>
          <t>원주시</t>
        </is>
      </c>
      <c r="AD40" s="0" t="inlineStr">
        <is>
          <t>단계동</t>
        </is>
      </c>
      <c r="AG40" s="0" t="inlineStr">
        <is>
          <t>강원도 원주시 봉화로 67</t>
        </is>
      </c>
      <c r="AH40" s="0" t="n">
        <v>0</v>
      </c>
      <c r="AI40" s="0" t="n">
        <v>220</v>
      </c>
      <c r="AJ40" s="0" t="n">
        <v>17</v>
      </c>
      <c r="AK40" s="0" t="n">
        <v>968</v>
      </c>
      <c r="AL40" s="0" t="n">
        <v>1.4</v>
      </c>
    </row>
    <row r="41">
      <c r="A41" s="0" t="inlineStr">
        <is>
          <t>[문막읍]</t>
        </is>
      </c>
      <c r="B41" s="0" t="n">
        <v>115684</v>
      </c>
      <c r="C41" s="0" t="n">
        <v>1</v>
      </c>
      <c r="D41" s="0" t="inlineStr">
        <is>
          <t>서원주코아루아너스</t>
        </is>
      </c>
      <c r="E41" s="0" t="inlineStr">
        <is>
          <t>2018.04.</t>
        </is>
      </c>
      <c r="F41" s="0" t="n">
        <v>842</v>
      </c>
      <c r="G41" s="0" t="n">
        <v>35.49</v>
      </c>
      <c r="H41" s="0" t="n">
        <v>117.35</v>
      </c>
      <c r="I41" s="0" t="n">
        <v>25.59</v>
      </c>
      <c r="J41" s="0" t="n">
        <v>84.62</v>
      </c>
      <c r="K41" s="0" t="n">
        <v>376</v>
      </c>
      <c r="L41" s="0" t="n">
        <v>22500</v>
      </c>
      <c r="M41" s="0" t="n">
        <v>7</v>
      </c>
      <c r="N41" s="0" t="n">
        <v>20000</v>
      </c>
      <c r="O41" s="0" t="inlineStr">
        <is>
          <t>고</t>
        </is>
      </c>
      <c r="T41" s="0" t="n">
        <v>3</v>
      </c>
      <c r="U41" s="0" t="n">
        <v>2</v>
      </c>
      <c r="V41" s="0" t="inlineStr">
        <is>
          <t>계단식</t>
        </is>
      </c>
      <c r="W41" s="0" t="n">
        <v>103</v>
      </c>
      <c r="X41" s="0" t="n">
        <v>19</v>
      </c>
      <c r="Y41" s="0" t="n">
        <v>12</v>
      </c>
      <c r="Z41" s="0" t="inlineStr">
        <is>
          <t>https://new.land.naver.com/complexes/6338?tab=detail&amp;rf=Y</t>
        </is>
      </c>
      <c r="AA41" s="0" t="inlineStr">
        <is>
          <t>강원도 원주시 단계동 507</t>
        </is>
      </c>
      <c r="AB41" s="0" t="inlineStr">
        <is>
          <t>강원도</t>
        </is>
      </c>
      <c r="AC41" s="0" t="inlineStr">
        <is>
          <t>원주시</t>
        </is>
      </c>
      <c r="AD41" s="0" t="inlineStr">
        <is>
          <t>단계동</t>
        </is>
      </c>
      <c r="AG41" s="0" t="inlineStr">
        <is>
          <t>강원도 원주시 원문로 176</t>
        </is>
      </c>
      <c r="AH41" s="0" t="n">
        <v>0</v>
      </c>
      <c r="AI41" s="0" t="n">
        <v>227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[무실동]</t>
        </is>
      </c>
      <c r="B42" s="0" t="n">
        <v>125047</v>
      </c>
      <c r="C42" s="0" t="n">
        <v>3</v>
      </c>
      <c r="D42" s="0" t="inlineStr">
        <is>
          <t>더샵원주센트럴파크1단지</t>
        </is>
      </c>
      <c r="E42" s="0" t="inlineStr">
        <is>
          <t>2021.11.</t>
        </is>
      </c>
      <c r="F42" s="0" t="n">
        <v>936</v>
      </c>
      <c r="G42" s="0" t="n">
        <v>33.76</v>
      </c>
      <c r="H42" s="0" t="n">
        <v>111.62</v>
      </c>
      <c r="I42" s="0" t="n">
        <v>25.7</v>
      </c>
      <c r="J42" s="0" t="n">
        <v>84.98</v>
      </c>
      <c r="K42" s="0" t="n">
        <v>272</v>
      </c>
      <c r="L42" s="0" t="n">
        <v>55534</v>
      </c>
      <c r="M42" s="0" t="n">
        <v>11</v>
      </c>
      <c r="N42" s="0" t="n">
        <v>37000</v>
      </c>
      <c r="O42" s="0" t="inlineStr">
        <is>
          <t>고</t>
        </is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115B</t>
        </is>
      </c>
      <c r="X42" s="0" t="n">
        <v>20</v>
      </c>
      <c r="Y42" s="0" t="n">
        <v>14</v>
      </c>
      <c r="Z42" s="0" t="inlineStr">
        <is>
          <t>https://new.land.naver.com/complexes/19285?tab=detail&amp;rf=Y</t>
        </is>
      </c>
      <c r="AA42" s="0" t="inlineStr">
        <is>
          <t>강원도 원주시 개운동 441</t>
        </is>
      </c>
      <c r="AB42" s="0" t="inlineStr">
        <is>
          <t>강원도</t>
        </is>
      </c>
      <c r="AC42" s="0" t="inlineStr">
        <is>
          <t>원주시</t>
        </is>
      </c>
      <c r="AD42" s="0" t="inlineStr">
        <is>
          <t>개운동</t>
        </is>
      </c>
      <c r="AG42" s="0" t="inlineStr">
        <is>
          <t>강원도 원주시 서원대로 389</t>
        </is>
      </c>
      <c r="AH42" s="0" t="n">
        <v>0</v>
      </c>
      <c r="AI42" s="0" t="n">
        <v>283</v>
      </c>
      <c r="AJ42" s="0" t="n">
        <v>21</v>
      </c>
      <c r="AK42" s="0" t="n">
        <v>927</v>
      </c>
      <c r="AL42" s="0" t="n">
        <v>1.22</v>
      </c>
    </row>
    <row r="43">
      <c r="A43" s="0" t="inlineStr">
        <is>
          <t>[무실동]</t>
        </is>
      </c>
      <c r="B43" s="0" t="n">
        <v>107637</v>
      </c>
      <c r="C43" s="0" t="n">
        <v>4</v>
      </c>
      <c r="D43" s="0" t="inlineStr">
        <is>
          <t>무실우미린</t>
        </is>
      </c>
      <c r="E43" s="0" t="inlineStr">
        <is>
          <t>2014.09.</t>
        </is>
      </c>
      <c r="F43" s="0" t="n">
        <v>653</v>
      </c>
      <c r="G43" s="0" t="n">
        <v>33.71</v>
      </c>
      <c r="H43" s="0" t="n">
        <v>111.46</v>
      </c>
      <c r="I43" s="0" t="n">
        <v>25.7</v>
      </c>
      <c r="J43" s="0" t="n">
        <v>84.98999999999999</v>
      </c>
      <c r="K43" s="0" t="n">
        <v>245</v>
      </c>
      <c r="L43" s="0" t="n">
        <v>49000</v>
      </c>
      <c r="M43" s="0" t="n">
        <v>12</v>
      </c>
      <c r="N43" s="0" t="n">
        <v>35000</v>
      </c>
      <c r="O43" s="0" t="n">
        <v>6</v>
      </c>
      <c r="T43" s="0" t="n">
        <v>3</v>
      </c>
      <c r="U43" s="0" t="n">
        <v>1</v>
      </c>
      <c r="V43" s="0" t="inlineStr">
        <is>
          <t>복도식</t>
        </is>
      </c>
      <c r="W43" s="0" t="n">
        <v>94</v>
      </c>
      <c r="X43" s="0" t="n">
        <v>15</v>
      </c>
      <c r="Y43" s="0" t="n">
        <v>10</v>
      </c>
      <c r="Z43" s="0" t="inlineStr">
        <is>
          <t>https://new.land.naver.com/complexes/12080?tab=detail&amp;rf=Y</t>
        </is>
      </c>
      <c r="AA43" s="0" t="inlineStr">
        <is>
          <t>강원도 원주시 단구동 1467</t>
        </is>
      </c>
      <c r="AB43" s="0" t="inlineStr">
        <is>
          <t>강원도</t>
        </is>
      </c>
      <c r="AC43" s="0" t="inlineStr">
        <is>
          <t>원주시</t>
        </is>
      </c>
      <c r="AD43" s="0" t="inlineStr">
        <is>
          <t>단구동</t>
        </is>
      </c>
      <c r="AG43" s="0" t="inlineStr">
        <is>
          <t>강원도 원주시 단구초교길 11</t>
        </is>
      </c>
      <c r="AH43" s="0" t="n">
        <v>0</v>
      </c>
      <c r="AI43" s="0" t="n">
        <v>336</v>
      </c>
      <c r="AJ43" s="0" t="n">
        <v>32</v>
      </c>
      <c r="AK43" s="0" t="n">
        <v>242</v>
      </c>
      <c r="AL43" s="0" t="n">
        <v>0.65</v>
      </c>
    </row>
    <row r="44">
      <c r="A44" s="0" t="inlineStr">
        <is>
          <t>[무실동]</t>
        </is>
      </c>
      <c r="B44" s="0" t="n">
        <v>104263</v>
      </c>
      <c r="C44" s="0" t="n">
        <v>1</v>
      </c>
      <c r="D44" s="0" t="inlineStr">
        <is>
          <t>원주무실세영리첼1차</t>
        </is>
      </c>
      <c r="E44" s="0" t="inlineStr">
        <is>
          <t>2014.06.</t>
        </is>
      </c>
      <c r="F44" s="0" t="n">
        <v>482</v>
      </c>
      <c r="G44" s="0" t="n">
        <v>32.79</v>
      </c>
      <c r="H44" s="0" t="n">
        <v>108.42</v>
      </c>
      <c r="I44" s="0" t="n">
        <v>25.69</v>
      </c>
      <c r="J44" s="0" t="n">
        <v>84.94</v>
      </c>
      <c r="K44" s="0" t="n">
        <v>72</v>
      </c>
      <c r="L44" s="0" t="n">
        <v>46000</v>
      </c>
      <c r="M44" s="0" t="n">
        <v>6</v>
      </c>
      <c r="N44" s="0" t="n">
        <v>33000</v>
      </c>
      <c r="O44" s="0" t="n">
        <v>12</v>
      </c>
      <c r="T44" s="0" t="n">
        <v>4</v>
      </c>
      <c r="U44" s="0" t="n">
        <v>2</v>
      </c>
      <c r="V44" s="0" t="inlineStr">
        <is>
          <t>계단식</t>
        </is>
      </c>
      <c r="W44" s="0" t="inlineStr">
        <is>
          <t>194A</t>
        </is>
      </c>
      <c r="X44" s="0" t="n">
        <v>24</v>
      </c>
      <c r="Y44" s="0" t="n">
        <v>24</v>
      </c>
      <c r="Z44" s="0" t="inlineStr">
        <is>
          <t>https://new.land.naver.com/complexes/105676?tab=detail&amp;rf=Y</t>
        </is>
      </c>
      <c r="AA44" s="0" t="inlineStr">
        <is>
          <t>강원도 원주시 단구동 1026-26</t>
        </is>
      </c>
      <c r="AB44" s="0" t="inlineStr">
        <is>
          <t>강원도</t>
        </is>
      </c>
      <c r="AC44" s="0" t="inlineStr">
        <is>
          <t>원주시</t>
        </is>
      </c>
      <c r="AD44" s="0" t="inlineStr">
        <is>
          <t>단구동</t>
        </is>
      </c>
      <c r="AG44" s="0" t="inlineStr">
        <is>
          <t>강원도 원주시 서원대로 434</t>
        </is>
      </c>
      <c r="AH44" s="0" t="n">
        <v>0</v>
      </c>
      <c r="AI44" s="0" t="n">
        <v>962</v>
      </c>
      <c r="AJ44" s="0" t="n">
        <v>69</v>
      </c>
      <c r="AK44" s="0" t="n">
        <v>212</v>
      </c>
      <c r="AL44" s="0" t="n">
        <v>1.68</v>
      </c>
    </row>
    <row r="45">
      <c r="A45" s="0" t="inlineStr">
        <is>
          <t>[무실동]</t>
        </is>
      </c>
      <c r="B45" s="0" t="n">
        <v>105372</v>
      </c>
      <c r="C45" s="0" t="n">
        <v>1</v>
      </c>
      <c r="D45" s="0" t="inlineStr">
        <is>
          <t>원주무실세영리첼2차</t>
        </is>
      </c>
      <c r="E45" s="0" t="inlineStr">
        <is>
          <t>2015.04.</t>
        </is>
      </c>
      <c r="F45" s="0" t="n">
        <v>526</v>
      </c>
      <c r="G45" s="0" t="n">
        <v>33.4</v>
      </c>
      <c r="H45" s="0" t="n">
        <v>110.42</v>
      </c>
      <c r="I45" s="0" t="n">
        <v>25.7</v>
      </c>
      <c r="J45" s="0" t="n">
        <v>84.98</v>
      </c>
      <c r="K45" s="0" t="n">
        <v>129</v>
      </c>
      <c r="L45" s="0" t="n">
        <v>45500</v>
      </c>
      <c r="M45" s="0" t="n">
        <v>8</v>
      </c>
      <c r="N45" s="0" t="n">
        <v>35000</v>
      </c>
      <c r="O45" s="0" t="n">
        <v>18</v>
      </c>
      <c r="T45" s="0" t="n">
        <v>3</v>
      </c>
      <c r="U45" s="0" t="n">
        <v>2</v>
      </c>
      <c r="V45" s="0" t="inlineStr">
        <is>
          <t>계단식</t>
        </is>
      </c>
      <c r="W45" s="0" t="n">
        <v>116</v>
      </c>
      <c r="X45" s="0" t="n">
        <v>24</v>
      </c>
      <c r="Y45" s="0" t="n">
        <v>24</v>
      </c>
      <c r="Z45" s="0" t="inlineStr">
        <is>
          <t>https://new.land.naver.com/complexes/22497?tab=detail&amp;rf=Y</t>
        </is>
      </c>
      <c r="AA45" s="0" t="inlineStr">
        <is>
          <t>강원도 원주시 단구동 1510-1</t>
        </is>
      </c>
      <c r="AB45" s="0" t="inlineStr">
        <is>
          <t>강원도</t>
        </is>
      </c>
      <c r="AC45" s="0" t="inlineStr">
        <is>
          <t>원주시</t>
        </is>
      </c>
      <c r="AD45" s="0" t="inlineStr">
        <is>
          <t>단구동</t>
        </is>
      </c>
      <c r="AG45" s="0" t="inlineStr">
        <is>
          <t>강원도 원주시 서원대로 380</t>
        </is>
      </c>
      <c r="AH45" s="0" t="n">
        <v>0</v>
      </c>
      <c r="AI45" s="0" t="n">
        <v>905</v>
      </c>
      <c r="AJ45" s="0" t="n">
        <v>69</v>
      </c>
      <c r="AK45" s="0" t="n">
        <v>121</v>
      </c>
      <c r="AL45" s="0" t="n">
        <v>1.51</v>
      </c>
    </row>
    <row r="46">
      <c r="A46" s="0" t="inlineStr">
        <is>
          <t>[무실동]</t>
        </is>
      </c>
      <c r="B46" s="0" t="n">
        <v>107637</v>
      </c>
      <c r="C46" s="0" t="n">
        <v>1</v>
      </c>
      <c r="D46" s="0" t="inlineStr">
        <is>
          <t>무실우미린</t>
        </is>
      </c>
      <c r="E46" s="0" t="inlineStr">
        <is>
          <t>2014.09.</t>
        </is>
      </c>
      <c r="F46" s="0" t="n">
        <v>653</v>
      </c>
      <c r="G46" s="0" t="n">
        <v>29.7</v>
      </c>
      <c r="H46" s="0" t="n">
        <v>98.2</v>
      </c>
      <c r="I46" s="0" t="n">
        <v>22.77</v>
      </c>
      <c r="J46" s="0" t="n">
        <v>75.3</v>
      </c>
      <c r="K46" s="0" t="n">
        <v>221</v>
      </c>
      <c r="L46" s="0" t="n">
        <v>42000</v>
      </c>
      <c r="M46" s="0" t="inlineStr">
        <is>
          <t>중</t>
        </is>
      </c>
      <c r="N46" s="0" t="n">
        <v>30000</v>
      </c>
      <c r="O46" s="0" t="n">
        <v>3</v>
      </c>
      <c r="T46" s="0" t="n">
        <v>2</v>
      </c>
      <c r="U46" s="0" t="n">
        <v>1</v>
      </c>
      <c r="V46" s="0" t="inlineStr">
        <is>
          <t>복도식</t>
        </is>
      </c>
      <c r="W46" s="0" t="inlineStr">
        <is>
          <t>79B</t>
        </is>
      </c>
      <c r="X46" s="0" t="n">
        <v>15</v>
      </c>
      <c r="Y46" s="0" t="n">
        <v>10</v>
      </c>
      <c r="Z46" s="0" t="inlineStr">
        <is>
          <t>https://new.land.naver.com/complexes/12080?tab=detail&amp;rf=Y</t>
        </is>
      </c>
      <c r="AA46" s="0" t="inlineStr">
        <is>
          <t>강원도 원주시 단구동 1467</t>
        </is>
      </c>
      <c r="AB46" s="0" t="inlineStr">
        <is>
          <t>강원도</t>
        </is>
      </c>
      <c r="AC46" s="0" t="inlineStr">
        <is>
          <t>원주시</t>
        </is>
      </c>
      <c r="AD46" s="0" t="inlineStr">
        <is>
          <t>단구동</t>
        </is>
      </c>
      <c r="AG46" s="0" t="inlineStr">
        <is>
          <t>강원도 원주시 단구초교길 11</t>
        </is>
      </c>
      <c r="AH46" s="0" t="n">
        <v>0</v>
      </c>
      <c r="AI46" s="0" t="n">
        <v>336</v>
      </c>
      <c r="AJ46" s="0" t="n">
        <v>32</v>
      </c>
      <c r="AK46" s="0" t="n">
        <v>242</v>
      </c>
      <c r="AL46" s="0" t="n">
        <v>0.65</v>
      </c>
    </row>
    <row r="47">
      <c r="A47" s="0" t="inlineStr">
        <is>
          <t>[무실동]</t>
        </is>
      </c>
      <c r="B47" s="0" t="n">
        <v>125047</v>
      </c>
      <c r="C47" s="0" t="n">
        <v>1</v>
      </c>
      <c r="D47" s="0" t="inlineStr">
        <is>
          <t>더샵원주센트럴파크1단지</t>
        </is>
      </c>
      <c r="E47" s="0" t="inlineStr">
        <is>
          <t>2021.11.</t>
        </is>
      </c>
      <c r="F47" s="0" t="n">
        <v>936</v>
      </c>
      <c r="G47" s="0" t="n">
        <v>24.2</v>
      </c>
      <c r="H47" s="0" t="n">
        <v>80</v>
      </c>
      <c r="I47" s="0" t="n">
        <v>18.13</v>
      </c>
      <c r="J47" s="0" t="n">
        <v>59.96</v>
      </c>
      <c r="K47" s="0" t="n">
        <v>312</v>
      </c>
      <c r="L47" s="0" t="n">
        <v>40000</v>
      </c>
      <c r="M47" s="0" t="n">
        <v>20</v>
      </c>
      <c r="N47" s="0" t="n">
        <v>28000</v>
      </c>
      <c r="O47" s="0" t="inlineStr">
        <is>
          <t>고</t>
        </is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85B</t>
        </is>
      </c>
      <c r="X47" s="0" t="n">
        <v>20</v>
      </c>
      <c r="Y47" s="0" t="n">
        <v>14</v>
      </c>
      <c r="Z47" s="0" t="inlineStr">
        <is>
          <t>https://new.land.naver.com/complexes/19285?tab=detail&amp;rf=Y</t>
        </is>
      </c>
      <c r="AA47" s="0" t="inlineStr">
        <is>
          <t>강원도 원주시 개운동 441</t>
        </is>
      </c>
      <c r="AB47" s="0" t="inlineStr">
        <is>
          <t>강원도</t>
        </is>
      </c>
      <c r="AC47" s="0" t="inlineStr">
        <is>
          <t>원주시</t>
        </is>
      </c>
      <c r="AD47" s="0" t="inlineStr">
        <is>
          <t>개운동</t>
        </is>
      </c>
      <c r="AG47" s="0" t="inlineStr">
        <is>
          <t>강원도 원주시 서원대로 389</t>
        </is>
      </c>
      <c r="AH47" s="0" t="n">
        <v>0</v>
      </c>
      <c r="AI47" s="0" t="n">
        <v>283</v>
      </c>
      <c r="AJ47" s="0" t="n">
        <v>21</v>
      </c>
      <c r="AK47" s="0" t="n">
        <v>927</v>
      </c>
      <c r="AL47" s="0" t="n">
        <v>1.22</v>
      </c>
    </row>
    <row r="48">
      <c r="A48" s="0" t="inlineStr">
        <is>
          <t>[무실동]</t>
        </is>
      </c>
      <c r="B48" s="0" t="n">
        <v>128279</v>
      </c>
      <c r="C48" s="0" t="n">
        <v>1</v>
      </c>
      <c r="D48" s="0" t="inlineStr">
        <is>
          <t>사랑으로부영</t>
        </is>
      </c>
      <c r="E48" s="0" t="inlineStr">
        <is>
          <t>2012.07.</t>
        </is>
      </c>
      <c r="F48" s="0" t="n">
        <v>639</v>
      </c>
      <c r="G48" s="0" t="n">
        <v>26.8</v>
      </c>
      <c r="H48" s="0" t="n">
        <v>88.59999999999999</v>
      </c>
      <c r="I48" s="0" t="n">
        <v>18.12</v>
      </c>
      <c r="J48" s="0" t="n">
        <v>59.93</v>
      </c>
      <c r="K48" s="0" t="n">
        <v>337</v>
      </c>
      <c r="L48" s="0" t="n">
        <v>32000</v>
      </c>
      <c r="M48" s="0" t="inlineStr">
        <is>
          <t>중</t>
        </is>
      </c>
      <c r="N48" s="0" t="n">
        <v>24000</v>
      </c>
      <c r="O48" s="0" t="inlineStr">
        <is>
          <t>중</t>
        </is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107C</t>
        </is>
      </c>
      <c r="X48" s="0" t="n">
        <v>20</v>
      </c>
      <c r="Y48" s="0" t="n">
        <v>16</v>
      </c>
      <c r="Z48" s="0" t="inlineStr">
        <is>
          <t>https://new.land.naver.com/complexes/120250?tab=detail&amp;rf=Y</t>
        </is>
      </c>
      <c r="AA48" s="0" t="inlineStr">
        <is>
          <t>강원도 원주시 단구동 1721</t>
        </is>
      </c>
      <c r="AB48" s="0" t="inlineStr">
        <is>
          <t>강원도</t>
        </is>
      </c>
      <c r="AC48" s="0" t="inlineStr">
        <is>
          <t>원주시</t>
        </is>
      </c>
      <c r="AD48" s="0" t="inlineStr">
        <is>
          <t>단구동</t>
        </is>
      </c>
      <c r="AG48" s="0" t="inlineStr">
        <is>
          <t>강원도 원주시 오성마을길 63-25</t>
        </is>
      </c>
      <c r="AH48" s="0" t="n">
        <v>0</v>
      </c>
      <c r="AI48" s="0" t="n">
        <v>214</v>
      </c>
      <c r="AJ48" s="0" t="n">
        <v>19</v>
      </c>
      <c r="AK48" s="0" t="n">
        <v>753</v>
      </c>
      <c r="AL48" s="0" t="n">
        <v>1.32</v>
      </c>
    </row>
    <row r="49">
      <c r="A49" s="0" t="inlineStr">
        <is>
          <t>[명륜동]</t>
        </is>
      </c>
      <c r="B49" s="0" t="n">
        <v>125048</v>
      </c>
      <c r="C49" s="0" t="n">
        <v>1</v>
      </c>
      <c r="D49" s="0" t="inlineStr">
        <is>
          <t>원주더샵센트럴파크2단지</t>
        </is>
      </c>
      <c r="E49" s="0" t="inlineStr">
        <is>
          <t>2022.01.</t>
        </is>
      </c>
      <c r="F49" s="0" t="n">
        <v>838</v>
      </c>
      <c r="G49" s="0" t="n">
        <v>32.96</v>
      </c>
      <c r="H49" s="0" t="n">
        <v>108.96</v>
      </c>
      <c r="I49" s="0" t="n">
        <v>25.7</v>
      </c>
      <c r="J49" s="0" t="n">
        <v>84.98</v>
      </c>
      <c r="K49" s="0" t="n">
        <v>483</v>
      </c>
      <c r="L49" s="0" t="n">
        <v>48220</v>
      </c>
      <c r="M49" s="0" t="inlineStr">
        <is>
          <t>중</t>
        </is>
      </c>
      <c r="N49" s="0" t="n">
        <v>36000</v>
      </c>
      <c r="O49" s="0" t="n">
        <v>17</v>
      </c>
      <c r="T49" s="0" t="n">
        <v>2</v>
      </c>
      <c r="U49" s="0" t="n">
        <v>1</v>
      </c>
      <c r="V49" s="0" t="inlineStr">
        <is>
          <t>복도식</t>
        </is>
      </c>
      <c r="W49" s="0" t="n">
        <v>51</v>
      </c>
      <c r="X49" s="0" t="n">
        <v>15</v>
      </c>
      <c r="Y49" s="0" t="n">
        <v>10</v>
      </c>
      <c r="Z49" s="0" t="inlineStr">
        <is>
          <t>https://new.land.naver.com/complexes/14563?tab=detail&amp;rf=Y</t>
        </is>
      </c>
      <c r="AA49" s="0" t="inlineStr">
        <is>
          <t>강원도 원주시 개운동 546-3</t>
        </is>
      </c>
      <c r="AB49" s="0" t="inlineStr">
        <is>
          <t>강원도</t>
        </is>
      </c>
      <c r="AC49" s="0" t="inlineStr">
        <is>
          <t>원주시</t>
        </is>
      </c>
      <c r="AD49" s="0" t="inlineStr">
        <is>
          <t>개운동</t>
        </is>
      </c>
      <c r="AG49" s="0" t="inlineStr">
        <is>
          <t>강원도 원주시 개운4길 75</t>
        </is>
      </c>
      <c r="AH49" s="0" t="n">
        <v>0</v>
      </c>
      <c r="AI49" s="0" t="n">
        <v>320</v>
      </c>
      <c r="AJ49" s="0" t="n">
        <v>27</v>
      </c>
      <c r="AK49" s="0" t="n">
        <v>130</v>
      </c>
      <c r="AL49" s="0" t="n">
        <v>0.6</v>
      </c>
    </row>
    <row r="50">
      <c r="A50" s="0" t="inlineStr">
        <is>
          <t>[단구동]</t>
        </is>
      </c>
      <c r="B50" s="0" t="n">
        <v>120251</v>
      </c>
      <c r="C50" s="0" t="n">
        <v>1</v>
      </c>
      <c r="D50" s="0" t="inlineStr">
        <is>
          <t>원주단구내안애카운티에듀파크2단지</t>
        </is>
      </c>
      <c r="E50" s="0" t="inlineStr">
        <is>
          <t>2020.06.</t>
        </is>
      </c>
      <c r="F50" s="0" t="n">
        <v>348</v>
      </c>
      <c r="G50" s="0" t="n">
        <v>32.76</v>
      </c>
      <c r="H50" s="0" t="n">
        <v>108.32</v>
      </c>
      <c r="I50" s="0" t="n">
        <v>25.69</v>
      </c>
      <c r="J50" s="0" t="n">
        <v>84.93000000000001</v>
      </c>
      <c r="K50" s="0" t="n">
        <v>203</v>
      </c>
      <c r="L50" s="0" t="n">
        <v>39000</v>
      </c>
      <c r="M50" s="0" t="n">
        <v>6</v>
      </c>
      <c r="N50" s="0" t="n">
        <v>32000</v>
      </c>
      <c r="O50" s="0" t="n">
        <v>13</v>
      </c>
      <c r="T50" s="0" t="n">
        <v>3</v>
      </c>
      <c r="U50" s="0" t="n">
        <v>1</v>
      </c>
      <c r="V50" s="0" t="inlineStr">
        <is>
          <t>계단식</t>
        </is>
      </c>
      <c r="W50" s="0" t="n">
        <v>61</v>
      </c>
      <c r="X50" s="0" t="n">
        <v>5</v>
      </c>
      <c r="Y50" s="0" t="n">
        <v>5</v>
      </c>
      <c r="Z50" s="0" t="inlineStr">
        <is>
          <t>https://new.land.naver.com/complexes/6280?tab=detail&amp;rf=Y</t>
        </is>
      </c>
      <c r="AA50" s="0" t="inlineStr">
        <is>
          <t>강원도 원주시 개운동 203-70</t>
        </is>
      </c>
      <c r="AB50" s="0" t="inlineStr">
        <is>
          <t>강원도</t>
        </is>
      </c>
      <c r="AC50" s="0" t="inlineStr">
        <is>
          <t>원주시</t>
        </is>
      </c>
      <c r="AD50" s="0" t="inlineStr">
        <is>
          <t>개운동</t>
        </is>
      </c>
      <c r="AG50" s="0" t="inlineStr">
        <is>
          <t>강원도 원주시 강변로 353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[단구동]</t>
        </is>
      </c>
      <c r="B51" s="0" t="n">
        <v>120250</v>
      </c>
      <c r="C51" s="0" t="n">
        <v>1</v>
      </c>
      <c r="D51" s="0" t="inlineStr">
        <is>
          <t>원주단구내안애카운티에듀파크1단지</t>
        </is>
      </c>
      <c r="E51" s="0" t="inlineStr">
        <is>
          <t>2020.06.</t>
        </is>
      </c>
      <c r="F51" s="0" t="n">
        <v>571</v>
      </c>
      <c r="G51" s="0" t="n">
        <v>32.46</v>
      </c>
      <c r="H51" s="0" t="n">
        <v>107.31</v>
      </c>
      <c r="I51" s="0" t="n">
        <v>25.69</v>
      </c>
      <c r="J51" s="0" t="n">
        <v>84.93000000000001</v>
      </c>
      <c r="K51" s="0" t="n">
        <v>421</v>
      </c>
      <c r="L51" s="0" t="n">
        <v>37000</v>
      </c>
      <c r="M51" s="0" t="n">
        <v>7</v>
      </c>
      <c r="N51" s="0" t="n">
        <v>30000</v>
      </c>
      <c r="O51" s="0" t="n">
        <v>8</v>
      </c>
      <c r="T51" s="0" t="n">
        <v>3</v>
      </c>
      <c r="U51" s="0" t="n">
        <v>2</v>
      </c>
      <c r="V51" s="0" t="inlineStr">
        <is>
          <t>계단식</t>
        </is>
      </c>
      <c r="W51" s="0" t="n">
        <v>158</v>
      </c>
      <c r="X51" s="0" t="n">
        <v>7</v>
      </c>
      <c r="Y51" s="0" t="n">
        <v>6</v>
      </c>
      <c r="Z51" s="0" t="inlineStr">
        <is>
          <t>https://new.land.naver.com/complexes/120538?tab=detail&amp;rf=Y</t>
        </is>
      </c>
      <c r="AA51" s="0" t="inlineStr">
        <is>
          <t>강원도 원주시 개운동 555-34</t>
        </is>
      </c>
      <c r="AB51" s="0" t="inlineStr">
        <is>
          <t>강원도</t>
        </is>
      </c>
      <c r="AC51" s="0" t="inlineStr">
        <is>
          <t>원주시</t>
        </is>
      </c>
      <c r="AD51" s="0" t="inlineStr">
        <is>
          <t>개운동</t>
        </is>
      </c>
      <c r="AG51" s="0" t="inlineStr">
        <is>
          <t>강원도 원주시 개운로 90</t>
        </is>
      </c>
      <c r="AH51" s="0" t="n">
        <v>0</v>
      </c>
      <c r="AI51" s="0" t="n">
        <v>249</v>
      </c>
      <c r="AJ51" s="0" t="n">
        <v>55</v>
      </c>
      <c r="AK51" s="0" t="n">
        <v>18</v>
      </c>
      <c r="AL51" s="0" t="n">
        <v>1.06</v>
      </c>
    </row>
    <row r="52">
      <c r="A52" s="0" t="inlineStr">
        <is>
          <t>[단구동]</t>
        </is>
      </c>
      <c r="B52" s="0" t="n">
        <v>111288</v>
      </c>
      <c r="C52" s="0" t="n">
        <v>4</v>
      </c>
      <c r="D52" s="0" t="inlineStr">
        <is>
          <t>단구한신더휴</t>
        </is>
      </c>
      <c r="E52" s="0" t="inlineStr">
        <is>
          <t>2017.11.</t>
        </is>
      </c>
      <c r="F52" s="0" t="n">
        <v>724</v>
      </c>
      <c r="G52" s="0" t="n">
        <v>34.53</v>
      </c>
      <c r="H52" s="0" t="n">
        <v>114.18</v>
      </c>
      <c r="I52" s="0" t="n">
        <v>25.68</v>
      </c>
      <c r="J52" s="0" t="n">
        <v>84.90000000000001</v>
      </c>
      <c r="K52" s="0" t="n">
        <v>217</v>
      </c>
      <c r="L52" s="0" t="n">
        <v>36000</v>
      </c>
      <c r="M52" s="0" t="n">
        <v>6</v>
      </c>
      <c r="N52" s="0" t="n">
        <v>27000</v>
      </c>
      <c r="O52" s="0" t="n">
        <v>5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109A</t>
        </is>
      </c>
      <c r="X52" s="0" t="n">
        <v>29</v>
      </c>
      <c r="Y52" s="0" t="n">
        <v>15</v>
      </c>
      <c r="Z52" s="0" t="inlineStr">
        <is>
          <t>https://new.land.naver.com/complexes/110694?tab=detail&amp;rf=Y</t>
        </is>
      </c>
      <c r="AA52" s="0" t="inlineStr">
        <is>
          <t>강원도 원주시 단계동 1184</t>
        </is>
      </c>
      <c r="AB52" s="0" t="inlineStr">
        <is>
          <t>강원도</t>
        </is>
      </c>
      <c r="AC52" s="0" t="inlineStr">
        <is>
          <t>원주시</t>
        </is>
      </c>
      <c r="AD52" s="0" t="inlineStr">
        <is>
          <t>단계동</t>
        </is>
      </c>
      <c r="AG52" s="0" t="inlineStr">
        <is>
          <t>강원도 원주시 봉화서부로 11</t>
        </is>
      </c>
      <c r="AH52" s="0" t="n">
        <v>0</v>
      </c>
      <c r="AI52" s="0" t="n">
        <v>228</v>
      </c>
      <c r="AJ52" s="0" t="n">
        <v>15</v>
      </c>
      <c r="AK52" s="0" t="n">
        <v>1171</v>
      </c>
      <c r="AL52" s="0" t="n">
        <v>1.18</v>
      </c>
    </row>
    <row r="53">
      <c r="A53" s="0" t="inlineStr">
        <is>
          <t>[단계동]</t>
        </is>
      </c>
      <c r="B53" s="0" t="n">
        <v>121588</v>
      </c>
      <c r="C53" s="0" t="n">
        <v>3</v>
      </c>
      <c r="D53" s="0" t="inlineStr">
        <is>
          <t>원주봉화산벨라시티3차</t>
        </is>
      </c>
      <c r="E53" s="0" t="inlineStr">
        <is>
          <t>2020.11.</t>
        </is>
      </c>
      <c r="F53" s="0" t="n">
        <v>499</v>
      </c>
      <c r="G53" s="0" t="n">
        <v>34.9</v>
      </c>
      <c r="H53" s="0" t="n">
        <v>115.39</v>
      </c>
      <c r="I53" s="0" t="n">
        <v>25.7</v>
      </c>
      <c r="J53" s="0" t="n">
        <v>84.98999999999999</v>
      </c>
      <c r="K53" s="0" t="n">
        <v>121</v>
      </c>
      <c r="L53" s="0" t="n">
        <v>42000</v>
      </c>
      <c r="M53" s="0" t="n">
        <v>5</v>
      </c>
      <c r="N53" s="0" t="n">
        <v>29000</v>
      </c>
      <c r="O53" s="0" t="inlineStr">
        <is>
          <t>중</t>
        </is>
      </c>
      <c r="T53" s="0" t="n">
        <v>4</v>
      </c>
      <c r="U53" s="0" t="n">
        <v>2</v>
      </c>
      <c r="V53" s="0" t="inlineStr">
        <is>
          <t>계단식</t>
        </is>
      </c>
      <c r="W53" s="0" t="inlineStr">
        <is>
          <t>164C</t>
        </is>
      </c>
      <c r="X53" s="0" t="n">
        <v>23</v>
      </c>
      <c r="Y53" s="0" t="n">
        <v>20</v>
      </c>
      <c r="Z53" s="0" t="inlineStr">
        <is>
          <t>https://new.land.naver.com/complexes/18901?tab=detail&amp;rf=Y</t>
        </is>
      </c>
      <c r="AA53" s="0" t="inlineStr">
        <is>
          <t>강원도 원주시 개운동 28-1</t>
        </is>
      </c>
      <c r="AB53" s="0" t="inlineStr">
        <is>
          <t>강원도</t>
        </is>
      </c>
      <c r="AC53" s="0" t="inlineStr">
        <is>
          <t>원주시</t>
        </is>
      </c>
      <c r="AD53" s="0" t="inlineStr">
        <is>
          <t>개운동</t>
        </is>
      </c>
      <c r="AG53" s="0" t="inlineStr">
        <is>
          <t>강원도 원주시 행구로 54</t>
        </is>
      </c>
      <c r="AH53" s="0" t="n">
        <v>0</v>
      </c>
      <c r="AI53" s="0" t="n">
        <v>291</v>
      </c>
      <c r="AJ53" s="0" t="n">
        <v>15</v>
      </c>
      <c r="AK53" s="0" t="n">
        <v>490</v>
      </c>
      <c r="AL53" s="0" t="n">
        <v>1.99</v>
      </c>
    </row>
    <row r="54">
      <c r="A54" s="0" t="inlineStr">
        <is>
          <t>[단계동]</t>
        </is>
      </c>
      <c r="B54" s="0" t="n">
        <v>110694</v>
      </c>
      <c r="C54" s="0" t="n">
        <v>5</v>
      </c>
      <c r="D54" s="0" t="inlineStr">
        <is>
          <t>원주봉화산푸르지오</t>
        </is>
      </c>
      <c r="E54" s="0" t="inlineStr">
        <is>
          <t>2017.11.</t>
        </is>
      </c>
      <c r="F54" s="0" t="n">
        <v>996</v>
      </c>
      <c r="G54" s="0" t="n">
        <v>33.22</v>
      </c>
      <c r="H54" s="0" t="n">
        <v>109.82</v>
      </c>
      <c r="I54" s="0" t="n">
        <v>25.67</v>
      </c>
      <c r="J54" s="0" t="n">
        <v>84.86</v>
      </c>
      <c r="K54" s="0" t="n">
        <v>169</v>
      </c>
      <c r="L54" s="0" t="n">
        <v>41000</v>
      </c>
      <c r="M54" s="0" t="n">
        <v>4</v>
      </c>
      <c r="N54" s="0" t="n">
        <v>27000</v>
      </c>
      <c r="O54" s="0" t="inlineStr">
        <is>
          <t>저</t>
        </is>
      </c>
      <c r="T54" s="0" t="n">
        <v>3</v>
      </c>
      <c r="U54" s="0" t="n">
        <v>1</v>
      </c>
      <c r="V54" s="0" t="inlineStr">
        <is>
          <t>계단식</t>
        </is>
      </c>
      <c r="W54" s="0" t="inlineStr">
        <is>
          <t>77B</t>
        </is>
      </c>
      <c r="X54" s="0" t="n">
        <v>15</v>
      </c>
      <c r="Y54" s="0" t="n">
        <v>14</v>
      </c>
      <c r="Z54" s="0" t="inlineStr">
        <is>
          <t>https://new.land.naver.com/complexes/6326?tab=detail&amp;rf=Y</t>
        </is>
      </c>
      <c r="AA54" s="0" t="inlineStr">
        <is>
          <t>강원도 원주시 단계동 1084-2</t>
        </is>
      </c>
      <c r="AB54" s="0" t="inlineStr">
        <is>
          <t>강원도</t>
        </is>
      </c>
      <c r="AC54" s="0" t="inlineStr">
        <is>
          <t>원주시</t>
        </is>
      </c>
      <c r="AD54" s="0" t="inlineStr">
        <is>
          <t>단계동</t>
        </is>
      </c>
      <c r="AG54" s="0" t="inlineStr">
        <is>
          <t>강원도 원주시 백간길 81</t>
        </is>
      </c>
      <c r="AH54" s="0" t="n">
        <v>0</v>
      </c>
      <c r="AI54" s="0" t="n">
        <v>202</v>
      </c>
      <c r="AJ54" s="0" t="n">
        <v>19</v>
      </c>
      <c r="AK54" s="0" t="n">
        <v>116</v>
      </c>
      <c r="AL54" s="0" t="n">
        <v>0.6</v>
      </c>
    </row>
    <row r="55">
      <c r="A55" s="0" t="inlineStr">
        <is>
          <t>[단계동]</t>
        </is>
      </c>
      <c r="B55" s="0" t="n">
        <v>112708</v>
      </c>
      <c r="C55" s="0" t="n">
        <v>7</v>
      </c>
      <c r="D55" s="0" t="inlineStr">
        <is>
          <t>원주봉화산벨라시티2차</t>
        </is>
      </c>
      <c r="E55" s="0" t="inlineStr">
        <is>
          <t>2018.12.</t>
        </is>
      </c>
      <c r="F55" s="0" t="n">
        <v>839</v>
      </c>
      <c r="G55" s="0" t="n">
        <v>35.01</v>
      </c>
      <c r="H55" s="0" t="n">
        <v>115.76</v>
      </c>
      <c r="I55" s="0" t="n">
        <v>25.7</v>
      </c>
      <c r="J55" s="0" t="n">
        <v>84.98999999999999</v>
      </c>
      <c r="K55" s="0" t="n">
        <v>322</v>
      </c>
      <c r="L55" s="0" t="n">
        <v>38000</v>
      </c>
      <c r="M55" s="0" t="n">
        <v>14</v>
      </c>
      <c r="N55" s="0" t="n">
        <v>32000</v>
      </c>
      <c r="O55" s="0" t="n">
        <v>11</v>
      </c>
      <c r="T55" s="0" t="n">
        <v>3</v>
      </c>
      <c r="U55" s="0" t="n">
        <v>2</v>
      </c>
      <c r="V55" s="0" t="inlineStr">
        <is>
          <t>계단식</t>
        </is>
      </c>
      <c r="W55" s="0" t="n">
        <v>115</v>
      </c>
      <c r="X55" s="0" t="n">
        <v>15</v>
      </c>
      <c r="Y55" s="0" t="n">
        <v>12</v>
      </c>
      <c r="Z55" s="0" t="inlineStr">
        <is>
          <t>https://new.land.naver.com/complexes/6317?tab=detail&amp;rf=Y</t>
        </is>
      </c>
      <c r="AA55" s="0" t="inlineStr">
        <is>
          <t>강원도 원주시 단계동 809</t>
        </is>
      </c>
      <c r="AB55" s="0" t="inlineStr">
        <is>
          <t>강원도</t>
        </is>
      </c>
      <c r="AC55" s="0" t="inlineStr">
        <is>
          <t>원주시</t>
        </is>
      </c>
      <c r="AD55" s="0" t="inlineStr">
        <is>
          <t>단계동</t>
        </is>
      </c>
      <c r="AG55" s="0" t="inlineStr">
        <is>
          <t>강원도 원주시 백간길 80</t>
        </is>
      </c>
      <c r="AH55" s="0" t="n">
        <v>0</v>
      </c>
      <c r="AI55" s="0" t="n">
        <v>198</v>
      </c>
      <c r="AJ55" s="0" t="n">
        <v>20</v>
      </c>
      <c r="AK55" s="0" t="n">
        <v>425</v>
      </c>
      <c r="AL55" s="0" t="n">
        <v>1.01</v>
      </c>
    </row>
    <row r="56">
      <c r="A56" s="0" t="inlineStr">
        <is>
          <t>[단계동]</t>
        </is>
      </c>
      <c r="B56" s="0" t="n">
        <v>109371</v>
      </c>
      <c r="C56" s="0" t="n">
        <v>4</v>
      </c>
      <c r="D56" s="0" t="inlineStr">
        <is>
          <t>봉화산벨라시티</t>
        </is>
      </c>
      <c r="E56" s="0" t="inlineStr">
        <is>
          <t>2016.10.</t>
        </is>
      </c>
      <c r="F56" s="0" t="n">
        <v>566</v>
      </c>
      <c r="G56" s="0" t="n">
        <v>33.54</v>
      </c>
      <c r="H56" s="0" t="n">
        <v>110.9</v>
      </c>
      <c r="I56" s="0" t="n">
        <v>25.7</v>
      </c>
      <c r="J56" s="0" t="n">
        <v>84.98</v>
      </c>
      <c r="K56" s="0" t="n">
        <v>92</v>
      </c>
      <c r="L56" s="0" t="n">
        <v>37000</v>
      </c>
      <c r="M56" s="0" t="n">
        <v>16</v>
      </c>
      <c r="N56" s="0" t="n">
        <v>29000</v>
      </c>
      <c r="O56" s="0" t="n">
        <v>16</v>
      </c>
      <c r="T56" s="0" t="n">
        <v>3</v>
      </c>
      <c r="U56" s="0" t="n">
        <v>1</v>
      </c>
      <c r="V56" s="0" t="inlineStr">
        <is>
          <t>계단식</t>
        </is>
      </c>
      <c r="W56" s="0" t="n">
        <v>77</v>
      </c>
      <c r="X56" s="0" t="n">
        <v>15</v>
      </c>
      <c r="Y56" s="0" t="n">
        <v>15</v>
      </c>
      <c r="Z56" s="0" t="inlineStr">
        <is>
          <t>https://new.land.naver.com/complexes/6350?tab=detail&amp;rf=Y</t>
        </is>
      </c>
      <c r="AA56" s="0" t="inlineStr">
        <is>
          <t>강원도 원주시 단구동 1517-1</t>
        </is>
      </c>
      <c r="AB56" s="0" t="inlineStr">
        <is>
          <t>강원도</t>
        </is>
      </c>
      <c r="AC56" s="0" t="inlineStr">
        <is>
          <t>원주시</t>
        </is>
      </c>
      <c r="AD56" s="0" t="inlineStr">
        <is>
          <t>단구동</t>
        </is>
      </c>
      <c r="AG56" s="0" t="inlineStr">
        <is>
          <t>강원도 원주시 남원로 524</t>
        </is>
      </c>
      <c r="AH56" s="0" t="n">
        <v>0</v>
      </c>
      <c r="AI56" s="0" t="n">
        <v>207</v>
      </c>
      <c r="AJ56" s="0" t="n">
        <v>21</v>
      </c>
      <c r="AK56" s="0" t="n">
        <v>720</v>
      </c>
      <c r="AL56" s="0" t="n">
        <v>0.96</v>
      </c>
    </row>
    <row r="57">
      <c r="A57" s="0" t="inlineStr">
        <is>
          <t>[단계동]</t>
        </is>
      </c>
      <c r="B57" s="0" t="n">
        <v>110694</v>
      </c>
      <c r="C57" s="0" t="n">
        <v>4</v>
      </c>
      <c r="D57" s="0" t="inlineStr">
        <is>
          <t>원주봉화산푸르지오</t>
        </is>
      </c>
      <c r="E57" s="0" t="inlineStr">
        <is>
          <t>2017.11.</t>
        </is>
      </c>
      <c r="F57" s="0" t="n">
        <v>996</v>
      </c>
      <c r="G57" s="0" t="n">
        <v>29.82</v>
      </c>
      <c r="H57" s="0" t="n">
        <v>98.58</v>
      </c>
      <c r="I57" s="0" t="n">
        <v>22.04</v>
      </c>
      <c r="J57" s="0" t="n">
        <v>72.86</v>
      </c>
      <c r="K57" s="0" t="n">
        <v>323</v>
      </c>
      <c r="L57" s="0" t="n">
        <v>35500</v>
      </c>
      <c r="M57" s="0" t="n">
        <v>12</v>
      </c>
      <c r="N57" s="0" t="n">
        <v>29000</v>
      </c>
      <c r="O57" s="0" t="inlineStr">
        <is>
          <t>고</t>
        </is>
      </c>
      <c r="T57" s="0" t="n">
        <v>3</v>
      </c>
      <c r="U57" s="0" t="n">
        <v>1</v>
      </c>
      <c r="V57" s="0" t="inlineStr">
        <is>
          <t>계단식</t>
        </is>
      </c>
      <c r="W57" s="0" t="inlineStr">
        <is>
          <t>77A</t>
        </is>
      </c>
      <c r="X57" s="0" t="n">
        <v>15</v>
      </c>
      <c r="Y57" s="0" t="n">
        <v>14</v>
      </c>
      <c r="Z57" s="0" t="inlineStr">
        <is>
          <t>https://new.land.naver.com/complexes/6326?tab=detail&amp;rf=Y</t>
        </is>
      </c>
      <c r="AA57" s="0" t="inlineStr">
        <is>
          <t>강원도 원주시 단계동 1084-2</t>
        </is>
      </c>
      <c r="AB57" s="0" t="inlineStr">
        <is>
          <t>강원도</t>
        </is>
      </c>
      <c r="AC57" s="0" t="inlineStr">
        <is>
          <t>원주시</t>
        </is>
      </c>
      <c r="AD57" s="0" t="inlineStr">
        <is>
          <t>단계동</t>
        </is>
      </c>
      <c r="AG57" s="0" t="inlineStr">
        <is>
          <t>강원도 원주시 백간길 81</t>
        </is>
      </c>
      <c r="AH57" s="0" t="n">
        <v>0</v>
      </c>
      <c r="AI57" s="0" t="n">
        <v>202</v>
      </c>
      <c r="AJ57" s="0" t="n">
        <v>19</v>
      </c>
      <c r="AK57" s="0" t="n">
        <v>116</v>
      </c>
      <c r="AL57" s="0" t="n">
        <v>0.6</v>
      </c>
    </row>
    <row r="58">
      <c r="A58" s="0" t="inlineStr">
        <is>
          <t>[단계동]</t>
        </is>
      </c>
      <c r="B58" s="0" t="n">
        <v>121588</v>
      </c>
      <c r="C58" s="0" t="n">
        <v>1</v>
      </c>
      <c r="D58" s="0" t="inlineStr">
        <is>
          <t>원주봉화산벨라시티3차</t>
        </is>
      </c>
      <c r="E58" s="0" t="inlineStr">
        <is>
          <t>2020.11.</t>
        </is>
      </c>
      <c r="F58" s="0" t="n">
        <v>499</v>
      </c>
      <c r="G58" s="0" t="n">
        <v>25.13</v>
      </c>
      <c r="H58" s="0" t="n">
        <v>83.09</v>
      </c>
      <c r="I58" s="0" t="n">
        <v>18.11</v>
      </c>
      <c r="J58" s="0" t="n">
        <v>59.9</v>
      </c>
      <c r="K58" s="0" t="n">
        <v>126</v>
      </c>
      <c r="L58" s="0" t="n">
        <v>32000</v>
      </c>
      <c r="M58" s="0" t="n">
        <v>7</v>
      </c>
      <c r="N58" s="0" t="n">
        <v>21000</v>
      </c>
      <c r="O58" s="0" t="inlineStr">
        <is>
          <t>중</t>
        </is>
      </c>
      <c r="T58" s="0" t="n">
        <v>4</v>
      </c>
      <c r="U58" s="0" t="n">
        <v>2</v>
      </c>
      <c r="V58" s="0" t="inlineStr">
        <is>
          <t>계단식</t>
        </is>
      </c>
      <c r="W58" s="0" t="inlineStr">
        <is>
          <t>163B</t>
        </is>
      </c>
      <c r="X58" s="0" t="n">
        <v>23</v>
      </c>
      <c r="Y58" s="0" t="n">
        <v>20</v>
      </c>
      <c r="Z58" s="0" t="inlineStr">
        <is>
          <t>https://new.land.naver.com/complexes/18901?tab=detail&amp;rf=Y</t>
        </is>
      </c>
      <c r="AA58" s="0" t="inlineStr">
        <is>
          <t>강원도 원주시 개운동 28-1</t>
        </is>
      </c>
      <c r="AB58" s="0" t="inlineStr">
        <is>
          <t>강원도</t>
        </is>
      </c>
      <c r="AC58" s="0" t="inlineStr">
        <is>
          <t>원주시</t>
        </is>
      </c>
      <c r="AD58" s="0" t="inlineStr">
        <is>
          <t>개운동</t>
        </is>
      </c>
      <c r="AG58" s="0" t="inlineStr">
        <is>
          <t>강원도 원주시 행구로 54</t>
        </is>
      </c>
      <c r="AH58" s="0" t="n">
        <v>0</v>
      </c>
      <c r="AI58" s="0" t="n">
        <v>291</v>
      </c>
      <c r="AJ58" s="0" t="n">
        <v>15</v>
      </c>
      <c r="AK58" s="0" t="n">
        <v>490</v>
      </c>
      <c r="AL58" s="0" t="n">
        <v>1.99</v>
      </c>
    </row>
    <row r="59">
      <c r="A59" s="0" t="inlineStr">
        <is>
          <t>[단계동]</t>
        </is>
      </c>
      <c r="B59" s="0" t="n">
        <v>112708</v>
      </c>
      <c r="C59" s="0" t="n">
        <v>1</v>
      </c>
      <c r="D59" s="0" t="inlineStr">
        <is>
          <t>원주봉화산벨라시티2차</t>
        </is>
      </c>
      <c r="E59" s="0" t="inlineStr">
        <is>
          <t>2018.12.</t>
        </is>
      </c>
      <c r="F59" s="0" t="n">
        <v>839</v>
      </c>
      <c r="G59" s="0" t="n">
        <v>25.34</v>
      </c>
      <c r="H59" s="0" t="n">
        <v>83.8</v>
      </c>
      <c r="I59" s="0" t="n">
        <v>18.13</v>
      </c>
      <c r="J59" s="0" t="n">
        <v>59.96</v>
      </c>
      <c r="K59" s="0" t="n">
        <v>74</v>
      </c>
      <c r="L59" s="0" t="n">
        <v>32000</v>
      </c>
      <c r="M59" s="0" t="n">
        <v>10</v>
      </c>
      <c r="N59" s="0" t="n">
        <v>25000</v>
      </c>
      <c r="O59" s="0" t="inlineStr">
        <is>
          <t>중</t>
        </is>
      </c>
      <c r="T59" s="0" t="n">
        <v>3</v>
      </c>
      <c r="U59" s="0" t="n">
        <v>1</v>
      </c>
      <c r="V59" s="0" t="inlineStr">
        <is>
          <t>계단식</t>
        </is>
      </c>
      <c r="W59" s="0" t="n">
        <v>78</v>
      </c>
      <c r="X59" s="0" t="n">
        <v>15</v>
      </c>
      <c r="Y59" s="0" t="n">
        <v>14</v>
      </c>
      <c r="Z59" s="0" t="inlineStr">
        <is>
          <t>https://new.land.naver.com/complexes/6340?tab=detail&amp;rf=Y</t>
        </is>
      </c>
      <c r="AA59" s="0" t="inlineStr">
        <is>
          <t>강원도 원주시 단계동 806-1</t>
        </is>
      </c>
      <c r="AB59" s="0" t="inlineStr">
        <is>
          <t>강원도</t>
        </is>
      </c>
      <c r="AC59" s="0" t="inlineStr">
        <is>
          <t>원주시</t>
        </is>
      </c>
      <c r="AD59" s="0" t="inlineStr">
        <is>
          <t>단계동</t>
        </is>
      </c>
      <c r="AG59" s="0" t="inlineStr">
        <is>
          <t>강원도 원주시 봉화로 122</t>
        </is>
      </c>
      <c r="AH59" s="0" t="n">
        <v>0</v>
      </c>
      <c r="AI59" s="0" t="n">
        <v>173</v>
      </c>
      <c r="AJ59" s="0" t="n">
        <v>18</v>
      </c>
      <c r="AK59" s="0" t="n">
        <v>248</v>
      </c>
      <c r="AL59" s="0" t="n">
        <v>1.04</v>
      </c>
    </row>
    <row r="60">
      <c r="A60" s="0" t="inlineStr">
        <is>
          <t>[단계동]</t>
        </is>
      </c>
      <c r="B60" s="0" t="n">
        <v>110694</v>
      </c>
      <c r="C60" s="0" t="n">
        <v>1</v>
      </c>
      <c r="D60" s="0" t="inlineStr">
        <is>
          <t>원주봉화산푸르지오</t>
        </is>
      </c>
      <c r="E60" s="0" t="inlineStr">
        <is>
          <t>2017.11.</t>
        </is>
      </c>
      <c r="F60" s="0" t="n">
        <v>996</v>
      </c>
      <c r="G60" s="0" t="n">
        <v>25.7</v>
      </c>
      <c r="H60" s="0" t="n">
        <v>84.95999999999999</v>
      </c>
      <c r="I60" s="0" t="n">
        <v>18.4</v>
      </c>
      <c r="J60" s="0" t="n">
        <v>60.84</v>
      </c>
      <c r="K60" s="0" t="n">
        <v>337</v>
      </c>
      <c r="L60" s="0" t="n">
        <v>29500</v>
      </c>
      <c r="M60" s="0" t="n">
        <v>4</v>
      </c>
      <c r="N60" s="0" t="n">
        <v>24000</v>
      </c>
      <c r="O60" s="0" t="inlineStr">
        <is>
          <t>저</t>
        </is>
      </c>
      <c r="T60" s="0" t="n">
        <v>2</v>
      </c>
      <c r="U60" s="0" t="n">
        <v>1</v>
      </c>
      <c r="V60" s="0" t="inlineStr">
        <is>
          <t>계단식</t>
        </is>
      </c>
      <c r="W60" s="0" t="inlineStr">
        <is>
          <t>78A</t>
        </is>
      </c>
      <c r="X60" s="0" t="n">
        <v>10</v>
      </c>
      <c r="Y60" s="0" t="n">
        <v>10</v>
      </c>
      <c r="Z60" s="0" t="inlineStr">
        <is>
          <t>https://new.land.naver.com/complexes/118981?tab=detail&amp;rf=Y</t>
        </is>
      </c>
      <c r="AA60" s="0" t="inlineStr">
        <is>
          <t>강원도 원주시 단계동 777-4</t>
        </is>
      </c>
      <c r="AB60" s="0" t="inlineStr">
        <is>
          <t>강원도</t>
        </is>
      </c>
      <c r="AC60" s="0" t="inlineStr">
        <is>
          <t>원주시</t>
        </is>
      </c>
      <c r="AD60" s="0" t="inlineStr">
        <is>
          <t>단계동</t>
        </is>
      </c>
      <c r="AG60" s="0" t="inlineStr">
        <is>
          <t>강원도 원주시 천사로 106</t>
        </is>
      </c>
      <c r="AH60" s="0" t="n">
        <v>0</v>
      </c>
      <c r="AI60" s="0" t="n">
        <v>546</v>
      </c>
      <c r="AJ60" s="0" t="n">
        <v>69</v>
      </c>
      <c r="AK60" s="0" t="n">
        <v>24</v>
      </c>
      <c r="AL60" s="0" t="n">
        <v>1</v>
      </c>
    </row>
    <row r="61">
      <c r="A61" s="0" t="inlineStr">
        <is>
          <t>[단계동]</t>
        </is>
      </c>
      <c r="B61" s="0" t="n">
        <v>109371</v>
      </c>
      <c r="C61" s="0" t="n">
        <v>1</v>
      </c>
      <c r="D61" s="0" t="inlineStr">
        <is>
          <t>봉화산벨라시티</t>
        </is>
      </c>
      <c r="E61" s="0" t="inlineStr">
        <is>
          <t>2016.10.</t>
        </is>
      </c>
      <c r="F61" s="0" t="n">
        <v>566</v>
      </c>
      <c r="G61" s="0" t="n">
        <v>26.58</v>
      </c>
      <c r="H61" s="0" t="n">
        <v>87.88</v>
      </c>
      <c r="I61" s="0" t="n">
        <v>18.11</v>
      </c>
      <c r="J61" s="0" t="n">
        <v>59.9</v>
      </c>
      <c r="K61" s="0" t="n">
        <v>164</v>
      </c>
      <c r="L61" s="0" t="n">
        <v>27800</v>
      </c>
      <c r="M61" s="0" t="inlineStr">
        <is>
          <t>중</t>
        </is>
      </c>
      <c r="N61" s="0" t="n">
        <v>21000</v>
      </c>
      <c r="O61" s="0" t="inlineStr">
        <is>
          <t>중</t>
        </is>
      </c>
      <c r="T61" s="0" t="n">
        <v>3</v>
      </c>
      <c r="U61" s="0" t="n">
        <v>2</v>
      </c>
      <c r="V61" s="0" t="inlineStr">
        <is>
          <t>복도식</t>
        </is>
      </c>
      <c r="W61" s="0" t="inlineStr">
        <is>
          <t>115A</t>
        </is>
      </c>
      <c r="X61" s="0" t="n">
        <v>15</v>
      </c>
      <c r="Y61" s="0" t="n">
        <v>9</v>
      </c>
      <c r="Z61" s="0" t="inlineStr">
        <is>
          <t>https://new.land.naver.com/complexes/25134?tab=detail&amp;rf=Y</t>
        </is>
      </c>
      <c r="AA61" s="0" t="inlineStr">
        <is>
          <t>강원도 원주시 단구동 1702</t>
        </is>
      </c>
      <c r="AB61" s="0" t="inlineStr">
        <is>
          <t>강원도</t>
        </is>
      </c>
      <c r="AC61" s="0" t="inlineStr">
        <is>
          <t>원주시</t>
        </is>
      </c>
      <c r="AD61" s="0" t="inlineStr">
        <is>
          <t>단구동</t>
        </is>
      </c>
      <c r="AG61" s="0" t="inlineStr">
        <is>
          <t>강원도 원주시 단관공원길 111</t>
        </is>
      </c>
      <c r="AH61" s="0" t="n">
        <v>0</v>
      </c>
      <c r="AI61" s="0" t="n">
        <v>248</v>
      </c>
      <c r="AJ61" s="0" t="n">
        <v>23</v>
      </c>
      <c r="AK61" s="0" t="n">
        <v>1019</v>
      </c>
      <c r="AL61" s="0" t="n">
        <v>1.33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판부면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남원주코아루미소지움</t>
        </is>
      </c>
      <c r="B6" s="10" t="inlineStr">
        <is>
          <t>'18.03.</t>
        </is>
      </c>
      <c r="C6" s="133" t="n">
        <v>359</v>
      </c>
      <c r="D6" s="131" t="n">
        <v>110</v>
      </c>
      <c r="E6" s="132" t="n">
        <v>33</v>
      </c>
      <c r="F6" s="131" t="n">
        <v>80</v>
      </c>
      <c r="G6" s="17" t="n">
        <v>24</v>
      </c>
      <c r="H6" s="133" t="n">
        <v>157</v>
      </c>
      <c r="I6" s="134" t="n">
        <v>32000</v>
      </c>
      <c r="J6" s="134" t="inlineStr">
        <is>
          <t>6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inlineStr">
        <is>
          <t>77B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남원주코아루미소지움</t>
        </is>
      </c>
      <c r="B7" s="10" t="inlineStr">
        <is>
          <t>'18.03.</t>
        </is>
      </c>
      <c r="C7" s="133" t="n">
        <v>359</v>
      </c>
      <c r="D7" s="131" t="n">
        <v>82.40000000000001</v>
      </c>
      <c r="E7" s="132" t="n">
        <v>25</v>
      </c>
      <c r="F7" s="131" t="n">
        <v>60</v>
      </c>
      <c r="G7" s="17" t="n">
        <v>18</v>
      </c>
      <c r="H7" s="133" t="n">
        <v>126</v>
      </c>
      <c r="I7" s="134" t="n">
        <v>31000</v>
      </c>
      <c r="J7" s="134" t="inlineStr">
        <is>
          <t>8</t>
        </is>
      </c>
      <c r="K7" s="134" t="n">
        <v>23000</v>
      </c>
      <c r="L7" s="134" t="inlineStr">
        <is>
          <t>5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inlineStr">
        <is>
          <t>70C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태장동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이안원주태장</t>
        </is>
      </c>
      <c r="B6" s="10" t="inlineStr">
        <is>
          <t>'19.08.</t>
        </is>
      </c>
      <c r="C6" s="133" t="n">
        <v>920</v>
      </c>
      <c r="D6" s="131" t="n">
        <v>116.9</v>
      </c>
      <c r="E6" s="132" t="n">
        <v>35</v>
      </c>
      <c r="F6" s="131" t="n">
        <v>84.90000000000001</v>
      </c>
      <c r="G6" s="17" t="n">
        <v>26</v>
      </c>
      <c r="H6" s="133" t="n">
        <v>62</v>
      </c>
      <c r="I6" s="134" t="n">
        <v>32000</v>
      </c>
      <c r="J6" s="134" t="inlineStr">
        <is>
          <t>중</t>
        </is>
      </c>
      <c r="K6" s="134" t="n">
        <v>27000</v>
      </c>
      <c r="L6" s="134" t="inlineStr">
        <is>
          <t>20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115C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e편한세상원주태장</t>
        </is>
      </c>
      <c r="B8" s="10" t="inlineStr">
        <is>
          <t>'18.12.</t>
        </is>
      </c>
      <c r="C8" s="133" t="n">
        <v>703</v>
      </c>
      <c r="D8" s="131" t="n">
        <v>103.5</v>
      </c>
      <c r="E8" s="132" t="n">
        <v>31</v>
      </c>
      <c r="F8" s="131" t="n">
        <v>75</v>
      </c>
      <c r="G8" s="17" t="n">
        <v>23</v>
      </c>
      <c r="H8" s="133" t="n">
        <v>308</v>
      </c>
      <c r="I8" s="134" t="n">
        <v>30000</v>
      </c>
      <c r="J8" s="134" t="inlineStr">
        <is>
          <t>중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106B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e편한세상원주태장</t>
        </is>
      </c>
      <c r="B9" s="10" t="inlineStr">
        <is>
          <t>'18.12.</t>
        </is>
      </c>
      <c r="C9" s="133" t="n">
        <v>703</v>
      </c>
      <c r="D9" s="131" t="n">
        <v>83.8</v>
      </c>
      <c r="E9" s="132" t="n">
        <v>25</v>
      </c>
      <c r="F9" s="131" t="n">
        <v>60</v>
      </c>
      <c r="G9" s="17" t="n">
        <v>18</v>
      </c>
      <c r="H9" s="133" t="n">
        <v>227</v>
      </c>
      <c r="I9" s="134" t="n">
        <v>23000</v>
      </c>
      <c r="J9" s="134" t="inlineStr">
        <is>
          <t>고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inlineStr">
        <is>
          <t>54S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이안원주태장</t>
        </is>
      </c>
      <c r="B11" s="10" t="inlineStr">
        <is>
          <t>'19.08.</t>
        </is>
      </c>
      <c r="C11" s="133" t="n">
        <v>920</v>
      </c>
      <c r="D11" s="131" t="n">
        <v>82.40000000000001</v>
      </c>
      <c r="E11" s="132" t="n">
        <v>25</v>
      </c>
      <c r="F11" s="131" t="n">
        <v>60</v>
      </c>
      <c r="G11" s="17" t="n">
        <v>18</v>
      </c>
      <c r="H11" s="133" t="n">
        <v>372</v>
      </c>
      <c r="I11" s="134" t="n">
        <v>21000</v>
      </c>
      <c r="J11" s="134" t="inlineStr">
        <is>
          <t>고</t>
        </is>
      </c>
      <c r="K11" s="134" t="n">
        <v>20000</v>
      </c>
      <c r="L11" s="134" t="inlineStr">
        <is>
          <t>17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5</v>
      </c>
      <c r="R11" s="121" t="n">
        <v>3</v>
      </c>
      <c r="S11" s="121" t="inlineStr">
        <is>
          <t>계</t>
        </is>
      </c>
      <c r="T11" s="5" t="inlineStr">
        <is>
          <t>204A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87" dxfId="23">
      <formula>AV4="X"</formula>
    </cfRule>
    <cfRule type="expression" priority="88" dxfId="22">
      <formula>AV4="후보"</formula>
    </cfRule>
  </conditionalFormatting>
  <conditionalFormatting sqref="AC1:AC2 AC4:AC6 N4:N5">
    <cfRule type="cellIs" priority="84" operator="greaterThan" dxfId="17">
      <formula>0.9</formula>
    </cfRule>
    <cfRule type="cellIs" priority="85" operator="greaterThan" dxfId="16">
      <formula>0.85</formula>
    </cfRule>
  </conditionalFormatting>
  <conditionalFormatting sqref="N1:N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6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6">
    <cfRule type="expression" priority="76" dxfId="3">
      <formula>AND(IF(OR($Q6=1,$Q6=2),1,0),IF($X6&lt;=20,1,0))</formula>
    </cfRule>
    <cfRule type="expression" priority="77" dxfId="2">
      <formula>AND(IF($Q6=2,1,0),IF($X6&lt;30,1,0))</formula>
    </cfRule>
    <cfRule type="expression" priority="78" dxfId="1">
      <formula>AND(IF($Q6=3,1,0),IF($X6&lt;30,1,0))</formula>
    </cfRule>
    <cfRule type="expression" priority="79" dxfId="0">
      <formula>AND(IF($Q6=3,1,IF($Q6=4,1,0)),IF($F6&lt;=85,1,0))</formula>
    </cfRule>
  </conditionalFormatting>
  <conditionalFormatting sqref="X6">
    <cfRule type="expression" priority="72" dxfId="3">
      <formula>AND(IF(OR($Q6=1,$Q6=2),1,0),IF($X6&lt;=20,1,0))</formula>
    </cfRule>
    <cfRule type="expression" priority="73" dxfId="2">
      <formula>AND(IF($Q6=2,1,0),IF($X6&lt;30,1,0))</formula>
    </cfRule>
    <cfRule type="expression" priority="74" dxfId="1">
      <formula>AND(IF($Q6=3,1,0),IF($X6&lt;30,1,0))</formula>
    </cfRule>
    <cfRule type="expression" priority="75" dxfId="0">
      <formula>AND(IF($Q6=3,1,IF($Q6=4,1,0)),IF($F6&lt;=85,1,0))</formula>
    </cfRule>
  </conditionalFormatting>
  <conditionalFormatting sqref="AI6">
    <cfRule type="expression" priority="68" dxfId="3">
      <formula>AND(IF(OR($Q6=1,$Q6=2),1,0),IF($X6&lt;=20,1,0))</formula>
    </cfRule>
    <cfRule type="expression" priority="69" dxfId="2">
      <formula>AND(IF($Q6=2,1,0),IF($X6&lt;30,1,0))</formula>
    </cfRule>
    <cfRule type="expression" priority="70" dxfId="1">
      <formula>AND(IF($Q6=3,1,0),IF($X6&lt;30,1,0))</formula>
    </cfRule>
    <cfRule type="expression" priority="71" dxfId="0">
      <formula>AND(IF($Q6=3,1,IF($Q6=4,1,0)),IF($F6&lt;=85,1,0))</formula>
    </cfRule>
  </conditionalFormatting>
  <conditionalFormatting sqref="AV7">
    <cfRule type="expression" priority="66" dxfId="23">
      <formula>AV7="X"</formula>
    </cfRule>
    <cfRule type="expression" priority="67" dxfId="22">
      <formula>AV7="후보"</formula>
    </cfRule>
  </conditionalFormatting>
  <conditionalFormatting sqref="AC7 N7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8">
    <cfRule type="expression" priority="61" dxfId="23">
      <formula>AV8="X"</formula>
    </cfRule>
    <cfRule type="expression" priority="62" dxfId="22">
      <formula>AV8="후보"</formula>
    </cfRule>
  </conditionalFormatting>
  <conditionalFormatting sqref="AC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">
    <cfRule type="expression" priority="52" dxfId="3">
      <formula>AND(IF(OR($Q8=1,$Q8=2),1,0),IF($X8&lt;=20,1,0))</formula>
    </cfRule>
    <cfRule type="expression" priority="53" dxfId="2">
      <formula>AND(IF($Q8=2,1,0),IF($X8&lt;30,1,0))</formula>
    </cfRule>
    <cfRule type="expression" priority="54" dxfId="1">
      <formula>AND(IF($Q8=3,1,0),IF($X8&lt;30,1,0))</formula>
    </cfRule>
    <cfRule type="expression" priority="55" dxfId="0">
      <formula>AND(IF($Q8=3,1,IF($Q8=4,1,0)),IF($F8&lt;=85,1,0))</formula>
    </cfRule>
  </conditionalFormatting>
  <conditionalFormatting sqref="X8">
    <cfRule type="expression" priority="48" dxfId="3">
      <formula>AND(IF(OR($Q8=1,$Q8=2),1,0),IF($X8&lt;=20,1,0))</formula>
    </cfRule>
    <cfRule type="expression" priority="49" dxfId="2">
      <formula>AND(IF($Q8=2,1,0),IF($X8&lt;30,1,0))</formula>
    </cfRule>
    <cfRule type="expression" priority="50" dxfId="1">
      <formula>AND(IF($Q8=3,1,0),IF($X8&lt;30,1,0))</formula>
    </cfRule>
    <cfRule type="expression" priority="51" dxfId="0">
      <formula>AND(IF($Q8=3,1,IF($Q8=4,1,0)),IF($F8&lt;=85,1,0))</formula>
    </cfRule>
  </conditionalFormatting>
  <conditionalFormatting sqref="AI8">
    <cfRule type="expression" priority="44" dxfId="3">
      <formula>AND(IF(OR($Q8=1,$Q8=2),1,0),IF($X8&lt;=20,1,0))</formula>
    </cfRule>
    <cfRule type="expression" priority="45" dxfId="2">
      <formula>AND(IF($Q8=2,1,0),IF($X8&lt;30,1,0))</formula>
    </cfRule>
    <cfRule type="expression" priority="46" dxfId="1">
      <formula>AND(IF($Q8=3,1,0),IF($X8&lt;30,1,0))</formula>
    </cfRule>
    <cfRule type="expression" priority="47" dxfId="0">
      <formula>AND(IF($Q8=3,1,IF($Q8=4,1,0)),IF($F8&lt;=85,1,0))</formula>
    </cfRule>
  </conditionalFormatting>
  <conditionalFormatting sqref="AV9">
    <cfRule type="expression" priority="42" dxfId="23">
      <formula>AV9="X"</formula>
    </cfRule>
    <cfRule type="expression" priority="43" dxfId="22">
      <formula>AV9="후보"</formula>
    </cfRule>
  </conditionalFormatting>
  <conditionalFormatting sqref="AC9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9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9">
    <cfRule type="expression" priority="33" dxfId="3">
      <formula>AND(IF(OR($Q9=1,$Q9=2),1,0),IF($X9&lt;=20,1,0))</formula>
    </cfRule>
    <cfRule type="expression" priority="34" dxfId="2">
      <formula>AND(IF($Q9=2,1,0),IF($X9&lt;30,1,0))</formula>
    </cfRule>
    <cfRule type="expression" priority="35" dxfId="1">
      <formula>AND(IF($Q9=3,1,0),IF($X9&lt;30,1,0))</formula>
    </cfRule>
    <cfRule type="expression" priority="36" dxfId="0">
      <formula>AND(IF($Q9=3,1,IF($Q9=4,1,0)),IF($F9&lt;=85,1,0))</formula>
    </cfRule>
  </conditionalFormatting>
  <conditionalFormatting sqref="X9">
    <cfRule type="expression" priority="29" dxfId="3">
      <formula>AND(IF(OR($Q9=1,$Q9=2),1,0),IF($X9&lt;=20,1,0))</formula>
    </cfRule>
    <cfRule type="expression" priority="30" dxfId="2">
      <formula>AND(IF($Q9=2,1,0),IF($X9&lt;30,1,0))</formula>
    </cfRule>
    <cfRule type="expression" priority="31" dxfId="1">
      <formula>AND(IF($Q9=3,1,0),IF($X9&lt;30,1,0))</formula>
    </cfRule>
    <cfRule type="expression" priority="32" dxfId="0">
      <formula>AND(IF($Q9=3,1,IF($Q9=4,1,0)),IF($F9&lt;=85,1,0))</formula>
    </cfRule>
  </conditionalFormatting>
  <conditionalFormatting sqref="AI9">
    <cfRule type="expression" priority="25" dxfId="3">
      <formula>AND(IF(OR($Q9=1,$Q9=2),1,0),IF($X9&lt;=20,1,0))</formula>
    </cfRule>
    <cfRule type="expression" priority="26" dxfId="2">
      <formula>AND(IF($Q9=2,1,0),IF($X9&lt;30,1,0))</formula>
    </cfRule>
    <cfRule type="expression" priority="27" dxfId="1">
      <formula>AND(IF($Q9=3,1,0),IF($X9&lt;30,1,0))</formula>
    </cfRule>
    <cfRule type="expression" priority="28" dxfId="0">
      <formula>AND(IF($Q9=3,1,IF($Q9=4,1,0)),IF($F9&lt;=85,1,0))</formula>
    </cfRule>
  </conditionalFormatting>
  <conditionalFormatting sqref="AV10">
    <cfRule type="expression" priority="23" dxfId="23">
      <formula>AV10="X"</formula>
    </cfRule>
    <cfRule type="expression" priority="24" dxfId="22">
      <formula>AV10="후보"</formula>
    </cfRule>
  </conditionalFormatting>
  <conditionalFormatting sqref="AC10 N10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1">
    <cfRule type="expression" priority="18" dxfId="23">
      <formula>AV11="X"</formula>
    </cfRule>
    <cfRule type="expression" priority="19" dxfId="22">
      <formula>AV11="후보"</formula>
    </cfRule>
  </conditionalFormatting>
  <conditionalFormatting sqref="AC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5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2" sqref="A52:XFD5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지정면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원주롯데캐슬골드파크2차</t>
        </is>
      </c>
      <c r="B6" s="10" t="inlineStr">
        <is>
          <t>'19.12.</t>
        </is>
      </c>
      <c r="C6" s="133" t="n">
        <v>536</v>
      </c>
      <c r="D6" s="131" t="n">
        <v>111</v>
      </c>
      <c r="E6" s="132" t="n">
        <v>34</v>
      </c>
      <c r="F6" s="131" t="n">
        <v>85</v>
      </c>
      <c r="G6" s="17" t="n">
        <v>26</v>
      </c>
      <c r="H6" s="133" t="n">
        <v>243</v>
      </c>
      <c r="I6" s="134" t="n">
        <v>48000</v>
      </c>
      <c r="J6" s="134" t="inlineStr">
        <is>
          <t>10</t>
        </is>
      </c>
      <c r="K6" s="134" t="n">
        <v>27000</v>
      </c>
      <c r="L6" s="134" t="inlineStr">
        <is>
          <t>중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원주롯데캐슬골드파크1차</t>
        </is>
      </c>
      <c r="B8" s="10" t="inlineStr">
        <is>
          <t>'19.12.</t>
        </is>
      </c>
      <c r="C8" s="133" t="n">
        <v>624</v>
      </c>
      <c r="D8" s="131" t="n">
        <v>110.3</v>
      </c>
      <c r="E8" s="132" t="n">
        <v>33</v>
      </c>
      <c r="F8" s="131" t="n">
        <v>85</v>
      </c>
      <c r="G8" s="17" t="n">
        <v>26</v>
      </c>
      <c r="H8" s="133" t="n">
        <v>266</v>
      </c>
      <c r="I8" s="134" t="n">
        <v>52000</v>
      </c>
      <c r="J8" s="134" t="inlineStr">
        <is>
          <t>6</t>
        </is>
      </c>
      <c r="K8" s="134" t="n">
        <v>28000</v>
      </c>
      <c r="L8" s="134" t="inlineStr">
        <is>
          <t>18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127A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이지더원더그레이스</t>
        </is>
      </c>
      <c r="B10" s="10" t="inlineStr">
        <is>
          <t>'20.06.</t>
        </is>
      </c>
      <c r="C10" s="133" t="n">
        <v>776</v>
      </c>
      <c r="D10" s="131" t="n">
        <v>114.7</v>
      </c>
      <c r="E10" s="132" t="n">
        <v>35</v>
      </c>
      <c r="F10" s="131" t="n">
        <v>85</v>
      </c>
      <c r="G10" s="17" t="n">
        <v>26</v>
      </c>
      <c r="H10" s="133" t="n">
        <v>428</v>
      </c>
      <c r="I10" s="134" t="n">
        <v>42000</v>
      </c>
      <c r="J10" s="134" t="inlineStr">
        <is>
          <t>고</t>
        </is>
      </c>
      <c r="K10" s="134" t="n">
        <v>25000</v>
      </c>
      <c r="L10" s="134" t="inlineStr">
        <is>
          <t>고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107B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원주롯데캐슬더퍼스트2차</t>
        </is>
      </c>
      <c r="B12" s="10" t="inlineStr">
        <is>
          <t>'18.08.</t>
        </is>
      </c>
      <c r="C12" s="133" t="n">
        <v>1116</v>
      </c>
      <c r="D12" s="131" t="n">
        <v>113.4</v>
      </c>
      <c r="E12" s="132" t="n">
        <v>34</v>
      </c>
      <c r="F12" s="131" t="n">
        <v>85</v>
      </c>
      <c r="G12" s="17" t="n">
        <v>26</v>
      </c>
      <c r="H12" s="133" t="n">
        <v>472</v>
      </c>
      <c r="I12" s="134" t="n">
        <v>44000</v>
      </c>
      <c r="J12" s="134" t="inlineStr">
        <is>
          <t>중</t>
        </is>
      </c>
      <c r="K12" s="134" t="n">
        <v>25000</v>
      </c>
      <c r="L12" s="134" t="inlineStr">
        <is>
          <t>21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1</v>
      </c>
      <c r="R12" s="121" t="n">
        <v>1</v>
      </c>
      <c r="S12" s="121" t="inlineStr">
        <is>
          <t>계</t>
        </is>
      </c>
      <c r="T12" s="5" t="inlineStr">
        <is>
          <t>45B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 ht="24" customHeight="1" s="124">
      <c r="A14" s="9" t="inlineStr">
        <is>
          <t>원주기업도시유보라아이비파크2단지</t>
        </is>
      </c>
      <c r="B14" s="10" t="inlineStr">
        <is>
          <t>'20.01.</t>
        </is>
      </c>
      <c r="C14" s="133" t="n">
        <v>794</v>
      </c>
      <c r="D14" s="131" t="n">
        <v>111.9</v>
      </c>
      <c r="E14" s="132" t="n">
        <v>34</v>
      </c>
      <c r="F14" s="131" t="n">
        <v>85</v>
      </c>
      <c r="G14" s="17" t="n">
        <v>26</v>
      </c>
      <c r="H14" s="133" t="n">
        <v>263</v>
      </c>
      <c r="I14" s="134" t="n">
        <v>40000</v>
      </c>
      <c r="J14" s="134" t="inlineStr">
        <is>
          <t>중</t>
        </is>
      </c>
      <c r="K14" s="134" t="n">
        <v>24000</v>
      </c>
      <c r="L14" s="134" t="inlineStr">
        <is>
          <t>13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n">
        <v>77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원주기업도시호반베르디움8단지</t>
        </is>
      </c>
      <c r="B16" s="10" t="inlineStr">
        <is>
          <t>'18.08.</t>
        </is>
      </c>
      <c r="C16" s="133" t="n">
        <v>882</v>
      </c>
      <c r="D16" s="131" t="n">
        <v>113.5</v>
      </c>
      <c r="E16" s="132" t="n">
        <v>34</v>
      </c>
      <c r="F16" s="131" t="n">
        <v>85</v>
      </c>
      <c r="G16" s="17" t="n">
        <v>26</v>
      </c>
      <c r="H16" s="133" t="n">
        <v>407</v>
      </c>
      <c r="I16" s="134" t="n">
        <v>41000</v>
      </c>
      <c r="J16" s="134" t="inlineStr">
        <is>
          <t>16</t>
        </is>
      </c>
      <c r="K16" s="134" t="n">
        <v>25000</v>
      </c>
      <c r="L16" s="134" t="inlineStr">
        <is>
          <t>26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1</v>
      </c>
      <c r="R16" s="121" t="n">
        <v>1</v>
      </c>
      <c r="S16" s="121" t="inlineStr">
        <is>
          <t>계</t>
        </is>
      </c>
      <c r="T16" s="5" t="inlineStr">
        <is>
          <t>34C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원주롯데캐슬더퍼스트</t>
        </is>
      </c>
      <c r="B18" s="10" t="inlineStr">
        <is>
          <t>'18.06.</t>
        </is>
      </c>
      <c r="C18" s="133" t="n">
        <v>1243</v>
      </c>
      <c r="D18" s="131" t="n">
        <v>113.2</v>
      </c>
      <c r="E18" s="132" t="n">
        <v>34</v>
      </c>
      <c r="F18" s="131" t="n">
        <v>85</v>
      </c>
      <c r="G18" s="17" t="n">
        <v>26</v>
      </c>
      <c r="H18" s="133" t="n">
        <v>24</v>
      </c>
      <c r="I18" s="134" t="n">
        <v>43000</v>
      </c>
      <c r="J18" s="134" t="inlineStr">
        <is>
          <t>중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102A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 ht="24" customHeight="1" s="124">
      <c r="A20" s="9" t="inlineStr">
        <is>
          <t>원주기업도시유보라아이비파크1단지</t>
        </is>
      </c>
      <c r="B20" s="10" t="inlineStr">
        <is>
          <t>'20.01.</t>
        </is>
      </c>
      <c r="C20" s="133" t="n">
        <v>548</v>
      </c>
      <c r="D20" s="131" t="n">
        <v>109.7</v>
      </c>
      <c r="E20" s="132" t="n">
        <v>33</v>
      </c>
      <c r="F20" s="131" t="n">
        <v>85</v>
      </c>
      <c r="G20" s="17" t="n">
        <v>26</v>
      </c>
      <c r="H20" s="133" t="n">
        <v>180</v>
      </c>
      <c r="I20" s="134" t="n">
        <v>38000</v>
      </c>
      <c r="J20" s="134" t="inlineStr">
        <is>
          <t>28</t>
        </is>
      </c>
      <c r="K20" s="134" t="n">
        <v>22000</v>
      </c>
      <c r="L20" s="134" t="inlineStr">
        <is>
          <t>27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107A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 ht="24" customHeight="1" s="124">
      <c r="A22" s="9" t="inlineStr">
        <is>
          <t>원주기업도시호반베르디움(3-1블록)</t>
        </is>
      </c>
      <c r="B22" s="10" t="inlineStr">
        <is>
          <t>'19.05.</t>
        </is>
      </c>
      <c r="C22" s="133" t="n">
        <v>892</v>
      </c>
      <c r="D22" s="131" t="n">
        <v>111</v>
      </c>
      <c r="E22" s="132" t="n">
        <v>34</v>
      </c>
      <c r="F22" s="131" t="n">
        <v>84.90000000000001</v>
      </c>
      <c r="G22" s="17" t="n">
        <v>26</v>
      </c>
      <c r="H22" s="133" t="n">
        <v>532</v>
      </c>
      <c r="I22" s="134" t="n">
        <v>39000</v>
      </c>
      <c r="J22" s="134" t="inlineStr">
        <is>
          <t>5</t>
        </is>
      </c>
      <c r="K22" s="134" t="n">
        <v>25000</v>
      </c>
      <c r="L22" s="134" t="inlineStr">
        <is>
          <t>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146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 ht="24" customHeight="1" s="124">
      <c r="A24" s="9" t="inlineStr">
        <is>
          <t>원주기업도시호반베르디움(3-2블록)</t>
        </is>
      </c>
      <c r="B24" s="10" t="inlineStr">
        <is>
          <t>'19.05.</t>
        </is>
      </c>
      <c r="C24" s="133" t="n">
        <v>824</v>
      </c>
      <c r="D24" s="131" t="n">
        <v>110.9</v>
      </c>
      <c r="E24" s="132" t="n">
        <v>34</v>
      </c>
      <c r="F24" s="131" t="n">
        <v>84.90000000000001</v>
      </c>
      <c r="G24" s="17" t="n">
        <v>26</v>
      </c>
      <c r="H24" s="133" t="n">
        <v>494</v>
      </c>
      <c r="I24" s="134" t="n">
        <v>36000</v>
      </c>
      <c r="J24" s="134" t="inlineStr">
        <is>
          <t>7</t>
        </is>
      </c>
      <c r="K24" s="134" t="n">
        <v>23000</v>
      </c>
      <c r="L24" s="134" t="inlineStr">
        <is>
          <t>고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87B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8">
        <f>$A$4&amp;" "&amp;A26&amp;"("&amp;B26&amp;","&amp;C26&amp;"^)"</f>
        <v/>
      </c>
      <c r="X25" s="69" t="n"/>
      <c r="Y25" s="69" t="n"/>
      <c r="Z25" s="69" t="n"/>
      <c r="AA25" s="69" t="n"/>
      <c r="AB25" s="69" t="n"/>
      <c r="AC25" s="69" t="n"/>
      <c r="AD25" s="69" t="n"/>
      <c r="AE25" s="69" t="n"/>
      <c r="AF25" s="70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원주기업도시라온프라이빗</t>
        </is>
      </c>
      <c r="B26" s="10" t="inlineStr">
        <is>
          <t>'18.12.</t>
        </is>
      </c>
      <c r="C26" s="133" t="n">
        <v>713</v>
      </c>
      <c r="D26" s="131" t="n">
        <v>113.4</v>
      </c>
      <c r="E26" s="132" t="n">
        <v>34</v>
      </c>
      <c r="F26" s="131" t="n">
        <v>84.7</v>
      </c>
      <c r="G26" s="17" t="n">
        <v>26</v>
      </c>
      <c r="H26" s="133" t="n">
        <v>178</v>
      </c>
      <c r="I26" s="134" t="n">
        <v>41000</v>
      </c>
      <c r="J26" s="134" t="inlineStr">
        <is>
          <t>고</t>
        </is>
      </c>
      <c r="K26" s="134" t="n">
        <v>27000</v>
      </c>
      <c r="L26" s="134" t="inlineStr">
        <is>
          <t>고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137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1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6" t="n"/>
      <c r="P27" s="136" t="n"/>
      <c r="Q27" s="132" t="n"/>
      <c r="R27" s="132" t="n"/>
      <c r="S27" s="9" t="n"/>
      <c r="T27" s="47" t="n"/>
      <c r="U27" s="9" t="n"/>
      <c r="W27" s="68">
        <f>$A$4&amp;" "&amp;A28&amp;"("&amp;B28&amp;","&amp;C28&amp;"^)"</f>
        <v/>
      </c>
      <c r="X27" s="69" t="n"/>
      <c r="Y27" s="69" t="n"/>
      <c r="Z27" s="69" t="n"/>
      <c r="AA27" s="69" t="n"/>
      <c r="AB27" s="69" t="n"/>
      <c r="AC27" s="69" t="n"/>
      <c r="AD27" s="69" t="n"/>
      <c r="AE27" s="69" t="n"/>
      <c r="AF27" s="70" t="n"/>
      <c r="AH27" s="20">
        <f>IF(A27="","",A27)</f>
        <v/>
      </c>
      <c r="AI27" s="156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이지더원더그레이스</t>
        </is>
      </c>
      <c r="B28" s="10" t="inlineStr">
        <is>
          <t>'20.06.</t>
        </is>
      </c>
      <c r="C28" s="133" t="n">
        <v>776</v>
      </c>
      <c r="D28" s="131" t="n">
        <v>82</v>
      </c>
      <c r="E28" s="132" t="n">
        <v>25</v>
      </c>
      <c r="F28" s="131" t="n">
        <v>60</v>
      </c>
      <c r="G28" s="17" t="n">
        <v>18</v>
      </c>
      <c r="H28" s="133" t="n">
        <v>172</v>
      </c>
      <c r="I28" s="134" t="n">
        <v>28500</v>
      </c>
      <c r="J28" s="134" t="inlineStr">
        <is>
          <t>중</t>
        </is>
      </c>
      <c r="K28" s="134" t="n">
        <v>22000</v>
      </c>
      <c r="L28" s="134" t="inlineStr">
        <is>
          <t>11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102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원주롯데캐슬골드파크2차</t>
        </is>
      </c>
      <c r="B30" s="10" t="inlineStr">
        <is>
          <t>'19.12.</t>
        </is>
      </c>
      <c r="C30" s="133" t="n">
        <v>536</v>
      </c>
      <c r="D30" s="131" t="n">
        <v>81.2</v>
      </c>
      <c r="E30" s="132" t="n">
        <v>25</v>
      </c>
      <c r="F30" s="131" t="n">
        <v>60</v>
      </c>
      <c r="G30" s="17" t="n">
        <v>18</v>
      </c>
      <c r="H30" s="133" t="n">
        <v>128</v>
      </c>
      <c r="I30" s="134" t="n">
        <v>34500</v>
      </c>
      <c r="J30" s="134" t="inlineStr">
        <is>
          <t>중</t>
        </is>
      </c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104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n"/>
      <c r="B31" s="121" t="n"/>
      <c r="C31" s="6" t="n"/>
      <c r="D31" s="9" t="n"/>
      <c r="E31" s="14" t="n"/>
      <c r="F31" s="131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6" t="n"/>
      <c r="P31" s="136" t="n"/>
      <c r="Q31" s="132" t="n"/>
      <c r="R31" s="132" t="n"/>
      <c r="S31" s="9" t="n"/>
      <c r="T31" s="47" t="n"/>
      <c r="U31" s="9" t="n"/>
      <c r="W31" s="68">
        <f>$A$4&amp;" "&amp;A32&amp;"("&amp;B32&amp;","&amp;C32&amp;"^)"</f>
        <v/>
      </c>
      <c r="X31" s="69" t="n"/>
      <c r="Y31" s="69" t="n"/>
      <c r="Z31" s="69" t="n"/>
      <c r="AA31" s="69" t="n"/>
      <c r="AB31" s="69" t="n"/>
      <c r="AC31" s="69" t="n"/>
      <c r="AD31" s="69" t="n"/>
      <c r="AE31" s="69" t="n"/>
      <c r="AF31" s="70" t="n"/>
      <c r="AH31" s="20">
        <f>IF(A31="","",A31)</f>
        <v/>
      </c>
      <c r="AI31" s="156">
        <f>IF(E31="","",E31)</f>
        <v/>
      </c>
      <c r="AJ31" s="121" t="n"/>
      <c r="AK31" s="121" t="n"/>
      <c r="AL31" s="121" t="n"/>
      <c r="AM31" s="121" t="n"/>
      <c r="AN31" s="121" t="n"/>
      <c r="AO31" s="121" t="n"/>
      <c r="AP31" s="121" t="n"/>
      <c r="AQ31" s="121" t="n"/>
      <c r="AR31" s="121" t="n"/>
      <c r="AS31" s="121" t="n"/>
      <c r="AT31" s="121" t="n"/>
      <c r="AU31" s="121" t="n"/>
      <c r="AV31" s="121" t="n"/>
    </row>
    <row r="32">
      <c r="A32" s="9" t="inlineStr">
        <is>
          <t>이지더원1차</t>
        </is>
      </c>
      <c r="B32" s="10" t="inlineStr">
        <is>
          <t>'19.01.</t>
        </is>
      </c>
      <c r="C32" s="133" t="n">
        <v>1430</v>
      </c>
      <c r="D32" s="131" t="n">
        <v>110.8</v>
      </c>
      <c r="E32" s="132" t="n">
        <v>34</v>
      </c>
      <c r="F32" s="131" t="n">
        <v>85</v>
      </c>
      <c r="G32" s="17" t="n">
        <v>26</v>
      </c>
      <c r="H32" s="133" t="n">
        <v>880</v>
      </c>
      <c r="I32" s="134" t="n">
        <v>35000</v>
      </c>
      <c r="J32" s="134" t="inlineStr">
        <is>
          <t>14</t>
        </is>
      </c>
      <c r="K32" s="134" t="n">
        <v>23000</v>
      </c>
      <c r="L32" s="134" t="inlineStr">
        <is>
          <t>6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1</v>
      </c>
      <c r="S32" s="121" t="inlineStr">
        <is>
          <t>계</t>
        </is>
      </c>
      <c r="T32" s="5" t="n">
        <v>73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8">
        <f>$A$4&amp;" "&amp;A34&amp;"("&amp;B34&amp;","&amp;C34&amp;"^)"</f>
        <v/>
      </c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70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원주롯데캐슬골드파크1차</t>
        </is>
      </c>
      <c r="B34" s="10" t="inlineStr">
        <is>
          <t>'19.12.</t>
        </is>
      </c>
      <c r="C34" s="133" t="n">
        <v>624</v>
      </c>
      <c r="D34" s="131" t="n">
        <v>81.59999999999999</v>
      </c>
      <c r="E34" s="132" t="n">
        <v>25</v>
      </c>
      <c r="F34" s="131" t="n">
        <v>60</v>
      </c>
      <c r="G34" s="17" t="n">
        <v>18</v>
      </c>
      <c r="H34" s="133" t="n">
        <v>157</v>
      </c>
      <c r="I34" s="134" t="n">
        <v>33000</v>
      </c>
      <c r="J34" s="134" t="inlineStr">
        <is>
          <t>7</t>
        </is>
      </c>
      <c r="K34" s="134" t="n">
        <v>22000</v>
      </c>
      <c r="L34" s="134" t="inlineStr">
        <is>
          <t>18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111B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8">
        <f>$A$4&amp;" "&amp;A36&amp;"("&amp;B36&amp;","&amp;C36&amp;"^)"</f>
        <v/>
      </c>
      <c r="X35" s="69" t="n"/>
      <c r="Y35" s="69" t="n"/>
      <c r="Z35" s="69" t="n"/>
      <c r="AA35" s="69" t="n"/>
      <c r="AB35" s="69" t="n"/>
      <c r="AC35" s="69" t="n"/>
      <c r="AD35" s="69" t="n"/>
      <c r="AE35" s="69" t="n"/>
      <c r="AF35" s="70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 ht="24" customHeight="1" s="124">
      <c r="A36" s="9" t="inlineStr">
        <is>
          <t>원주기업도시유보라아이비파크2단지</t>
        </is>
      </c>
      <c r="B36" s="10" t="inlineStr">
        <is>
          <t>'20.01.</t>
        </is>
      </c>
      <c r="C36" s="133" t="n">
        <v>794</v>
      </c>
      <c r="D36" s="131" t="n">
        <v>80.5</v>
      </c>
      <c r="E36" s="132" t="n">
        <v>24</v>
      </c>
      <c r="F36" s="131" t="n">
        <v>60</v>
      </c>
      <c r="G36" s="17" t="n">
        <v>18</v>
      </c>
      <c r="H36" s="133" t="n">
        <v>34</v>
      </c>
      <c r="I36" s="134" t="n">
        <v>29000</v>
      </c>
      <c r="J36" s="134" t="inlineStr">
        <is>
          <t>16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135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8">
        <f>$A$4&amp;" "&amp;A38&amp;"("&amp;B38&amp;","&amp;C38&amp;"^)"</f>
        <v/>
      </c>
      <c r="X37" s="69" t="n"/>
      <c r="Y37" s="69" t="n"/>
      <c r="Z37" s="69" t="n"/>
      <c r="AA37" s="69" t="n"/>
      <c r="AB37" s="69" t="n"/>
      <c r="AC37" s="69" t="n"/>
      <c r="AD37" s="69" t="n"/>
      <c r="AE37" s="69" t="n"/>
      <c r="AF37" s="70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 ht="24" customHeight="1" s="124">
      <c r="A38" s="9" t="inlineStr">
        <is>
          <t>원주기업도시호반베르디움(3-2블록)</t>
        </is>
      </c>
      <c r="B38" s="10" t="inlineStr">
        <is>
          <t>'19.05.</t>
        </is>
      </c>
      <c r="C38" s="133" t="n">
        <v>824</v>
      </c>
      <c r="D38" s="131" t="n">
        <v>83.09999999999999</v>
      </c>
      <c r="E38" s="132" t="n">
        <v>25</v>
      </c>
      <c r="F38" s="131" t="n">
        <v>60</v>
      </c>
      <c r="G38" s="17" t="n">
        <v>18</v>
      </c>
      <c r="H38" s="133" t="n">
        <v>244</v>
      </c>
      <c r="I38" s="134" t="n">
        <v>28000</v>
      </c>
      <c r="J38" s="134" t="inlineStr">
        <is>
          <t>중</t>
        </is>
      </c>
      <c r="K38" s="134" t="n">
        <v>21000</v>
      </c>
      <c r="L38" s="134" t="inlineStr">
        <is>
          <t>9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87A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n"/>
      <c r="B39" s="121" t="n"/>
      <c r="C39" s="6" t="n"/>
      <c r="D39" s="9" t="n"/>
      <c r="E39" s="14" t="n"/>
      <c r="F39" s="131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6" t="n"/>
      <c r="P39" s="136" t="n"/>
      <c r="Q39" s="132" t="n"/>
      <c r="R39" s="132" t="n"/>
      <c r="S39" s="9" t="n"/>
      <c r="T39" s="47" t="n"/>
      <c r="U39" s="9" t="n"/>
      <c r="W39" s="68">
        <f>$A$4&amp;" "&amp;A40&amp;"("&amp;B40&amp;","&amp;C40&amp;"^)"</f>
        <v/>
      </c>
      <c r="X39" s="69" t="n"/>
      <c r="Y39" s="69" t="n"/>
      <c r="Z39" s="69" t="n"/>
      <c r="AA39" s="69" t="n"/>
      <c r="AB39" s="69" t="n"/>
      <c r="AC39" s="69" t="n"/>
      <c r="AD39" s="69" t="n"/>
      <c r="AE39" s="69" t="n"/>
      <c r="AF39" s="70" t="n"/>
      <c r="AH39" s="20">
        <f>IF(A39="","",A39)</f>
        <v/>
      </c>
      <c r="AI39" s="156">
        <f>IF(E39="","",E39)</f>
        <v/>
      </c>
      <c r="AJ39" s="121" t="n"/>
      <c r="AK39" s="121" t="n"/>
      <c r="AL39" s="121" t="n"/>
      <c r="AM39" s="121" t="n"/>
      <c r="AN39" s="121" t="n"/>
      <c r="AO39" s="121" t="n"/>
      <c r="AP39" s="121" t="n"/>
      <c r="AQ39" s="121" t="n"/>
      <c r="AR39" s="121" t="n"/>
      <c r="AS39" s="121" t="n"/>
      <c r="AT39" s="121" t="n"/>
      <c r="AU39" s="121" t="n"/>
      <c r="AV39" s="121" t="n"/>
    </row>
    <row r="40">
      <c r="A40" s="9" t="inlineStr">
        <is>
          <t>원주기업도시호반베르디움8단지</t>
        </is>
      </c>
      <c r="B40" s="10" t="inlineStr">
        <is>
          <t>'18.08.</t>
        </is>
      </c>
      <c r="C40" s="133" t="n">
        <v>882</v>
      </c>
      <c r="D40" s="131" t="n">
        <v>85.7</v>
      </c>
      <c r="E40" s="132" t="n">
        <v>26</v>
      </c>
      <c r="F40" s="131" t="n">
        <v>59.9</v>
      </c>
      <c r="G40" s="17" t="n">
        <v>18</v>
      </c>
      <c r="H40" s="133" t="n">
        <v>337</v>
      </c>
      <c r="I40" s="134" t="n">
        <v>29000</v>
      </c>
      <c r="J40" s="134" t="inlineStr">
        <is>
          <t>10</t>
        </is>
      </c>
      <c r="K40" s="134" t="n">
        <v>20000</v>
      </c>
      <c r="L40" s="134" t="inlineStr">
        <is>
          <t>중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1</v>
      </c>
      <c r="R40" s="121" t="n">
        <v>1</v>
      </c>
      <c r="S40" s="121" t="inlineStr">
        <is>
          <t>계</t>
        </is>
      </c>
      <c r="T40" s="5" t="inlineStr">
        <is>
          <t>34B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n"/>
      <c r="B41" s="121" t="n"/>
      <c r="C41" s="6" t="n"/>
      <c r="D41" s="9" t="n"/>
      <c r="E41" s="14" t="n"/>
      <c r="F41" s="131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6" t="n"/>
      <c r="P41" s="136" t="n"/>
      <c r="Q41" s="132" t="n"/>
      <c r="R41" s="132" t="n"/>
      <c r="S41" s="9" t="n"/>
      <c r="T41" s="47" t="n"/>
      <c r="U41" s="9" t="n"/>
      <c r="W41" s="68">
        <f>$A$4&amp;" "&amp;A42&amp;"("&amp;B42&amp;","&amp;C42&amp;"^)"</f>
        <v/>
      </c>
      <c r="X41" s="69" t="n"/>
      <c r="Y41" s="69" t="n"/>
      <c r="Z41" s="69" t="n"/>
      <c r="AA41" s="69" t="n"/>
      <c r="AB41" s="69" t="n"/>
      <c r="AC41" s="69" t="n"/>
      <c r="AD41" s="69" t="n"/>
      <c r="AE41" s="69" t="n"/>
      <c r="AF41" s="70" t="n"/>
      <c r="AH41" s="20">
        <f>IF(A41="","",A41)</f>
        <v/>
      </c>
      <c r="AI41" s="156">
        <f>IF(E41="","",E41)</f>
        <v/>
      </c>
      <c r="AJ41" s="121" t="n"/>
      <c r="AK41" s="121" t="n"/>
      <c r="AL41" s="121" t="n"/>
      <c r="AM41" s="121" t="n"/>
      <c r="AN41" s="121" t="n"/>
      <c r="AO41" s="121" t="n"/>
      <c r="AP41" s="121" t="n"/>
      <c r="AQ41" s="121" t="n"/>
      <c r="AR41" s="121" t="n"/>
      <c r="AS41" s="121" t="n"/>
      <c r="AT41" s="121" t="n"/>
      <c r="AU41" s="121" t="n"/>
      <c r="AV41" s="121" t="n"/>
    </row>
    <row r="42">
      <c r="A42" s="9" t="inlineStr">
        <is>
          <t>원주롯데캐슬더퍼스트2차</t>
        </is>
      </c>
      <c r="B42" s="10" t="inlineStr">
        <is>
          <t>'18.08.</t>
        </is>
      </c>
      <c r="C42" s="133" t="n">
        <v>1116</v>
      </c>
      <c r="D42" s="131" t="n">
        <v>84.59999999999999</v>
      </c>
      <c r="E42" s="132" t="n">
        <v>26</v>
      </c>
      <c r="F42" s="131" t="n">
        <v>60</v>
      </c>
      <c r="G42" s="17" t="n">
        <v>18</v>
      </c>
      <c r="H42" s="133" t="n">
        <v>571</v>
      </c>
      <c r="I42" s="134" t="n">
        <v>29000</v>
      </c>
      <c r="J42" s="134" t="inlineStr">
        <is>
          <t>중</t>
        </is>
      </c>
      <c r="K42" s="134" t="n">
        <v>20000</v>
      </c>
      <c r="L42" s="134" t="inlineStr">
        <is>
          <t>7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1</v>
      </c>
      <c r="R42" s="121" t="n">
        <v>1</v>
      </c>
      <c r="S42" s="121" t="inlineStr">
        <is>
          <t>계</t>
        </is>
      </c>
      <c r="T42" s="5" t="inlineStr">
        <is>
          <t>40B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n"/>
      <c r="B43" s="121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6">
        <f>IF(E43="","",E43)</f>
        <v/>
      </c>
      <c r="AJ43" s="121" t="n"/>
      <c r="AK43" s="121" t="n"/>
      <c r="AL43" s="121" t="n"/>
      <c r="AM43" s="121" t="n"/>
      <c r="AN43" s="121" t="n"/>
      <c r="AO43" s="121" t="n"/>
      <c r="AP43" s="121" t="n"/>
      <c r="AQ43" s="121" t="n"/>
      <c r="AR43" s="121" t="n"/>
      <c r="AS43" s="121" t="n"/>
      <c r="AT43" s="121" t="n"/>
      <c r="AU43" s="121" t="n"/>
      <c r="AV43" s="121" t="n"/>
    </row>
    <row r="44">
      <c r="A44" s="9" t="inlineStr">
        <is>
          <t>원주롯데캐슬더퍼스트</t>
        </is>
      </c>
      <c r="B44" s="10" t="inlineStr">
        <is>
          <t>'18.06.</t>
        </is>
      </c>
      <c r="C44" s="133" t="n">
        <v>1243</v>
      </c>
      <c r="D44" s="131" t="n">
        <v>85.09999999999999</v>
      </c>
      <c r="E44" s="132" t="n">
        <v>26</v>
      </c>
      <c r="F44" s="131" t="n">
        <v>60</v>
      </c>
      <c r="G44" s="17" t="n">
        <v>18</v>
      </c>
      <c r="H44" s="133" t="n">
        <v>532</v>
      </c>
      <c r="I44" s="134" t="n">
        <v>28000</v>
      </c>
      <c r="J44" s="134" t="inlineStr">
        <is>
          <t>26</t>
        </is>
      </c>
      <c r="K44" s="134" t="n">
        <v>19000</v>
      </c>
      <c r="L44" s="134" t="inlineStr">
        <is>
          <t>6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n">
        <v>156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7" t="n"/>
      <c r="U45" s="9" t="n"/>
      <c r="W45" s="68">
        <f>$A$4&amp;" "&amp;A46&amp;"("&amp;B46&amp;","&amp;C46&amp;"^)"</f>
        <v/>
      </c>
      <c r="X45" s="69" t="n"/>
      <c r="Y45" s="69" t="n"/>
      <c r="Z45" s="69" t="n"/>
      <c r="AA45" s="69" t="n"/>
      <c r="AB45" s="69" t="n"/>
      <c r="AC45" s="69" t="n"/>
      <c r="AD45" s="69" t="n"/>
      <c r="AE45" s="69" t="n"/>
      <c r="AF45" s="70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 ht="24" customHeight="1" s="124">
      <c r="A46" s="9" t="inlineStr">
        <is>
          <t>원주기업도시호반베르디움(3-1블록)</t>
        </is>
      </c>
      <c r="B46" s="10" t="inlineStr">
        <is>
          <t>'19.05.</t>
        </is>
      </c>
      <c r="C46" s="133" t="n">
        <v>892</v>
      </c>
      <c r="D46" s="131" t="n">
        <v>83.09999999999999</v>
      </c>
      <c r="E46" s="132" t="n">
        <v>25</v>
      </c>
      <c r="F46" s="131" t="n">
        <v>60</v>
      </c>
      <c r="G46" s="17" t="n">
        <v>18</v>
      </c>
      <c r="H46" s="133" t="n">
        <v>270</v>
      </c>
      <c r="I46" s="134" t="n">
        <v>26500</v>
      </c>
      <c r="J46" s="134" t="inlineStr">
        <is>
          <t>7</t>
        </is>
      </c>
      <c r="K46" s="134" t="n">
        <v>20000</v>
      </c>
      <c r="L46" s="134" t="inlineStr">
        <is>
          <t>고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126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n"/>
      <c r="B47" s="121" t="n"/>
      <c r="C47" s="6" t="n"/>
      <c r="D47" s="9" t="n"/>
      <c r="E47" s="14" t="n"/>
      <c r="F47" s="131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6" t="n"/>
      <c r="P47" s="136" t="n"/>
      <c r="Q47" s="132" t="n"/>
      <c r="R47" s="132" t="n"/>
      <c r="S47" s="9" t="n"/>
      <c r="T47" s="47" t="n"/>
      <c r="U47" s="9" t="n"/>
      <c r="W47" s="68">
        <f>$A$4&amp;" "&amp;A48&amp;"("&amp;B48&amp;","&amp;C48&amp;"^)"</f>
        <v/>
      </c>
      <c r="X47" s="69" t="n"/>
      <c r="Y47" s="69" t="n"/>
      <c r="Z47" s="69" t="n"/>
      <c r="AA47" s="69" t="n"/>
      <c r="AB47" s="69" t="n"/>
      <c r="AC47" s="69" t="n"/>
      <c r="AD47" s="69" t="n"/>
      <c r="AE47" s="69" t="n"/>
      <c r="AF47" s="70" t="n"/>
      <c r="AH47" s="20">
        <f>IF(A47="","",A47)</f>
        <v/>
      </c>
      <c r="AI47" s="156">
        <f>IF(E47="","",E47)</f>
        <v/>
      </c>
      <c r="AJ47" s="121" t="n"/>
      <c r="AK47" s="121" t="n"/>
      <c r="AL47" s="121" t="n"/>
      <c r="AM47" s="121" t="n"/>
      <c r="AN47" s="121" t="n"/>
      <c r="AO47" s="121" t="n"/>
      <c r="AP47" s="121" t="n"/>
      <c r="AQ47" s="121" t="n"/>
      <c r="AR47" s="121" t="n"/>
      <c r="AS47" s="121" t="n"/>
      <c r="AT47" s="121" t="n"/>
      <c r="AU47" s="121" t="n"/>
      <c r="AV47" s="121" t="n"/>
    </row>
    <row r="48" ht="24" customHeight="1" s="124">
      <c r="A48" s="9" t="inlineStr">
        <is>
          <t>원주기업도시유보라아이비파크1단지</t>
        </is>
      </c>
      <c r="B48" s="10" t="inlineStr">
        <is>
          <t>'20.01.</t>
        </is>
      </c>
      <c r="C48" s="133" t="n">
        <v>548</v>
      </c>
      <c r="D48" s="131" t="n">
        <v>81.3</v>
      </c>
      <c r="E48" s="132" t="n">
        <v>25</v>
      </c>
      <c r="F48" s="131" t="n">
        <v>60</v>
      </c>
      <c r="G48" s="17" t="n">
        <v>18</v>
      </c>
      <c r="H48" s="133" t="n">
        <v>178</v>
      </c>
      <c r="I48" s="134" t="n">
        <v>27000</v>
      </c>
      <c r="J48" s="134" t="inlineStr">
        <is>
          <t>중</t>
        </is>
      </c>
      <c r="K48" s="134" t="n">
        <v>22000</v>
      </c>
      <c r="L48" s="134" t="inlineStr">
        <is>
          <t>고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inlineStr">
        <is>
          <t>107D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n"/>
      <c r="B49" s="121" t="n"/>
      <c r="C49" s="6" t="n"/>
      <c r="D49" s="9" t="n"/>
      <c r="E49" s="14" t="n"/>
      <c r="F49" s="131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6" t="n"/>
      <c r="P49" s="136" t="n"/>
      <c r="Q49" s="132" t="n"/>
      <c r="R49" s="132" t="n"/>
      <c r="S49" s="9" t="n"/>
      <c r="T49" s="47" t="n"/>
      <c r="U49" s="9" t="n"/>
      <c r="W49" s="68">
        <f>$A$4&amp;" "&amp;A50&amp;"("&amp;B50&amp;","&amp;C50&amp;"^)"</f>
        <v/>
      </c>
      <c r="X49" s="69" t="n"/>
      <c r="Y49" s="69" t="n"/>
      <c r="Z49" s="69" t="n"/>
      <c r="AA49" s="69" t="n"/>
      <c r="AB49" s="69" t="n"/>
      <c r="AC49" s="69" t="n"/>
      <c r="AD49" s="69" t="n"/>
      <c r="AE49" s="69" t="n"/>
      <c r="AF49" s="70" t="n"/>
      <c r="AH49" s="20">
        <f>IF(A49="","",A49)</f>
        <v/>
      </c>
      <c r="AI49" s="156">
        <f>IF(E49="","",E49)</f>
        <v/>
      </c>
      <c r="AJ49" s="121" t="n"/>
      <c r="AK49" s="121" t="n"/>
      <c r="AL49" s="121" t="n"/>
      <c r="AM49" s="121" t="n"/>
      <c r="AN49" s="121" t="n"/>
      <c r="AO49" s="121" t="n"/>
      <c r="AP49" s="121" t="n"/>
      <c r="AQ49" s="121" t="n"/>
      <c r="AR49" s="121" t="n"/>
      <c r="AS49" s="121" t="n"/>
      <c r="AT49" s="121" t="n"/>
      <c r="AU49" s="121" t="n"/>
      <c r="AV49" s="121" t="n"/>
    </row>
    <row r="50">
      <c r="A50" s="9" t="inlineStr">
        <is>
          <t>원주기업도시라온프라이빗</t>
        </is>
      </c>
      <c r="B50" s="10" t="inlineStr">
        <is>
          <t>'18.12.</t>
        </is>
      </c>
      <c r="C50" s="133" t="n">
        <v>713</v>
      </c>
      <c r="D50" s="131" t="n">
        <v>81.40000000000001</v>
      </c>
      <c r="E50" s="132" t="n">
        <v>25</v>
      </c>
      <c r="F50" s="131" t="n">
        <v>59.8</v>
      </c>
      <c r="G50" s="17" t="n">
        <v>18</v>
      </c>
      <c r="H50" s="133" t="n">
        <v>280</v>
      </c>
      <c r="I50" s="134" t="n">
        <v>27000</v>
      </c>
      <c r="J50" s="134" t="inlineStr">
        <is>
          <t>5</t>
        </is>
      </c>
      <c r="K50" s="134" t="n">
        <v>20000</v>
      </c>
      <c r="L50" s="134" t="inlineStr">
        <is>
          <t>22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105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n"/>
      <c r="B51" s="121" t="n"/>
      <c r="C51" s="6" t="n"/>
      <c r="D51" s="9" t="n"/>
      <c r="E51" s="14" t="n"/>
      <c r="F51" s="131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6" t="n"/>
      <c r="P51" s="136" t="n"/>
      <c r="Q51" s="132" t="n"/>
      <c r="R51" s="132" t="n"/>
      <c r="S51" s="9" t="n"/>
      <c r="T51" s="47" t="n"/>
      <c r="U51" s="9" t="n"/>
      <c r="W51" s="68">
        <f>$A$4&amp;" "&amp;A52&amp;"("&amp;B52&amp;","&amp;C52&amp;"^)"</f>
        <v/>
      </c>
      <c r="X51" s="69" t="n"/>
      <c r="Y51" s="69" t="n"/>
      <c r="Z51" s="69" t="n"/>
      <c r="AA51" s="69" t="n"/>
      <c r="AB51" s="69" t="n"/>
      <c r="AC51" s="69" t="n"/>
      <c r="AD51" s="69" t="n"/>
      <c r="AE51" s="69" t="n"/>
      <c r="AF51" s="70" t="n"/>
      <c r="AH51" s="20">
        <f>IF(A51="","",A51)</f>
        <v/>
      </c>
      <c r="AI51" s="156">
        <f>IF(E51="","",E51)</f>
        <v/>
      </c>
      <c r="AJ51" s="121" t="n"/>
      <c r="AK51" s="121" t="n"/>
      <c r="AL51" s="121" t="n"/>
      <c r="AM51" s="121" t="n"/>
      <c r="AN51" s="121" t="n"/>
      <c r="AO51" s="121" t="n"/>
      <c r="AP51" s="121" t="n"/>
      <c r="AQ51" s="121" t="n"/>
      <c r="AR51" s="121" t="n"/>
      <c r="AS51" s="121" t="n"/>
      <c r="AT51" s="121" t="n"/>
      <c r="AU51" s="121" t="n"/>
      <c r="AV51" s="121" t="n"/>
    </row>
    <row r="52">
      <c r="A52" s="9" t="inlineStr">
        <is>
          <t>이지더원1차</t>
        </is>
      </c>
      <c r="B52" s="10" t="inlineStr">
        <is>
          <t>'19.01.</t>
        </is>
      </c>
      <c r="C52" s="133" t="n">
        <v>1430</v>
      </c>
      <c r="D52" s="131" t="n">
        <v>79.59999999999999</v>
      </c>
      <c r="E52" s="132" t="n">
        <v>24</v>
      </c>
      <c r="F52" s="131" t="n">
        <v>59.9</v>
      </c>
      <c r="G52" s="17" t="n">
        <v>18</v>
      </c>
      <c r="H52" s="133" t="n">
        <v>470</v>
      </c>
      <c r="I52" s="134" t="n">
        <v>26000</v>
      </c>
      <c r="J52" s="134" t="inlineStr">
        <is>
          <t>29</t>
        </is>
      </c>
      <c r="K52" s="134" t="n">
        <v>20000</v>
      </c>
      <c r="L52" s="134" t="inlineStr">
        <is>
          <t>중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n">
        <v>61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</sheetData>
  <mergeCells count="1">
    <mergeCell ref="AJ1:AN1"/>
  </mergeCells>
  <conditionalFormatting sqref="AV4:AV6">
    <cfRule type="expression" priority="572" dxfId="23">
      <formula>AV4="X"</formula>
    </cfRule>
    <cfRule type="expression" priority="573" dxfId="22">
      <formula>AV4="후보"</formula>
    </cfRule>
  </conditionalFormatting>
  <conditionalFormatting sqref="AC1:AC2 AC4:AC6 N4:N5">
    <cfRule type="cellIs" priority="569" operator="greaterThan" dxfId="17">
      <formula>0.9</formula>
    </cfRule>
    <cfRule type="cellIs" priority="570" operator="greaterThan" dxfId="16">
      <formula>0.85</formula>
    </cfRule>
  </conditionalFormatting>
  <conditionalFormatting sqref="N1:N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6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6">
    <cfRule type="expression" priority="561" dxfId="3">
      <formula>AND(IF(OR($Q6=1,$Q6=2),1,0),IF($X6&lt;=20,1,0))</formula>
    </cfRule>
    <cfRule type="expression" priority="562" dxfId="2">
      <formula>AND(IF($Q6=2,1,0),IF($X6&lt;30,1,0))</formula>
    </cfRule>
    <cfRule type="expression" priority="563" dxfId="1">
      <formula>AND(IF($Q6=3,1,0),IF($X6&lt;30,1,0))</formula>
    </cfRule>
    <cfRule type="expression" priority="564" dxfId="0">
      <formula>AND(IF($Q6=3,1,IF($Q6=4,1,0)),IF($F6&lt;=85,1,0))</formula>
    </cfRule>
  </conditionalFormatting>
  <conditionalFormatting sqref="X6">
    <cfRule type="expression" priority="557" dxfId="3">
      <formula>AND(IF(OR($Q6=1,$Q6=2),1,0),IF($X6&lt;=20,1,0))</formula>
    </cfRule>
    <cfRule type="expression" priority="558" dxfId="2">
      <formula>AND(IF($Q6=2,1,0),IF($X6&lt;30,1,0))</formula>
    </cfRule>
    <cfRule type="expression" priority="559" dxfId="1">
      <formula>AND(IF($Q6=3,1,0),IF($X6&lt;30,1,0))</formula>
    </cfRule>
    <cfRule type="expression" priority="560" dxfId="0">
      <formula>AND(IF($Q6=3,1,IF($Q6=4,1,0)),IF($F6&lt;=85,1,0))</formula>
    </cfRule>
  </conditionalFormatting>
  <conditionalFormatting sqref="AI6">
    <cfRule type="expression" priority="553" dxfId="3">
      <formula>AND(IF(OR($Q6=1,$Q6=2),1,0),IF($X6&lt;=20,1,0))</formula>
    </cfRule>
    <cfRule type="expression" priority="554" dxfId="2">
      <formula>AND(IF($Q6=2,1,0),IF($X6&lt;30,1,0))</formula>
    </cfRule>
    <cfRule type="expression" priority="555" dxfId="1">
      <formula>AND(IF($Q6=3,1,0),IF($X6&lt;30,1,0))</formula>
    </cfRule>
    <cfRule type="expression" priority="556" dxfId="0">
      <formula>AND(IF($Q6=3,1,IF($Q6=4,1,0)),IF($F6&lt;=85,1,0))</formula>
    </cfRule>
  </conditionalFormatting>
  <conditionalFormatting sqref="AV7">
    <cfRule type="expression" priority="551" dxfId="23">
      <formula>AV7="X"</formula>
    </cfRule>
    <cfRule type="expression" priority="552" dxfId="22">
      <formula>AV7="후보"</formula>
    </cfRule>
  </conditionalFormatting>
  <conditionalFormatting sqref="AC7 N7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8">
    <cfRule type="expression" priority="546" dxfId="23">
      <formula>AV8="X"</formula>
    </cfRule>
    <cfRule type="expression" priority="547" dxfId="22">
      <formula>AV8="후보"</formula>
    </cfRule>
  </conditionalFormatting>
  <conditionalFormatting sqref="AC8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8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8">
    <cfRule type="expression" priority="537" dxfId="3">
      <formula>AND(IF(OR($Q8=1,$Q8=2),1,0),IF($X8&lt;=20,1,0))</formula>
    </cfRule>
    <cfRule type="expression" priority="538" dxfId="2">
      <formula>AND(IF($Q8=2,1,0),IF($X8&lt;30,1,0))</formula>
    </cfRule>
    <cfRule type="expression" priority="539" dxfId="1">
      <formula>AND(IF($Q8=3,1,0),IF($X8&lt;30,1,0))</formula>
    </cfRule>
    <cfRule type="expression" priority="540" dxfId="0">
      <formula>AND(IF($Q8=3,1,IF($Q8=4,1,0)),IF($F8&lt;=85,1,0))</formula>
    </cfRule>
  </conditionalFormatting>
  <conditionalFormatting sqref="X8">
    <cfRule type="expression" priority="533" dxfId="3">
      <formula>AND(IF(OR($Q8=1,$Q8=2),1,0),IF($X8&lt;=20,1,0))</formula>
    </cfRule>
    <cfRule type="expression" priority="534" dxfId="2">
      <formula>AND(IF($Q8=2,1,0),IF($X8&lt;30,1,0))</formula>
    </cfRule>
    <cfRule type="expression" priority="535" dxfId="1">
      <formula>AND(IF($Q8=3,1,0),IF($X8&lt;30,1,0))</formula>
    </cfRule>
    <cfRule type="expression" priority="536" dxfId="0">
      <formula>AND(IF($Q8=3,1,IF($Q8=4,1,0)),IF($F8&lt;=85,1,0))</formula>
    </cfRule>
  </conditionalFormatting>
  <conditionalFormatting sqref="AI8">
    <cfRule type="expression" priority="529" dxfId="3">
      <formula>AND(IF(OR($Q8=1,$Q8=2),1,0),IF($X8&lt;=20,1,0))</formula>
    </cfRule>
    <cfRule type="expression" priority="530" dxfId="2">
      <formula>AND(IF($Q8=2,1,0),IF($X8&lt;30,1,0))</formula>
    </cfRule>
    <cfRule type="expression" priority="531" dxfId="1">
      <formula>AND(IF($Q8=3,1,0),IF($X8&lt;30,1,0))</formula>
    </cfRule>
    <cfRule type="expression" priority="532" dxfId="0">
      <formula>AND(IF($Q8=3,1,IF($Q8=4,1,0)),IF($F8&lt;=85,1,0))</formula>
    </cfRule>
  </conditionalFormatting>
  <conditionalFormatting sqref="AV9">
    <cfRule type="expression" priority="527" dxfId="23">
      <formula>AV9="X"</formula>
    </cfRule>
    <cfRule type="expression" priority="528" dxfId="22">
      <formula>AV9="후보"</formula>
    </cfRule>
  </conditionalFormatting>
  <conditionalFormatting sqref="AC9 N9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AV10">
    <cfRule type="expression" priority="522" dxfId="23">
      <formula>AV10="X"</formula>
    </cfRule>
    <cfRule type="expression" priority="523" dxfId="22">
      <formula>AV10="후보"</formula>
    </cfRule>
  </conditionalFormatting>
  <conditionalFormatting sqref="AC10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0">
    <cfRule type="expression" priority="513" dxfId="3">
      <formula>AND(IF(OR($Q10=1,$Q10=2),1,0),IF($X10&lt;=20,1,0))</formula>
    </cfRule>
    <cfRule type="expression" priority="514" dxfId="2">
      <formula>AND(IF($Q10=2,1,0),IF($X10&lt;30,1,0))</formula>
    </cfRule>
    <cfRule type="expression" priority="515" dxfId="1">
      <formula>AND(IF($Q10=3,1,0),IF($X10&lt;30,1,0))</formula>
    </cfRule>
    <cfRule type="expression" priority="516" dxfId="0">
      <formula>AND(IF($Q10=3,1,IF($Q10=4,1,0)),IF($F10&lt;=85,1,0))</formula>
    </cfRule>
  </conditionalFormatting>
  <conditionalFormatting sqref="X10">
    <cfRule type="expression" priority="509" dxfId="3">
      <formula>AND(IF(OR($Q10=1,$Q10=2),1,0),IF($X10&lt;=20,1,0))</formula>
    </cfRule>
    <cfRule type="expression" priority="510" dxfId="2">
      <formula>AND(IF($Q10=2,1,0),IF($X10&lt;30,1,0))</formula>
    </cfRule>
    <cfRule type="expression" priority="511" dxfId="1">
      <formula>AND(IF($Q10=3,1,0),IF($X10&lt;30,1,0))</formula>
    </cfRule>
    <cfRule type="expression" priority="512" dxfId="0">
      <formula>AND(IF($Q10=3,1,IF($Q10=4,1,0)),IF($F10&lt;=85,1,0))</formula>
    </cfRule>
  </conditionalFormatting>
  <conditionalFormatting sqref="AI10">
    <cfRule type="expression" priority="505" dxfId="3">
      <formula>AND(IF(OR($Q10=1,$Q10=2),1,0),IF($X10&lt;=20,1,0))</formula>
    </cfRule>
    <cfRule type="expression" priority="506" dxfId="2">
      <formula>AND(IF($Q10=2,1,0),IF($X10&lt;30,1,0))</formula>
    </cfRule>
    <cfRule type="expression" priority="507" dxfId="1">
      <formula>AND(IF($Q10=3,1,0),IF($X10&lt;30,1,0))</formula>
    </cfRule>
    <cfRule type="expression" priority="508" dxfId="0">
      <formula>AND(IF($Q10=3,1,IF($Q10=4,1,0)),IF($F10&lt;=85,1,0))</formula>
    </cfRule>
  </conditionalFormatting>
  <conditionalFormatting sqref="AV11">
    <cfRule type="expression" priority="503" dxfId="23">
      <formula>AV11="X"</formula>
    </cfRule>
    <cfRule type="expression" priority="504" dxfId="22">
      <formula>AV11="후보"</formula>
    </cfRule>
  </conditionalFormatting>
  <conditionalFormatting sqref="AC11 N11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AV12">
    <cfRule type="expression" priority="498" dxfId="23">
      <formula>AV12="X"</formula>
    </cfRule>
    <cfRule type="expression" priority="499" dxfId="22">
      <formula>AV12="후보"</formula>
    </cfRule>
  </conditionalFormatting>
  <conditionalFormatting sqref="AC12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N12">
    <cfRule type="cellIs" priority="493" operator="greaterThan" dxfId="17">
      <formula>0.9</formula>
    </cfRule>
    <cfRule type="cellIs" priority="494" operator="greaterThan" dxfId="16">
      <formula>0.85</formula>
    </cfRule>
  </conditionalFormatting>
  <conditionalFormatting sqref="E12">
    <cfRule type="expression" priority="489" dxfId="3">
      <formula>AND(IF(OR($Q12=1,$Q12=2),1,0),IF($X12&lt;=20,1,0))</formula>
    </cfRule>
    <cfRule type="expression" priority="490" dxfId="2">
      <formula>AND(IF($Q12=2,1,0),IF($X12&lt;30,1,0))</formula>
    </cfRule>
    <cfRule type="expression" priority="491" dxfId="1">
      <formula>AND(IF($Q12=3,1,0),IF($X12&lt;30,1,0))</formula>
    </cfRule>
    <cfRule type="expression" priority="492" dxfId="0">
      <formula>AND(IF($Q12=3,1,IF($Q12=4,1,0)),IF($F12&lt;=85,1,0))</formula>
    </cfRule>
  </conditionalFormatting>
  <conditionalFormatting sqref="X12">
    <cfRule type="expression" priority="485" dxfId="3">
      <formula>AND(IF(OR($Q12=1,$Q12=2),1,0),IF($X12&lt;=20,1,0))</formula>
    </cfRule>
    <cfRule type="expression" priority="486" dxfId="2">
      <formula>AND(IF($Q12=2,1,0),IF($X12&lt;30,1,0))</formula>
    </cfRule>
    <cfRule type="expression" priority="487" dxfId="1">
      <formula>AND(IF($Q12=3,1,0),IF($X12&lt;30,1,0))</formula>
    </cfRule>
    <cfRule type="expression" priority="488" dxfId="0">
      <formula>AND(IF($Q12=3,1,IF($Q12=4,1,0)),IF($F12&lt;=85,1,0))</formula>
    </cfRule>
  </conditionalFormatting>
  <conditionalFormatting sqref="AI12">
    <cfRule type="expression" priority="481" dxfId="3">
      <formula>AND(IF(OR($Q12=1,$Q12=2),1,0),IF($X12&lt;=20,1,0))</formula>
    </cfRule>
    <cfRule type="expression" priority="482" dxfId="2">
      <formula>AND(IF($Q12=2,1,0),IF($X12&lt;30,1,0))</formula>
    </cfRule>
    <cfRule type="expression" priority="483" dxfId="1">
      <formula>AND(IF($Q12=3,1,0),IF($X12&lt;30,1,0))</formula>
    </cfRule>
    <cfRule type="expression" priority="484" dxfId="0">
      <formula>AND(IF($Q12=3,1,IF($Q12=4,1,0)),IF($F12&lt;=85,1,0))</formula>
    </cfRule>
  </conditionalFormatting>
  <conditionalFormatting sqref="AV13">
    <cfRule type="expression" priority="479" dxfId="23">
      <formula>AV13="X"</formula>
    </cfRule>
    <cfRule type="expression" priority="480" dxfId="22">
      <formula>AV13="후보"</formula>
    </cfRule>
  </conditionalFormatting>
  <conditionalFormatting sqref="AC13 N13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AV14">
    <cfRule type="expression" priority="474" dxfId="23">
      <formula>AV14="X"</formula>
    </cfRule>
    <cfRule type="expression" priority="475" dxfId="22">
      <formula>AV14="후보"</formula>
    </cfRule>
  </conditionalFormatting>
  <conditionalFormatting sqref="AC14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N14">
    <cfRule type="cellIs" priority="469" operator="greaterThan" dxfId="17">
      <formula>0.9</formula>
    </cfRule>
    <cfRule type="cellIs" priority="470" operator="greaterThan" dxfId="16">
      <formula>0.85</formula>
    </cfRule>
  </conditionalFormatting>
  <conditionalFormatting sqref="E14">
    <cfRule type="expression" priority="465" dxfId="3">
      <formula>AND(IF(OR($Q14=1,$Q14=2),1,0),IF($X14&lt;=20,1,0))</formula>
    </cfRule>
    <cfRule type="expression" priority="466" dxfId="2">
      <formula>AND(IF($Q14=2,1,0),IF($X14&lt;30,1,0))</formula>
    </cfRule>
    <cfRule type="expression" priority="467" dxfId="1">
      <formula>AND(IF($Q14=3,1,0),IF($X14&lt;30,1,0))</formula>
    </cfRule>
    <cfRule type="expression" priority="468" dxfId="0">
      <formula>AND(IF($Q14=3,1,IF($Q14=4,1,0)),IF($F14&lt;=85,1,0))</formula>
    </cfRule>
  </conditionalFormatting>
  <conditionalFormatting sqref="X14">
    <cfRule type="expression" priority="461" dxfId="3">
      <formula>AND(IF(OR($Q14=1,$Q14=2),1,0),IF($X14&lt;=20,1,0))</formula>
    </cfRule>
    <cfRule type="expression" priority="462" dxfId="2">
      <formula>AND(IF($Q14=2,1,0),IF($X14&lt;30,1,0))</formula>
    </cfRule>
    <cfRule type="expression" priority="463" dxfId="1">
      <formula>AND(IF($Q14=3,1,0),IF($X14&lt;30,1,0))</formula>
    </cfRule>
    <cfRule type="expression" priority="464" dxfId="0">
      <formula>AND(IF($Q14=3,1,IF($Q14=4,1,0)),IF($F14&lt;=85,1,0))</formula>
    </cfRule>
  </conditionalFormatting>
  <conditionalFormatting sqref="AI14">
    <cfRule type="expression" priority="457" dxfId="3">
      <formula>AND(IF(OR($Q14=1,$Q14=2),1,0),IF($X14&lt;=20,1,0))</formula>
    </cfRule>
    <cfRule type="expression" priority="458" dxfId="2">
      <formula>AND(IF($Q14=2,1,0),IF($X14&lt;30,1,0))</formula>
    </cfRule>
    <cfRule type="expression" priority="459" dxfId="1">
      <formula>AND(IF($Q14=3,1,0),IF($X14&lt;30,1,0))</formula>
    </cfRule>
    <cfRule type="expression" priority="460" dxfId="0">
      <formula>AND(IF($Q14=3,1,IF($Q14=4,1,0)),IF($F14&lt;=85,1,0))</formula>
    </cfRule>
  </conditionalFormatting>
  <conditionalFormatting sqref="AV15">
    <cfRule type="expression" priority="455" dxfId="23">
      <formula>AV15="X"</formula>
    </cfRule>
    <cfRule type="expression" priority="456" dxfId="22">
      <formula>AV15="후보"</formula>
    </cfRule>
  </conditionalFormatting>
  <conditionalFormatting sqref="AC15 N15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AV16">
    <cfRule type="expression" priority="450" dxfId="23">
      <formula>AV16="X"</formula>
    </cfRule>
    <cfRule type="expression" priority="451" dxfId="22">
      <formula>AV16="후보"</formula>
    </cfRule>
  </conditionalFormatting>
  <conditionalFormatting sqref="AC1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1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16">
    <cfRule type="expression" priority="441" dxfId="3">
      <formula>AND(IF(OR($Q16=1,$Q16=2),1,0),IF($X16&lt;=20,1,0))</formula>
    </cfRule>
    <cfRule type="expression" priority="442" dxfId="2">
      <formula>AND(IF($Q16=2,1,0),IF($X16&lt;30,1,0))</formula>
    </cfRule>
    <cfRule type="expression" priority="443" dxfId="1">
      <formula>AND(IF($Q16=3,1,0),IF($X16&lt;30,1,0))</formula>
    </cfRule>
    <cfRule type="expression" priority="444" dxfId="0">
      <formula>AND(IF($Q16=3,1,IF($Q16=4,1,0)),IF($F16&lt;=85,1,0))</formula>
    </cfRule>
  </conditionalFormatting>
  <conditionalFormatting sqref="X16">
    <cfRule type="expression" priority="437" dxfId="3">
      <formula>AND(IF(OR($Q16=1,$Q16=2),1,0),IF($X16&lt;=20,1,0))</formula>
    </cfRule>
    <cfRule type="expression" priority="438" dxfId="2">
      <formula>AND(IF($Q16=2,1,0),IF($X16&lt;30,1,0))</formula>
    </cfRule>
    <cfRule type="expression" priority="439" dxfId="1">
      <formula>AND(IF($Q16=3,1,0),IF($X16&lt;30,1,0))</formula>
    </cfRule>
    <cfRule type="expression" priority="440" dxfId="0">
      <formula>AND(IF($Q16=3,1,IF($Q16=4,1,0)),IF($F16&lt;=85,1,0))</formula>
    </cfRule>
  </conditionalFormatting>
  <conditionalFormatting sqref="AI16">
    <cfRule type="expression" priority="433" dxfId="3">
      <formula>AND(IF(OR($Q16=1,$Q16=2),1,0),IF($X16&lt;=20,1,0))</formula>
    </cfRule>
    <cfRule type="expression" priority="434" dxfId="2">
      <formula>AND(IF($Q16=2,1,0),IF($X16&lt;30,1,0))</formula>
    </cfRule>
    <cfRule type="expression" priority="435" dxfId="1">
      <formula>AND(IF($Q16=3,1,0),IF($X16&lt;30,1,0))</formula>
    </cfRule>
    <cfRule type="expression" priority="436" dxfId="0">
      <formula>AND(IF($Q16=3,1,IF($Q16=4,1,0)),IF($F16&lt;=85,1,0))</formula>
    </cfRule>
  </conditionalFormatting>
  <conditionalFormatting sqref="AV17">
    <cfRule type="expression" priority="431" dxfId="23">
      <formula>AV17="X"</formula>
    </cfRule>
    <cfRule type="expression" priority="432" dxfId="22">
      <formula>AV17="후보"</formula>
    </cfRule>
  </conditionalFormatting>
  <conditionalFormatting sqref="AC17 N17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AV18">
    <cfRule type="expression" priority="426" dxfId="23">
      <formula>AV18="X"</formula>
    </cfRule>
    <cfRule type="expression" priority="427" dxfId="22">
      <formula>AV18="후보"</formula>
    </cfRule>
  </conditionalFormatting>
  <conditionalFormatting sqref="AC18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N18">
    <cfRule type="cellIs" priority="421" operator="greaterThan" dxfId="17">
      <formula>0.9</formula>
    </cfRule>
    <cfRule type="cellIs" priority="422" operator="greaterThan" dxfId="16">
      <formula>0.85</formula>
    </cfRule>
  </conditionalFormatting>
  <conditionalFormatting sqref="E18">
    <cfRule type="expression" priority="417" dxfId="3">
      <formula>AND(IF(OR($Q18=1,$Q18=2),1,0),IF($X18&lt;=20,1,0))</formula>
    </cfRule>
    <cfRule type="expression" priority="418" dxfId="2">
      <formula>AND(IF($Q18=2,1,0),IF($X18&lt;30,1,0))</formula>
    </cfRule>
    <cfRule type="expression" priority="419" dxfId="1">
      <formula>AND(IF($Q18=3,1,0),IF($X18&lt;30,1,0))</formula>
    </cfRule>
    <cfRule type="expression" priority="420" dxfId="0">
      <formula>AND(IF($Q18=3,1,IF($Q18=4,1,0)),IF($F18&lt;=85,1,0))</formula>
    </cfRule>
  </conditionalFormatting>
  <conditionalFormatting sqref="X18">
    <cfRule type="expression" priority="413" dxfId="3">
      <formula>AND(IF(OR($Q18=1,$Q18=2),1,0),IF($X18&lt;=20,1,0))</formula>
    </cfRule>
    <cfRule type="expression" priority="414" dxfId="2">
      <formula>AND(IF($Q18=2,1,0),IF($X18&lt;30,1,0))</formula>
    </cfRule>
    <cfRule type="expression" priority="415" dxfId="1">
      <formula>AND(IF($Q18=3,1,0),IF($X18&lt;30,1,0))</formula>
    </cfRule>
    <cfRule type="expression" priority="416" dxfId="0">
      <formula>AND(IF($Q18=3,1,IF($Q18=4,1,0)),IF($F18&lt;=85,1,0))</formula>
    </cfRule>
  </conditionalFormatting>
  <conditionalFormatting sqref="AI18">
    <cfRule type="expression" priority="409" dxfId="3">
      <formula>AND(IF(OR($Q18=1,$Q18=2),1,0),IF($X18&lt;=20,1,0))</formula>
    </cfRule>
    <cfRule type="expression" priority="410" dxfId="2">
      <formula>AND(IF($Q18=2,1,0),IF($X18&lt;30,1,0))</formula>
    </cfRule>
    <cfRule type="expression" priority="411" dxfId="1">
      <formula>AND(IF($Q18=3,1,0),IF($X18&lt;30,1,0))</formula>
    </cfRule>
    <cfRule type="expression" priority="412" dxfId="0">
      <formula>AND(IF($Q18=3,1,IF($Q18=4,1,0)),IF($F18&lt;=85,1,0))</formula>
    </cfRule>
  </conditionalFormatting>
  <conditionalFormatting sqref="AV19">
    <cfRule type="expression" priority="407" dxfId="23">
      <formula>AV19="X"</formula>
    </cfRule>
    <cfRule type="expression" priority="408" dxfId="22">
      <formula>AV19="후보"</formula>
    </cfRule>
  </conditionalFormatting>
  <conditionalFormatting sqref="AC19 N19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AV20">
    <cfRule type="expression" priority="402" dxfId="23">
      <formula>AV20="X"</formula>
    </cfRule>
    <cfRule type="expression" priority="403" dxfId="22">
      <formula>AV20="후보"</formula>
    </cfRule>
  </conditionalFormatting>
  <conditionalFormatting sqref="AC20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N20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E20">
    <cfRule type="expression" priority="393" dxfId="3">
      <formula>AND(IF(OR($Q20=1,$Q20=2),1,0),IF($X20&lt;=20,1,0))</formula>
    </cfRule>
    <cfRule type="expression" priority="394" dxfId="2">
      <formula>AND(IF($Q20=2,1,0),IF($X20&lt;30,1,0))</formula>
    </cfRule>
    <cfRule type="expression" priority="395" dxfId="1">
      <formula>AND(IF($Q20=3,1,0),IF($X20&lt;30,1,0))</formula>
    </cfRule>
    <cfRule type="expression" priority="396" dxfId="0">
      <formula>AND(IF($Q20=3,1,IF($Q20=4,1,0)),IF($F20&lt;=85,1,0))</formula>
    </cfRule>
  </conditionalFormatting>
  <conditionalFormatting sqref="X20">
    <cfRule type="expression" priority="389" dxfId="3">
      <formula>AND(IF(OR($Q20=1,$Q20=2),1,0),IF($X20&lt;=20,1,0))</formula>
    </cfRule>
    <cfRule type="expression" priority="390" dxfId="2">
      <formula>AND(IF($Q20=2,1,0),IF($X20&lt;30,1,0))</formula>
    </cfRule>
    <cfRule type="expression" priority="391" dxfId="1">
      <formula>AND(IF($Q20=3,1,0),IF($X20&lt;30,1,0))</formula>
    </cfRule>
    <cfRule type="expression" priority="392" dxfId="0">
      <formula>AND(IF($Q20=3,1,IF($Q20=4,1,0)),IF($F20&lt;=85,1,0))</formula>
    </cfRule>
  </conditionalFormatting>
  <conditionalFormatting sqref="AI20">
    <cfRule type="expression" priority="385" dxfId="3">
      <formula>AND(IF(OR($Q20=1,$Q20=2),1,0),IF($X20&lt;=20,1,0))</formula>
    </cfRule>
    <cfRule type="expression" priority="386" dxfId="2">
      <formula>AND(IF($Q20=2,1,0),IF($X20&lt;30,1,0))</formula>
    </cfRule>
    <cfRule type="expression" priority="387" dxfId="1">
      <formula>AND(IF($Q20=3,1,0),IF($X20&lt;30,1,0))</formula>
    </cfRule>
    <cfRule type="expression" priority="388" dxfId="0">
      <formula>AND(IF($Q20=3,1,IF($Q20=4,1,0)),IF($F20&lt;=85,1,0))</formula>
    </cfRule>
  </conditionalFormatting>
  <conditionalFormatting sqref="AV21">
    <cfRule type="expression" priority="383" dxfId="23">
      <formula>AV21="X"</formula>
    </cfRule>
    <cfRule type="expression" priority="384" dxfId="22">
      <formula>AV21="후보"</formula>
    </cfRule>
  </conditionalFormatting>
  <conditionalFormatting sqref="AC21 N2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AV22">
    <cfRule type="expression" priority="378" dxfId="23">
      <formula>AV22="X"</formula>
    </cfRule>
    <cfRule type="expression" priority="379" dxfId="22">
      <formula>AV22="후보"</formula>
    </cfRule>
  </conditionalFormatting>
  <conditionalFormatting sqref="AC2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2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22">
    <cfRule type="expression" priority="369" dxfId="3">
      <formula>AND(IF(OR($Q22=1,$Q22=2),1,0),IF($X22&lt;=20,1,0))</formula>
    </cfRule>
    <cfRule type="expression" priority="370" dxfId="2">
      <formula>AND(IF($Q22=2,1,0),IF($X22&lt;30,1,0))</formula>
    </cfRule>
    <cfRule type="expression" priority="371" dxfId="1">
      <formula>AND(IF($Q22=3,1,0),IF($X22&lt;30,1,0))</formula>
    </cfRule>
    <cfRule type="expression" priority="372" dxfId="0">
      <formula>AND(IF($Q22=3,1,IF($Q22=4,1,0)),IF($F22&lt;=85,1,0))</formula>
    </cfRule>
  </conditionalFormatting>
  <conditionalFormatting sqref="X22">
    <cfRule type="expression" priority="365" dxfId="3">
      <formula>AND(IF(OR($Q22=1,$Q22=2),1,0),IF($X22&lt;=20,1,0))</formula>
    </cfRule>
    <cfRule type="expression" priority="366" dxfId="2">
      <formula>AND(IF($Q22=2,1,0),IF($X22&lt;30,1,0))</formula>
    </cfRule>
    <cfRule type="expression" priority="367" dxfId="1">
      <formula>AND(IF($Q22=3,1,0),IF($X22&lt;30,1,0))</formula>
    </cfRule>
    <cfRule type="expression" priority="368" dxfId="0">
      <formula>AND(IF($Q22=3,1,IF($Q22=4,1,0)),IF($F22&lt;=85,1,0))</formula>
    </cfRule>
  </conditionalFormatting>
  <conditionalFormatting sqref="AI22">
    <cfRule type="expression" priority="361" dxfId="3">
      <formula>AND(IF(OR($Q22=1,$Q22=2),1,0),IF($X22&lt;=20,1,0))</formula>
    </cfRule>
    <cfRule type="expression" priority="362" dxfId="2">
      <formula>AND(IF($Q22=2,1,0),IF($X22&lt;30,1,0))</formula>
    </cfRule>
    <cfRule type="expression" priority="363" dxfId="1">
      <formula>AND(IF($Q22=3,1,0),IF($X22&lt;30,1,0))</formula>
    </cfRule>
    <cfRule type="expression" priority="364" dxfId="0">
      <formula>AND(IF($Q22=3,1,IF($Q22=4,1,0)),IF($F22&lt;=85,1,0))</formula>
    </cfRule>
  </conditionalFormatting>
  <conditionalFormatting sqref="AV23">
    <cfRule type="expression" priority="359" dxfId="23">
      <formula>AV23="X"</formula>
    </cfRule>
    <cfRule type="expression" priority="360" dxfId="22">
      <formula>AV23="후보"</formula>
    </cfRule>
  </conditionalFormatting>
  <conditionalFormatting sqref="AC23 N23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AV24">
    <cfRule type="expression" priority="354" dxfId="23">
      <formula>AV24="X"</formula>
    </cfRule>
    <cfRule type="expression" priority="355" dxfId="22">
      <formula>AV24="후보"</formula>
    </cfRule>
  </conditionalFormatting>
  <conditionalFormatting sqref="AC2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N24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E24">
    <cfRule type="expression" priority="345" dxfId="3">
      <formula>AND(IF(OR($Q24=1,$Q24=2),1,0),IF($X24&lt;=20,1,0))</formula>
    </cfRule>
    <cfRule type="expression" priority="346" dxfId="2">
      <formula>AND(IF($Q24=2,1,0),IF($X24&lt;30,1,0))</formula>
    </cfRule>
    <cfRule type="expression" priority="347" dxfId="1">
      <formula>AND(IF($Q24=3,1,0),IF($X24&lt;30,1,0))</formula>
    </cfRule>
    <cfRule type="expression" priority="348" dxfId="0">
      <formula>AND(IF($Q24=3,1,IF($Q24=4,1,0)),IF($F24&lt;=85,1,0))</formula>
    </cfRule>
  </conditionalFormatting>
  <conditionalFormatting sqref="X24">
    <cfRule type="expression" priority="341" dxfId="3">
      <formula>AND(IF(OR($Q24=1,$Q24=2),1,0),IF($X24&lt;=20,1,0))</formula>
    </cfRule>
    <cfRule type="expression" priority="342" dxfId="2">
      <formula>AND(IF($Q24=2,1,0),IF($X24&lt;30,1,0))</formula>
    </cfRule>
    <cfRule type="expression" priority="343" dxfId="1">
      <formula>AND(IF($Q24=3,1,0),IF($X24&lt;30,1,0))</formula>
    </cfRule>
    <cfRule type="expression" priority="344" dxfId="0">
      <formula>AND(IF($Q24=3,1,IF($Q24=4,1,0)),IF($F24&lt;=85,1,0))</formula>
    </cfRule>
  </conditionalFormatting>
  <conditionalFormatting sqref="AI24">
    <cfRule type="expression" priority="337" dxfId="3">
      <formula>AND(IF(OR($Q24=1,$Q24=2),1,0),IF($X24&lt;=20,1,0))</formula>
    </cfRule>
    <cfRule type="expression" priority="338" dxfId="2">
      <formula>AND(IF($Q24=2,1,0),IF($X24&lt;30,1,0))</formula>
    </cfRule>
    <cfRule type="expression" priority="339" dxfId="1">
      <formula>AND(IF($Q24=3,1,0),IF($X24&lt;30,1,0))</formula>
    </cfRule>
    <cfRule type="expression" priority="340" dxfId="0">
      <formula>AND(IF($Q24=3,1,IF($Q24=4,1,0)),IF($F24&lt;=85,1,0))</formula>
    </cfRule>
  </conditionalFormatting>
  <conditionalFormatting sqref="AV25">
    <cfRule type="expression" priority="335" dxfId="23">
      <formula>AV25="X"</formula>
    </cfRule>
    <cfRule type="expression" priority="336" dxfId="22">
      <formula>AV25="후보"</formula>
    </cfRule>
  </conditionalFormatting>
  <conditionalFormatting sqref="AC25 N2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AV26">
    <cfRule type="expression" priority="330" dxfId="23">
      <formula>AV26="X"</formula>
    </cfRule>
    <cfRule type="expression" priority="331" dxfId="22">
      <formula>AV26="후보"</formula>
    </cfRule>
  </conditionalFormatting>
  <conditionalFormatting sqref="AC2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N26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E26">
    <cfRule type="expression" priority="321" dxfId="3">
      <formula>AND(IF(OR($Q26=1,$Q26=2),1,0),IF($X26&lt;=20,1,0))</formula>
    </cfRule>
    <cfRule type="expression" priority="322" dxfId="2">
      <formula>AND(IF($Q26=2,1,0),IF($X26&lt;30,1,0))</formula>
    </cfRule>
    <cfRule type="expression" priority="323" dxfId="1">
      <formula>AND(IF($Q26=3,1,0),IF($X26&lt;30,1,0))</formula>
    </cfRule>
    <cfRule type="expression" priority="324" dxfId="0">
      <formula>AND(IF($Q26=3,1,IF($Q26=4,1,0)),IF($F26&lt;=85,1,0))</formula>
    </cfRule>
  </conditionalFormatting>
  <conditionalFormatting sqref="X26">
    <cfRule type="expression" priority="317" dxfId="3">
      <formula>AND(IF(OR($Q26=1,$Q26=2),1,0),IF($X26&lt;=20,1,0))</formula>
    </cfRule>
    <cfRule type="expression" priority="318" dxfId="2">
      <formula>AND(IF($Q26=2,1,0),IF($X26&lt;30,1,0))</formula>
    </cfRule>
    <cfRule type="expression" priority="319" dxfId="1">
      <formula>AND(IF($Q26=3,1,0),IF($X26&lt;30,1,0))</formula>
    </cfRule>
    <cfRule type="expression" priority="320" dxfId="0">
      <formula>AND(IF($Q26=3,1,IF($Q26=4,1,0)),IF($F26&lt;=85,1,0))</formula>
    </cfRule>
  </conditionalFormatting>
  <conditionalFormatting sqref="AI26">
    <cfRule type="expression" priority="313" dxfId="3">
      <formula>AND(IF(OR($Q26=1,$Q26=2),1,0),IF($X26&lt;=20,1,0))</formula>
    </cfRule>
    <cfRule type="expression" priority="314" dxfId="2">
      <formula>AND(IF($Q26=2,1,0),IF($X26&lt;30,1,0))</formula>
    </cfRule>
    <cfRule type="expression" priority="315" dxfId="1">
      <formula>AND(IF($Q26=3,1,0),IF($X26&lt;30,1,0))</formula>
    </cfRule>
    <cfRule type="expression" priority="316" dxfId="0">
      <formula>AND(IF($Q26=3,1,IF($Q26=4,1,0)),IF($F26&lt;=85,1,0))</formula>
    </cfRule>
  </conditionalFormatting>
  <conditionalFormatting sqref="AV27">
    <cfRule type="expression" priority="311" dxfId="23">
      <formula>AV27="X"</formula>
    </cfRule>
    <cfRule type="expression" priority="312" dxfId="22">
      <formula>AV27="후보"</formula>
    </cfRule>
  </conditionalFormatting>
  <conditionalFormatting sqref="AC27 N2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AV28">
    <cfRule type="expression" priority="306" dxfId="23">
      <formula>AV28="X"</formula>
    </cfRule>
    <cfRule type="expression" priority="307" dxfId="22">
      <formula>AV28="후보"</formula>
    </cfRule>
  </conditionalFormatting>
  <conditionalFormatting sqref="AC2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2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28">
    <cfRule type="expression" priority="297" dxfId="3">
      <formula>AND(IF(OR($Q28=1,$Q28=2),1,0),IF($X28&lt;=20,1,0))</formula>
    </cfRule>
    <cfRule type="expression" priority="298" dxfId="2">
      <formula>AND(IF($Q28=2,1,0),IF($X28&lt;30,1,0))</formula>
    </cfRule>
    <cfRule type="expression" priority="299" dxfId="1">
      <formula>AND(IF($Q28=3,1,0),IF($X28&lt;30,1,0))</formula>
    </cfRule>
    <cfRule type="expression" priority="300" dxfId="0">
      <formula>AND(IF($Q28=3,1,IF($Q28=4,1,0)),IF($F28&lt;=85,1,0))</formula>
    </cfRule>
  </conditionalFormatting>
  <conditionalFormatting sqref="X28">
    <cfRule type="expression" priority="293" dxfId="3">
      <formula>AND(IF(OR($Q28=1,$Q28=2),1,0),IF($X28&lt;=20,1,0))</formula>
    </cfRule>
    <cfRule type="expression" priority="294" dxfId="2">
      <formula>AND(IF($Q28=2,1,0),IF($X28&lt;30,1,0))</formula>
    </cfRule>
    <cfRule type="expression" priority="295" dxfId="1">
      <formula>AND(IF($Q28=3,1,0),IF($X28&lt;30,1,0))</formula>
    </cfRule>
    <cfRule type="expression" priority="296" dxfId="0">
      <formula>AND(IF($Q28=3,1,IF($Q28=4,1,0)),IF($F28&lt;=85,1,0))</formula>
    </cfRule>
  </conditionalFormatting>
  <conditionalFormatting sqref="AI28">
    <cfRule type="expression" priority="289" dxfId="3">
      <formula>AND(IF(OR($Q28=1,$Q28=2),1,0),IF($X28&lt;=20,1,0))</formula>
    </cfRule>
    <cfRule type="expression" priority="290" dxfId="2">
      <formula>AND(IF($Q28=2,1,0),IF($X28&lt;30,1,0))</formula>
    </cfRule>
    <cfRule type="expression" priority="291" dxfId="1">
      <formula>AND(IF($Q28=3,1,0),IF($X28&lt;30,1,0))</formula>
    </cfRule>
    <cfRule type="expression" priority="292" dxfId="0">
      <formula>AND(IF($Q28=3,1,IF($Q28=4,1,0)),IF($F28&lt;=85,1,0))</formula>
    </cfRule>
  </conditionalFormatting>
  <conditionalFormatting sqref="AV29">
    <cfRule type="expression" priority="287" dxfId="23">
      <formula>AV29="X"</formula>
    </cfRule>
    <cfRule type="expression" priority="288" dxfId="22">
      <formula>AV29="후보"</formula>
    </cfRule>
  </conditionalFormatting>
  <conditionalFormatting sqref="AC29 N2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AV30">
    <cfRule type="expression" priority="282" dxfId="23">
      <formula>AV30="X"</formula>
    </cfRule>
    <cfRule type="expression" priority="283" dxfId="22">
      <formula>AV30="후보"</formula>
    </cfRule>
  </conditionalFormatting>
  <conditionalFormatting sqref="AC30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N30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E30">
    <cfRule type="expression" priority="273" dxfId="3">
      <formula>AND(IF(OR($Q30=1,$Q30=2),1,0),IF($X30&lt;=20,1,0))</formula>
    </cfRule>
    <cfRule type="expression" priority="274" dxfId="2">
      <formula>AND(IF($Q30=2,1,0),IF($X30&lt;30,1,0))</formula>
    </cfRule>
    <cfRule type="expression" priority="275" dxfId="1">
      <formula>AND(IF($Q30=3,1,0),IF($X30&lt;30,1,0))</formula>
    </cfRule>
    <cfRule type="expression" priority="276" dxfId="0">
      <formula>AND(IF($Q30=3,1,IF($Q30=4,1,0)),IF($F30&lt;=85,1,0))</formula>
    </cfRule>
  </conditionalFormatting>
  <conditionalFormatting sqref="X30">
    <cfRule type="expression" priority="269" dxfId="3">
      <formula>AND(IF(OR($Q30=1,$Q30=2),1,0),IF($X30&lt;=20,1,0))</formula>
    </cfRule>
    <cfRule type="expression" priority="270" dxfId="2">
      <formula>AND(IF($Q30=2,1,0),IF($X30&lt;30,1,0))</formula>
    </cfRule>
    <cfRule type="expression" priority="271" dxfId="1">
      <formula>AND(IF($Q30=3,1,0),IF($X30&lt;30,1,0))</formula>
    </cfRule>
    <cfRule type="expression" priority="272" dxfId="0">
      <formula>AND(IF($Q30=3,1,IF($Q30=4,1,0)),IF($F30&lt;=85,1,0))</formula>
    </cfRule>
  </conditionalFormatting>
  <conditionalFormatting sqref="AI30">
    <cfRule type="expression" priority="265" dxfId="3">
      <formula>AND(IF(OR($Q30=1,$Q30=2),1,0),IF($X30&lt;=20,1,0))</formula>
    </cfRule>
    <cfRule type="expression" priority="266" dxfId="2">
      <formula>AND(IF($Q30=2,1,0),IF($X30&lt;30,1,0))</formula>
    </cfRule>
    <cfRule type="expression" priority="267" dxfId="1">
      <formula>AND(IF($Q30=3,1,0),IF($X30&lt;30,1,0))</formula>
    </cfRule>
    <cfRule type="expression" priority="268" dxfId="0">
      <formula>AND(IF($Q30=3,1,IF($Q30=4,1,0)),IF($F30&lt;=85,1,0))</formula>
    </cfRule>
  </conditionalFormatting>
  <conditionalFormatting sqref="AV31">
    <cfRule type="expression" priority="263" dxfId="23">
      <formula>AV31="X"</formula>
    </cfRule>
    <cfRule type="expression" priority="264" dxfId="22">
      <formula>AV31="후보"</formula>
    </cfRule>
  </conditionalFormatting>
  <conditionalFormatting sqref="AC31 N31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AV32">
    <cfRule type="expression" priority="258" dxfId="23">
      <formula>AV32="X"</formula>
    </cfRule>
    <cfRule type="expression" priority="259" dxfId="22">
      <formula>AV32="후보"</formula>
    </cfRule>
  </conditionalFormatting>
  <conditionalFormatting sqref="AC32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3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E32">
    <cfRule type="expression" priority="249" dxfId="3">
      <formula>AND(IF(OR($Q32=1,$Q32=2),1,0),IF($X32&lt;=20,1,0))</formula>
    </cfRule>
    <cfRule type="expression" priority="250" dxfId="2">
      <formula>AND(IF($Q32=2,1,0),IF($X32&lt;30,1,0))</formula>
    </cfRule>
    <cfRule type="expression" priority="251" dxfId="1">
      <formula>AND(IF($Q32=3,1,0),IF($X32&lt;30,1,0))</formula>
    </cfRule>
    <cfRule type="expression" priority="252" dxfId="0">
      <formula>AND(IF($Q32=3,1,IF($Q32=4,1,0)),IF($F32&lt;=85,1,0))</formula>
    </cfRule>
  </conditionalFormatting>
  <conditionalFormatting sqref="X32">
    <cfRule type="expression" priority="245" dxfId="3">
      <formula>AND(IF(OR($Q32=1,$Q32=2),1,0),IF($X32&lt;=20,1,0))</formula>
    </cfRule>
    <cfRule type="expression" priority="246" dxfId="2">
      <formula>AND(IF($Q32=2,1,0),IF($X32&lt;30,1,0))</formula>
    </cfRule>
    <cfRule type="expression" priority="247" dxfId="1">
      <formula>AND(IF($Q32=3,1,0),IF($X32&lt;30,1,0))</formula>
    </cfRule>
    <cfRule type="expression" priority="248" dxfId="0">
      <formula>AND(IF($Q32=3,1,IF($Q32=4,1,0)),IF($F32&lt;=85,1,0))</formula>
    </cfRule>
  </conditionalFormatting>
  <conditionalFormatting sqref="AI32">
    <cfRule type="expression" priority="241" dxfId="3">
      <formula>AND(IF(OR($Q32=1,$Q32=2),1,0),IF($X32&lt;=20,1,0))</formula>
    </cfRule>
    <cfRule type="expression" priority="242" dxfId="2">
      <formula>AND(IF($Q32=2,1,0),IF($X32&lt;30,1,0))</formula>
    </cfRule>
    <cfRule type="expression" priority="243" dxfId="1">
      <formula>AND(IF($Q32=3,1,0),IF($X32&lt;30,1,0))</formula>
    </cfRule>
    <cfRule type="expression" priority="244" dxfId="0">
      <formula>AND(IF($Q32=3,1,IF($Q32=4,1,0)),IF($F32&lt;=85,1,0))</formula>
    </cfRule>
  </conditionalFormatting>
  <conditionalFormatting sqref="AV33">
    <cfRule type="expression" priority="239" dxfId="23">
      <formula>AV33="X"</formula>
    </cfRule>
    <cfRule type="expression" priority="240" dxfId="22">
      <formula>AV33="후보"</formula>
    </cfRule>
  </conditionalFormatting>
  <conditionalFormatting sqref="AC33 N33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AV34">
    <cfRule type="expression" priority="234" dxfId="23">
      <formula>AV34="X"</formula>
    </cfRule>
    <cfRule type="expression" priority="235" dxfId="22">
      <formula>AV34="후보"</formula>
    </cfRule>
  </conditionalFormatting>
  <conditionalFormatting sqref="AC34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4">
    <cfRule type="expression" priority="225" dxfId="3">
      <formula>AND(IF(OR($Q34=1,$Q34=2),1,0),IF($X34&lt;=20,1,0))</formula>
    </cfRule>
    <cfRule type="expression" priority="226" dxfId="2">
      <formula>AND(IF($Q34=2,1,0),IF($X34&lt;30,1,0))</formula>
    </cfRule>
    <cfRule type="expression" priority="227" dxfId="1">
      <formula>AND(IF($Q34=3,1,0),IF($X34&lt;30,1,0))</formula>
    </cfRule>
    <cfRule type="expression" priority="228" dxfId="0">
      <formula>AND(IF($Q34=3,1,IF($Q34=4,1,0)),IF($F34&lt;=85,1,0))</formula>
    </cfRule>
  </conditionalFormatting>
  <conditionalFormatting sqref="X34">
    <cfRule type="expression" priority="221" dxfId="3">
      <formula>AND(IF(OR($Q34=1,$Q34=2),1,0),IF($X34&lt;=20,1,0))</formula>
    </cfRule>
    <cfRule type="expression" priority="222" dxfId="2">
      <formula>AND(IF($Q34=2,1,0),IF($X34&lt;30,1,0))</formula>
    </cfRule>
    <cfRule type="expression" priority="223" dxfId="1">
      <formula>AND(IF($Q34=3,1,0),IF($X34&lt;30,1,0))</formula>
    </cfRule>
    <cfRule type="expression" priority="224" dxfId="0">
      <formula>AND(IF($Q34=3,1,IF($Q34=4,1,0)),IF($F34&lt;=85,1,0))</formula>
    </cfRule>
  </conditionalFormatting>
  <conditionalFormatting sqref="AI34">
    <cfRule type="expression" priority="217" dxfId="3">
      <formula>AND(IF(OR($Q34=1,$Q34=2),1,0),IF($X34&lt;=20,1,0))</formula>
    </cfRule>
    <cfRule type="expression" priority="218" dxfId="2">
      <formula>AND(IF($Q34=2,1,0),IF($X34&lt;30,1,0))</formula>
    </cfRule>
    <cfRule type="expression" priority="219" dxfId="1">
      <formula>AND(IF($Q34=3,1,0),IF($X34&lt;30,1,0))</formula>
    </cfRule>
    <cfRule type="expression" priority="220" dxfId="0">
      <formula>AND(IF($Q34=3,1,IF($Q34=4,1,0)),IF($F34&lt;=85,1,0))</formula>
    </cfRule>
  </conditionalFormatting>
  <conditionalFormatting sqref="AV35">
    <cfRule type="expression" priority="215" dxfId="23">
      <formula>AV35="X"</formula>
    </cfRule>
    <cfRule type="expression" priority="216" dxfId="22">
      <formula>AV35="후보"</formula>
    </cfRule>
  </conditionalFormatting>
  <conditionalFormatting sqref="AC35 N35">
    <cfRule type="cellIs" priority="212" operator="greaterThan" dxfId="17">
      <formula>0.9</formula>
    </cfRule>
    <cfRule type="cellIs" priority="213" operator="greaterThan" dxfId="16">
      <formula>0.85</formula>
    </cfRule>
  </conditionalFormatting>
  <conditionalFormatting sqref="AV36">
    <cfRule type="expression" priority="210" dxfId="23">
      <formula>AV36="X"</formula>
    </cfRule>
    <cfRule type="expression" priority="211" dxfId="22">
      <formula>AV36="후보"</formula>
    </cfRule>
  </conditionalFormatting>
  <conditionalFormatting sqref="AC36">
    <cfRule type="cellIs" priority="207" operator="greaterThan" dxfId="17">
      <formula>0.9</formula>
    </cfRule>
    <cfRule type="cellIs" priority="208" operator="greaterThan" dxfId="16">
      <formula>0.85</formula>
    </cfRule>
  </conditionalFormatting>
  <conditionalFormatting sqref="N3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E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X36">
    <cfRule type="expression" priority="197" dxfId="3">
      <formula>AND(IF(OR($Q36=1,$Q36=2),1,0),IF($X36&lt;=20,1,0))</formula>
    </cfRule>
    <cfRule type="expression" priority="198" dxfId="2">
      <formula>AND(IF($Q36=2,1,0),IF($X36&lt;30,1,0))</formula>
    </cfRule>
    <cfRule type="expression" priority="199" dxfId="1">
      <formula>AND(IF($Q36=3,1,0),IF($X36&lt;30,1,0))</formula>
    </cfRule>
    <cfRule type="expression" priority="200" dxfId="0">
      <formula>AND(IF($Q36=3,1,IF($Q36=4,1,0)),IF($F36&lt;=85,1,0))</formula>
    </cfRule>
  </conditionalFormatting>
  <conditionalFormatting sqref="AI36">
    <cfRule type="expression" priority="193" dxfId="3">
      <formula>AND(IF(OR($Q36=1,$Q36=2),1,0),IF($X36&lt;=20,1,0))</formula>
    </cfRule>
    <cfRule type="expression" priority="194" dxfId="2">
      <formula>AND(IF($Q36=2,1,0),IF($X36&lt;30,1,0))</formula>
    </cfRule>
    <cfRule type="expression" priority="195" dxfId="1">
      <formula>AND(IF($Q36=3,1,0),IF($X36&lt;30,1,0))</formula>
    </cfRule>
    <cfRule type="expression" priority="196" dxfId="0">
      <formula>AND(IF($Q36=3,1,IF($Q36=4,1,0)),IF($F36&lt;=85,1,0))</formula>
    </cfRule>
  </conditionalFormatting>
  <conditionalFormatting sqref="AV37">
    <cfRule type="expression" priority="191" dxfId="23">
      <formula>AV37="X"</formula>
    </cfRule>
    <cfRule type="expression" priority="192" dxfId="22">
      <formula>AV37="후보"</formula>
    </cfRule>
  </conditionalFormatting>
  <conditionalFormatting sqref="AC37 N37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AV38">
    <cfRule type="expression" priority="186" dxfId="23">
      <formula>AV38="X"</formula>
    </cfRule>
    <cfRule type="expression" priority="187" dxfId="22">
      <formula>AV38="후보"</formula>
    </cfRule>
  </conditionalFormatting>
  <conditionalFormatting sqref="AC38">
    <cfRule type="cellIs" priority="183" operator="greaterThan" dxfId="17">
      <formula>0.9</formula>
    </cfRule>
    <cfRule type="cellIs" priority="184" operator="greaterThan" dxfId="16">
      <formula>0.85</formula>
    </cfRule>
  </conditionalFormatting>
  <conditionalFormatting sqref="N38">
    <cfRule type="cellIs" priority="181" operator="greaterThan" dxfId="17">
      <formula>0.9</formula>
    </cfRule>
    <cfRule type="cellIs" priority="182" operator="greaterThan" dxfId="16">
      <formula>0.85</formula>
    </cfRule>
  </conditionalFormatting>
  <conditionalFormatting sqref="E38">
    <cfRule type="expression" priority="177" dxfId="3">
      <formula>AND(IF(OR($Q38=1,$Q38=2),1,0),IF($X38&lt;=20,1,0))</formula>
    </cfRule>
    <cfRule type="expression" priority="178" dxfId="2">
      <formula>AND(IF($Q38=2,1,0),IF($X38&lt;30,1,0))</formula>
    </cfRule>
    <cfRule type="expression" priority="179" dxfId="1">
      <formula>AND(IF($Q38=3,1,0),IF($X38&lt;30,1,0))</formula>
    </cfRule>
    <cfRule type="expression" priority="180" dxfId="0">
      <formula>AND(IF($Q38=3,1,IF($Q38=4,1,0)),IF($F38&lt;=85,1,0))</formula>
    </cfRule>
  </conditionalFormatting>
  <conditionalFormatting sqref="X38">
    <cfRule type="expression" priority="173" dxfId="3">
      <formula>AND(IF(OR($Q38=1,$Q38=2),1,0),IF($X38&lt;=20,1,0))</formula>
    </cfRule>
    <cfRule type="expression" priority="174" dxfId="2">
      <formula>AND(IF($Q38=2,1,0),IF($X38&lt;30,1,0))</formula>
    </cfRule>
    <cfRule type="expression" priority="175" dxfId="1">
      <formula>AND(IF($Q38=3,1,0),IF($X38&lt;30,1,0))</formula>
    </cfRule>
    <cfRule type="expression" priority="176" dxfId="0">
      <formula>AND(IF($Q38=3,1,IF($Q38=4,1,0)),IF($F38&lt;=85,1,0))</formula>
    </cfRule>
  </conditionalFormatting>
  <conditionalFormatting sqref="AI38">
    <cfRule type="expression" priority="169" dxfId="3">
      <formula>AND(IF(OR($Q38=1,$Q38=2),1,0),IF($X38&lt;=20,1,0))</formula>
    </cfRule>
    <cfRule type="expression" priority="170" dxfId="2">
      <formula>AND(IF($Q38=2,1,0),IF($X38&lt;30,1,0))</formula>
    </cfRule>
    <cfRule type="expression" priority="171" dxfId="1">
      <formula>AND(IF($Q38=3,1,0),IF($X38&lt;30,1,0))</formula>
    </cfRule>
    <cfRule type="expression" priority="172" dxfId="0">
      <formula>AND(IF($Q38=3,1,IF($Q38=4,1,0)),IF($F38&lt;=85,1,0))</formula>
    </cfRule>
  </conditionalFormatting>
  <conditionalFormatting sqref="AV39">
    <cfRule type="expression" priority="167" dxfId="23">
      <formula>AV39="X"</formula>
    </cfRule>
    <cfRule type="expression" priority="168" dxfId="22">
      <formula>AV39="후보"</formula>
    </cfRule>
  </conditionalFormatting>
  <conditionalFormatting sqref="AC39 N39">
    <cfRule type="cellIs" priority="164" operator="greaterThan" dxfId="17">
      <formula>0.9</formula>
    </cfRule>
    <cfRule type="cellIs" priority="165" operator="greaterThan" dxfId="16">
      <formula>0.85</formula>
    </cfRule>
  </conditionalFormatting>
  <conditionalFormatting sqref="AV40">
    <cfRule type="expression" priority="162" dxfId="23">
      <formula>AV40="X"</formula>
    </cfRule>
    <cfRule type="expression" priority="163" dxfId="22">
      <formula>AV40="후보"</formula>
    </cfRule>
  </conditionalFormatting>
  <conditionalFormatting sqref="AC4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4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40">
    <cfRule type="expression" priority="153" dxfId="3">
      <formula>AND(IF(OR($Q40=1,$Q40=2),1,0),IF($X40&lt;=20,1,0))</formula>
    </cfRule>
    <cfRule type="expression" priority="154" dxfId="2">
      <formula>AND(IF($Q40=2,1,0),IF($X40&lt;30,1,0))</formula>
    </cfRule>
    <cfRule type="expression" priority="155" dxfId="1">
      <formula>AND(IF($Q40=3,1,0),IF($X40&lt;30,1,0))</formula>
    </cfRule>
    <cfRule type="expression" priority="156" dxfId="0">
      <formula>AND(IF($Q40=3,1,IF($Q40=4,1,0)),IF($F40&lt;=85,1,0))</formula>
    </cfRule>
  </conditionalFormatting>
  <conditionalFormatting sqref="X40">
    <cfRule type="expression" priority="149" dxfId="3">
      <formula>AND(IF(OR($Q40=1,$Q40=2),1,0),IF($X40&lt;=20,1,0))</formula>
    </cfRule>
    <cfRule type="expression" priority="150" dxfId="2">
      <formula>AND(IF($Q40=2,1,0),IF($X40&lt;30,1,0))</formula>
    </cfRule>
    <cfRule type="expression" priority="151" dxfId="1">
      <formula>AND(IF($Q40=3,1,0),IF($X40&lt;30,1,0))</formula>
    </cfRule>
    <cfRule type="expression" priority="152" dxfId="0">
      <formula>AND(IF($Q40=3,1,IF($Q40=4,1,0)),IF($F40&lt;=85,1,0))</formula>
    </cfRule>
  </conditionalFormatting>
  <conditionalFormatting sqref="AI40">
    <cfRule type="expression" priority="145" dxfId="3">
      <formula>AND(IF(OR($Q40=1,$Q40=2),1,0),IF($X40&lt;=20,1,0))</formula>
    </cfRule>
    <cfRule type="expression" priority="146" dxfId="2">
      <formula>AND(IF($Q40=2,1,0),IF($X40&lt;30,1,0))</formula>
    </cfRule>
    <cfRule type="expression" priority="147" dxfId="1">
      <formula>AND(IF($Q40=3,1,0),IF($X40&lt;30,1,0))</formula>
    </cfRule>
    <cfRule type="expression" priority="148" dxfId="0">
      <formula>AND(IF($Q40=3,1,IF($Q40=4,1,0)),IF($F40&lt;=85,1,0))</formula>
    </cfRule>
  </conditionalFormatting>
  <conditionalFormatting sqref="AV41">
    <cfRule type="expression" priority="143" dxfId="23">
      <formula>AV41="X"</formula>
    </cfRule>
    <cfRule type="expression" priority="144" dxfId="22">
      <formula>AV41="후보"</formula>
    </cfRule>
  </conditionalFormatting>
  <conditionalFormatting sqref="AC41 N41">
    <cfRule type="cellIs" priority="140" operator="greaterThan" dxfId="17">
      <formula>0.9</formula>
    </cfRule>
    <cfRule type="cellIs" priority="141" operator="greaterThan" dxfId="16">
      <formula>0.85</formula>
    </cfRule>
  </conditionalFormatting>
  <conditionalFormatting sqref="AV42">
    <cfRule type="expression" priority="138" dxfId="23">
      <formula>AV42="X"</formula>
    </cfRule>
    <cfRule type="expression" priority="139" dxfId="22">
      <formula>AV42="후보"</formula>
    </cfRule>
  </conditionalFormatting>
  <conditionalFormatting sqref="AC42">
    <cfRule type="cellIs" priority="135" operator="greaterThan" dxfId="17">
      <formula>0.9</formula>
    </cfRule>
    <cfRule type="cellIs" priority="136" operator="greaterThan" dxfId="16">
      <formula>0.85</formula>
    </cfRule>
  </conditionalFormatting>
  <conditionalFormatting sqref="N42">
    <cfRule type="cellIs" priority="133" operator="greaterThan" dxfId="17">
      <formula>0.9</formula>
    </cfRule>
    <cfRule type="cellIs" priority="134" operator="greaterThan" dxfId="16">
      <formula>0.85</formula>
    </cfRule>
  </conditionalFormatting>
  <conditionalFormatting sqref="E42">
    <cfRule type="expression" priority="129" dxfId="3">
      <formula>AND(IF(OR($Q42=1,$Q42=2),1,0),IF($X42&lt;=20,1,0))</formula>
    </cfRule>
    <cfRule type="expression" priority="130" dxfId="2">
      <formula>AND(IF($Q42=2,1,0),IF($X42&lt;30,1,0))</formula>
    </cfRule>
    <cfRule type="expression" priority="131" dxfId="1">
      <formula>AND(IF($Q42=3,1,0),IF($X42&lt;30,1,0))</formula>
    </cfRule>
    <cfRule type="expression" priority="132" dxfId="0">
      <formula>AND(IF($Q42=3,1,IF($Q42=4,1,0)),IF($F42&lt;=85,1,0))</formula>
    </cfRule>
  </conditionalFormatting>
  <conditionalFormatting sqref="X42">
    <cfRule type="expression" priority="125" dxfId="3">
      <formula>AND(IF(OR($Q42=1,$Q42=2),1,0),IF($X42&lt;=20,1,0))</formula>
    </cfRule>
    <cfRule type="expression" priority="126" dxfId="2">
      <formula>AND(IF($Q42=2,1,0),IF($X42&lt;30,1,0))</formula>
    </cfRule>
    <cfRule type="expression" priority="127" dxfId="1">
      <formula>AND(IF($Q42=3,1,0),IF($X42&lt;30,1,0))</formula>
    </cfRule>
    <cfRule type="expression" priority="128" dxfId="0">
      <formula>AND(IF($Q42=3,1,IF($Q42=4,1,0)),IF($F42&lt;=85,1,0))</formula>
    </cfRule>
  </conditionalFormatting>
  <conditionalFormatting sqref="AI42">
    <cfRule type="expression" priority="121" dxfId="3">
      <formula>AND(IF(OR($Q42=1,$Q42=2),1,0),IF($X42&lt;=20,1,0))</formula>
    </cfRule>
    <cfRule type="expression" priority="122" dxfId="2">
      <formula>AND(IF($Q42=2,1,0),IF($X42&lt;30,1,0))</formula>
    </cfRule>
    <cfRule type="expression" priority="123" dxfId="1">
      <formula>AND(IF($Q42=3,1,0),IF($X42&lt;30,1,0))</formula>
    </cfRule>
    <cfRule type="expression" priority="124" dxfId="0">
      <formula>AND(IF($Q42=3,1,IF($Q42=4,1,0)),IF($F42&lt;=85,1,0))</formula>
    </cfRule>
  </conditionalFormatting>
  <conditionalFormatting sqref="AV43">
    <cfRule type="expression" priority="119" dxfId="23">
      <formula>AV43="X"</formula>
    </cfRule>
    <cfRule type="expression" priority="120" dxfId="22">
      <formula>AV43="후보"</formula>
    </cfRule>
  </conditionalFormatting>
  <conditionalFormatting sqref="AC43 N43">
    <cfRule type="cellIs" priority="116" operator="greaterThan" dxfId="17">
      <formula>0.9</formula>
    </cfRule>
    <cfRule type="cellIs" priority="117" operator="greaterThan" dxfId="16">
      <formula>0.85</formula>
    </cfRule>
  </conditionalFormatting>
  <conditionalFormatting sqref="AV44">
    <cfRule type="expression" priority="114" dxfId="23">
      <formula>AV44="X"</formula>
    </cfRule>
    <cfRule type="expression" priority="115" dxfId="22">
      <formula>AV44="후보"</formula>
    </cfRule>
  </conditionalFormatting>
  <conditionalFormatting sqref="AC44">
    <cfRule type="cellIs" priority="111" operator="greaterThan" dxfId="17">
      <formula>0.9</formula>
    </cfRule>
    <cfRule type="cellIs" priority="112" operator="greaterThan" dxfId="16">
      <formula>0.85</formula>
    </cfRule>
  </conditionalFormatting>
  <conditionalFormatting sqref="N44">
    <cfRule type="cellIs" priority="109" operator="greaterThan" dxfId="17">
      <formula>0.9</formula>
    </cfRule>
    <cfRule type="cellIs" priority="110" operator="greaterThan" dxfId="16">
      <formula>0.85</formula>
    </cfRule>
  </conditionalFormatting>
  <conditionalFormatting sqref="E44">
    <cfRule type="expression" priority="105" dxfId="3">
      <formula>AND(IF(OR($Q44=1,$Q44=2),1,0),IF($X44&lt;=20,1,0))</formula>
    </cfRule>
    <cfRule type="expression" priority="106" dxfId="2">
      <formula>AND(IF($Q44=2,1,0),IF($X44&lt;30,1,0))</formula>
    </cfRule>
    <cfRule type="expression" priority="107" dxfId="1">
      <formula>AND(IF($Q44=3,1,0),IF($X44&lt;30,1,0))</formula>
    </cfRule>
    <cfRule type="expression" priority="108" dxfId="0">
      <formula>AND(IF($Q44=3,1,IF($Q44=4,1,0)),IF($F44&lt;=85,1,0))</formula>
    </cfRule>
  </conditionalFormatting>
  <conditionalFormatting sqref="X44">
    <cfRule type="expression" priority="101" dxfId="3">
      <formula>AND(IF(OR($Q44=1,$Q44=2),1,0),IF($X44&lt;=20,1,0))</formula>
    </cfRule>
    <cfRule type="expression" priority="102" dxfId="2">
      <formula>AND(IF($Q44=2,1,0),IF($X44&lt;30,1,0))</formula>
    </cfRule>
    <cfRule type="expression" priority="103" dxfId="1">
      <formula>AND(IF($Q44=3,1,0),IF($X44&lt;30,1,0))</formula>
    </cfRule>
    <cfRule type="expression" priority="104" dxfId="0">
      <formula>AND(IF($Q44=3,1,IF($Q44=4,1,0)),IF($F44&lt;=85,1,0))</formula>
    </cfRule>
  </conditionalFormatting>
  <conditionalFormatting sqref="AI44">
    <cfRule type="expression" priority="97" dxfId="3">
      <formula>AND(IF(OR($Q44=1,$Q44=2),1,0),IF($X44&lt;=20,1,0))</formula>
    </cfRule>
    <cfRule type="expression" priority="98" dxfId="2">
      <formula>AND(IF($Q44=2,1,0),IF($X44&lt;30,1,0))</formula>
    </cfRule>
    <cfRule type="expression" priority="99" dxfId="1">
      <formula>AND(IF($Q44=3,1,0),IF($X44&lt;30,1,0))</formula>
    </cfRule>
    <cfRule type="expression" priority="100" dxfId="0">
      <formula>AND(IF($Q44=3,1,IF($Q44=4,1,0)),IF($F44&lt;=85,1,0))</formula>
    </cfRule>
  </conditionalFormatting>
  <conditionalFormatting sqref="AV45">
    <cfRule type="expression" priority="95" dxfId="23">
      <formula>AV45="X"</formula>
    </cfRule>
    <cfRule type="expression" priority="96" dxfId="22">
      <formula>AV45="후보"</formula>
    </cfRule>
  </conditionalFormatting>
  <conditionalFormatting sqref="AC45 N45">
    <cfRule type="cellIs" priority="92" operator="greaterThan" dxfId="17">
      <formula>0.9</formula>
    </cfRule>
    <cfRule type="cellIs" priority="93" operator="greaterThan" dxfId="16">
      <formula>0.85</formula>
    </cfRule>
  </conditionalFormatting>
  <conditionalFormatting sqref="AV46">
    <cfRule type="expression" priority="90" dxfId="23">
      <formula>AV46="X"</formula>
    </cfRule>
    <cfRule type="expression" priority="91" dxfId="22">
      <formula>AV46="후보"</formula>
    </cfRule>
  </conditionalFormatting>
  <conditionalFormatting sqref="AC4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4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X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I46">
    <cfRule type="expression" priority="73" dxfId="3">
      <formula>AND(IF(OR($Q46=1,$Q46=2),1,0),IF($X46&lt;=20,1,0))</formula>
    </cfRule>
    <cfRule type="expression" priority="74" dxfId="2">
      <formula>AND(IF($Q46=2,1,0),IF($X46&lt;30,1,0))</formula>
    </cfRule>
    <cfRule type="expression" priority="75" dxfId="1">
      <formula>AND(IF($Q46=3,1,0),IF($X46&lt;30,1,0))</formula>
    </cfRule>
    <cfRule type="expression" priority="76" dxfId="0">
      <formula>AND(IF($Q46=3,1,IF($Q46=4,1,0)),IF($F46&lt;=85,1,0))</formula>
    </cfRule>
  </conditionalFormatting>
  <conditionalFormatting sqref="AV47">
    <cfRule type="expression" priority="71" dxfId="23">
      <formula>AV47="X"</formula>
    </cfRule>
    <cfRule type="expression" priority="72" dxfId="22">
      <formula>AV47="후보"</formula>
    </cfRule>
  </conditionalFormatting>
  <conditionalFormatting sqref="AC47 N47">
    <cfRule type="cellIs" priority="68" operator="greaterThan" dxfId="17">
      <formula>0.9</formula>
    </cfRule>
    <cfRule type="cellIs" priority="69" operator="greaterThan" dxfId="16">
      <formula>0.85</formula>
    </cfRule>
  </conditionalFormatting>
  <conditionalFormatting sqref="AV48">
    <cfRule type="expression" priority="66" dxfId="23">
      <formula>AV48="X"</formula>
    </cfRule>
    <cfRule type="expression" priority="67" dxfId="22">
      <formula>AV48="후보"</formula>
    </cfRule>
  </conditionalFormatting>
  <conditionalFormatting sqref="AC48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48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48">
    <cfRule type="expression" priority="57" dxfId="3">
      <formula>AND(IF(OR($Q48=1,$Q48=2),1,0),IF($X48&lt;=20,1,0))</formula>
    </cfRule>
    <cfRule type="expression" priority="58" dxfId="2">
      <formula>AND(IF($Q48=2,1,0),IF($X48&lt;30,1,0))</formula>
    </cfRule>
    <cfRule type="expression" priority="59" dxfId="1">
      <formula>AND(IF($Q48=3,1,0),IF($X48&lt;30,1,0))</formula>
    </cfRule>
    <cfRule type="expression" priority="60" dxfId="0">
      <formula>AND(IF($Q48=3,1,IF($Q48=4,1,0)),IF($F48&lt;=85,1,0))</formula>
    </cfRule>
  </conditionalFormatting>
  <conditionalFormatting sqref="X48">
    <cfRule type="expression" priority="53" dxfId="3">
      <formula>AND(IF(OR($Q48=1,$Q48=2),1,0),IF($X48&lt;=20,1,0))</formula>
    </cfRule>
    <cfRule type="expression" priority="54" dxfId="2">
      <formula>AND(IF($Q48=2,1,0),IF($X48&lt;30,1,0))</formula>
    </cfRule>
    <cfRule type="expression" priority="55" dxfId="1">
      <formula>AND(IF($Q48=3,1,0),IF($X48&lt;30,1,0))</formula>
    </cfRule>
    <cfRule type="expression" priority="56" dxfId="0">
      <formula>AND(IF($Q48=3,1,IF($Q48=4,1,0)),IF($F48&lt;=85,1,0))</formula>
    </cfRule>
  </conditionalFormatting>
  <conditionalFormatting sqref="AI48">
    <cfRule type="expression" priority="49" dxfId="3">
      <formula>AND(IF(OR($Q48=1,$Q48=2),1,0),IF($X48&lt;=20,1,0))</formula>
    </cfRule>
    <cfRule type="expression" priority="50" dxfId="2">
      <formula>AND(IF($Q48=2,1,0),IF($X48&lt;30,1,0))</formula>
    </cfRule>
    <cfRule type="expression" priority="51" dxfId="1">
      <formula>AND(IF($Q48=3,1,0),IF($X48&lt;30,1,0))</formula>
    </cfRule>
    <cfRule type="expression" priority="52" dxfId="0">
      <formula>AND(IF($Q48=3,1,IF($Q48=4,1,0)),IF($F48&lt;=85,1,0))</formula>
    </cfRule>
  </conditionalFormatting>
  <conditionalFormatting sqref="AV49">
    <cfRule type="expression" priority="47" dxfId="23">
      <formula>AV49="X"</formula>
    </cfRule>
    <cfRule type="expression" priority="48" dxfId="22">
      <formula>AV49="후보"</formula>
    </cfRule>
  </conditionalFormatting>
  <conditionalFormatting sqref="AC49 N49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50">
    <cfRule type="expression" priority="42" dxfId="23">
      <formula>AV50="X"</formula>
    </cfRule>
    <cfRule type="expression" priority="43" dxfId="22">
      <formula>AV50="후보"</formula>
    </cfRule>
  </conditionalFormatting>
  <conditionalFormatting sqref="AC5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50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50">
    <cfRule type="expression" priority="33" dxfId="3">
      <formula>AND(IF(OR($Q50=1,$Q50=2),1,0),IF($X50&lt;=20,1,0))</formula>
    </cfRule>
    <cfRule type="expression" priority="34" dxfId="2">
      <formula>AND(IF($Q50=2,1,0),IF($X50&lt;30,1,0))</formula>
    </cfRule>
    <cfRule type="expression" priority="35" dxfId="1">
      <formula>AND(IF($Q50=3,1,0),IF($X50&lt;30,1,0))</formula>
    </cfRule>
    <cfRule type="expression" priority="36" dxfId="0">
      <formula>AND(IF($Q50=3,1,IF($Q50=4,1,0)),IF($F50&lt;=85,1,0))</formula>
    </cfRule>
  </conditionalFormatting>
  <conditionalFormatting sqref="X50">
    <cfRule type="expression" priority="29" dxfId="3">
      <formula>AND(IF(OR($Q50=1,$Q50=2),1,0),IF($X50&lt;=20,1,0))</formula>
    </cfRule>
    <cfRule type="expression" priority="30" dxfId="2">
      <formula>AND(IF($Q50=2,1,0),IF($X50&lt;30,1,0))</formula>
    </cfRule>
    <cfRule type="expression" priority="31" dxfId="1">
      <formula>AND(IF($Q50=3,1,0),IF($X50&lt;30,1,0))</formula>
    </cfRule>
    <cfRule type="expression" priority="32" dxfId="0">
      <formula>AND(IF($Q50=3,1,IF($Q50=4,1,0)),IF($F50&lt;=85,1,0))</formula>
    </cfRule>
  </conditionalFormatting>
  <conditionalFormatting sqref="AI50">
    <cfRule type="expression" priority="25" dxfId="3">
      <formula>AND(IF(OR($Q50=1,$Q50=2),1,0),IF($X50&lt;=20,1,0))</formula>
    </cfRule>
    <cfRule type="expression" priority="26" dxfId="2">
      <formula>AND(IF($Q50=2,1,0),IF($X50&lt;30,1,0))</formula>
    </cfRule>
    <cfRule type="expression" priority="27" dxfId="1">
      <formula>AND(IF($Q50=3,1,0),IF($X50&lt;30,1,0))</formula>
    </cfRule>
    <cfRule type="expression" priority="28" dxfId="0">
      <formula>AND(IF($Q50=3,1,IF($Q50=4,1,0)),IF($F50&lt;=85,1,0))</formula>
    </cfRule>
  </conditionalFormatting>
  <conditionalFormatting sqref="AV51">
    <cfRule type="expression" priority="23" dxfId="23">
      <formula>AV51="X"</formula>
    </cfRule>
    <cfRule type="expression" priority="24" dxfId="22">
      <formula>AV51="후보"</formula>
    </cfRule>
  </conditionalFormatting>
  <conditionalFormatting sqref="AC51 N51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52">
    <cfRule type="expression" priority="18" dxfId="23">
      <formula>AV52="X"</formula>
    </cfRule>
    <cfRule type="expression" priority="19" dxfId="22">
      <formula>AV52="후보"</formula>
    </cfRule>
  </conditionalFormatting>
  <conditionalFormatting sqref="AC5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2">
    <cfRule type="expression" priority="9" dxfId="3">
      <formula>AND(IF(OR($Q52=1,$Q52=2),1,0),IF($X52&lt;=20,1,0))</formula>
    </cfRule>
    <cfRule type="expression" priority="10" dxfId="2">
      <formula>AND(IF($Q52=2,1,0),IF($X52&lt;30,1,0))</formula>
    </cfRule>
    <cfRule type="expression" priority="11" dxfId="1">
      <formula>AND(IF($Q52=3,1,0),IF($X52&lt;30,1,0))</formula>
    </cfRule>
    <cfRule type="expression" priority="12" dxfId="0">
      <formula>AND(IF($Q52=3,1,IF($Q52=4,1,0)),IF($F52&lt;=85,1,0))</formula>
    </cfRule>
  </conditionalFormatting>
  <conditionalFormatting sqref="X52">
    <cfRule type="expression" priority="5" dxfId="3">
      <formula>AND(IF(OR($Q52=1,$Q52=2),1,0),IF($X52&lt;=20,1,0))</formula>
    </cfRule>
    <cfRule type="expression" priority="6" dxfId="2">
      <formula>AND(IF($Q52=2,1,0),IF($X52&lt;30,1,0))</formula>
    </cfRule>
    <cfRule type="expression" priority="7" dxfId="1">
      <formula>AND(IF($Q52=3,1,0),IF($X52&lt;30,1,0))</formula>
    </cfRule>
    <cfRule type="expression" priority="8" dxfId="0">
      <formula>AND(IF($Q52=3,1,IF($Q52=4,1,0)),IF($F52&lt;=85,1,0))</formula>
    </cfRule>
  </conditionalFormatting>
  <conditionalFormatting sqref="AI52">
    <cfRule type="expression" priority="1" dxfId="3">
      <formula>AND(IF(OR($Q52=1,$Q52=2),1,0),IF($X52&lt;=20,1,0))</formula>
    </cfRule>
    <cfRule type="expression" priority="2" dxfId="2">
      <formula>AND(IF($Q52=2,1,0),IF($X52&lt;30,1,0))</formula>
    </cfRule>
    <cfRule type="expression" priority="3" dxfId="1">
      <formula>AND(IF($Q52=3,1,0),IF($X52&lt;30,1,0))</formula>
    </cfRule>
    <cfRule type="expression" priority="4" dxfId="0">
      <formula>AND(IF($Q52=3,1,IF($Q52=4,1,0)),IF($F52&lt;=85,1,0))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우산동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한라비발디2차</t>
        </is>
      </c>
      <c r="B6" s="10" t="inlineStr">
        <is>
          <t>'14.09.</t>
        </is>
      </c>
      <c r="C6" s="133" t="n">
        <v>717</v>
      </c>
      <c r="D6" s="131" t="n">
        <v>110.4</v>
      </c>
      <c r="E6" s="132" t="n">
        <v>33</v>
      </c>
      <c r="F6" s="131" t="n">
        <v>84.5</v>
      </c>
      <c r="G6" s="17" t="n">
        <v>26</v>
      </c>
      <c r="H6" s="133" t="n">
        <v>236</v>
      </c>
      <c r="I6" s="134" t="n">
        <v>30000</v>
      </c>
      <c r="J6" s="134" t="inlineStr">
        <is>
          <t>10</t>
        </is>
      </c>
      <c r="K6" s="134" t="n">
        <v>25000</v>
      </c>
      <c r="L6" s="134" t="inlineStr">
        <is>
          <t>6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126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23">
      <formula>AV4="X"</formula>
    </cfRule>
    <cfRule type="expression" priority="21" dxfId="22">
      <formula>AV4="후보"</formula>
    </cfRule>
  </conditionalFormatting>
  <conditionalFormatting sqref="AC1:AC2 AC4:AC6 N4:N5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N1:N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반곡동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중흥에스-클래스프라디움</t>
        </is>
      </c>
      <c r="B6" s="10" t="inlineStr">
        <is>
          <t>'16.10.</t>
        </is>
      </c>
      <c r="C6" s="133" t="n">
        <v>850</v>
      </c>
      <c r="D6" s="131" t="n">
        <v>112.6</v>
      </c>
      <c r="E6" s="132" t="n">
        <v>34</v>
      </c>
      <c r="F6" s="131" t="n">
        <v>85</v>
      </c>
      <c r="G6" s="17" t="n">
        <v>26</v>
      </c>
      <c r="H6" s="133" t="n">
        <v>246</v>
      </c>
      <c r="I6" s="134" t="n">
        <v>47000</v>
      </c>
      <c r="J6" s="134" t="inlineStr">
        <is>
          <t>중</t>
        </is>
      </c>
      <c r="K6" s="134" t="n">
        <v>33000</v>
      </c>
      <c r="L6" s="134" t="inlineStr">
        <is>
          <t>고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57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힐데스하임5단지</t>
        </is>
      </c>
      <c r="B8" s="10" t="inlineStr">
        <is>
          <t>'15.05.</t>
        </is>
      </c>
      <c r="C8" s="133" t="n">
        <v>682</v>
      </c>
      <c r="D8" s="131" t="n">
        <v>114.8</v>
      </c>
      <c r="E8" s="132" t="n">
        <v>35</v>
      </c>
      <c r="F8" s="131" t="n">
        <v>85</v>
      </c>
      <c r="G8" s="17" t="n">
        <v>26</v>
      </c>
      <c r="H8" s="133" t="n">
        <v>216</v>
      </c>
      <c r="I8" s="134" t="n">
        <v>50000</v>
      </c>
      <c r="J8" s="134" t="inlineStr">
        <is>
          <t>17</t>
        </is>
      </c>
      <c r="K8" s="134" t="n">
        <v>35000</v>
      </c>
      <c r="L8" s="134" t="inlineStr">
        <is>
          <t>18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복</t>
        </is>
      </c>
      <c r="T8" s="5" t="n">
        <v>95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반곡모아엘가</t>
        </is>
      </c>
      <c r="B10" s="10" t="inlineStr">
        <is>
          <t>'17.07.</t>
        </is>
      </c>
      <c r="C10" s="133" t="n">
        <v>418</v>
      </c>
      <c r="D10" s="131" t="n">
        <v>109.6</v>
      </c>
      <c r="E10" s="132" t="n">
        <v>33</v>
      </c>
      <c r="F10" s="131" t="n">
        <v>84.90000000000001</v>
      </c>
      <c r="G10" s="17" t="n">
        <v>26</v>
      </c>
      <c r="H10" s="133" t="n">
        <v>258</v>
      </c>
      <c r="I10" s="134" t="n">
        <v>40000</v>
      </c>
      <c r="J10" s="134" t="inlineStr">
        <is>
          <t>고</t>
        </is>
      </c>
      <c r="K10" s="134" t="n">
        <v>32000</v>
      </c>
      <c r="L10" s="134" t="inlineStr">
        <is>
          <t>15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n">
        <v>79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푸른숨LH3단지</t>
        </is>
      </c>
      <c r="B12" s="10" t="inlineStr">
        <is>
          <t>'15.06.</t>
        </is>
      </c>
      <c r="C12" s="133" t="n">
        <v>728</v>
      </c>
      <c r="D12" s="131" t="n">
        <v>109.6</v>
      </c>
      <c r="E12" s="132" t="n">
        <v>33</v>
      </c>
      <c r="F12" s="131" t="n">
        <v>84.90000000000001</v>
      </c>
      <c r="G12" s="17" t="n">
        <v>26</v>
      </c>
      <c r="H12" s="133" t="n">
        <v>191</v>
      </c>
      <c r="I12" s="134" t="n">
        <v>38000</v>
      </c>
      <c r="J12" s="134" t="inlineStr">
        <is>
          <t>11</t>
        </is>
      </c>
      <c r="K12" s="134" t="n">
        <v>28000</v>
      </c>
      <c r="L12" s="134" t="inlineStr">
        <is>
          <t>고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108C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e편한세상반곡</t>
        </is>
      </c>
      <c r="B14" s="10" t="inlineStr">
        <is>
          <t>'18.11.</t>
        </is>
      </c>
      <c r="C14" s="133" t="n">
        <v>508</v>
      </c>
      <c r="D14" s="131" t="n">
        <v>111.3</v>
      </c>
      <c r="E14" s="132" t="n">
        <v>34</v>
      </c>
      <c r="F14" s="131" t="n">
        <v>85</v>
      </c>
      <c r="G14" s="17" t="n">
        <v>26</v>
      </c>
      <c r="H14" s="133" t="n">
        <v>84</v>
      </c>
      <c r="I14" s="134" t="n">
        <v>39500</v>
      </c>
      <c r="J14" s="134" t="inlineStr">
        <is>
          <t>고</t>
        </is>
      </c>
      <c r="K14" s="134" t="n">
        <v>30000</v>
      </c>
      <c r="L14" s="134" t="inlineStr">
        <is>
          <t>고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1</v>
      </c>
      <c r="R14" s="121" t="n">
        <v>1</v>
      </c>
      <c r="S14" s="121" t="inlineStr">
        <is>
          <t>계</t>
        </is>
      </c>
      <c r="T14" s="5" t="inlineStr">
        <is>
          <t>33A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LH센트럴파크</t>
        </is>
      </c>
      <c r="B16" s="10" t="inlineStr">
        <is>
          <t>'19.02.</t>
        </is>
      </c>
      <c r="C16" s="133" t="n">
        <v>855</v>
      </c>
      <c r="D16" s="131" t="n">
        <v>110.9</v>
      </c>
      <c r="E16" s="132" t="n">
        <v>34</v>
      </c>
      <c r="F16" s="131" t="n">
        <v>85</v>
      </c>
      <c r="G16" s="17" t="n">
        <v>26</v>
      </c>
      <c r="H16" s="133" t="n">
        <v>601</v>
      </c>
      <c r="I16" s="134" t="n">
        <v>37000</v>
      </c>
      <c r="J16" s="134" t="inlineStr">
        <is>
          <t>9</t>
        </is>
      </c>
      <c r="K16" s="134" t="n">
        <v>29000</v>
      </c>
      <c r="L16" s="134" t="inlineStr">
        <is>
          <t>7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80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푸른숨휴브레스</t>
        </is>
      </c>
      <c r="B18" s="10" t="inlineStr">
        <is>
          <t>'13.12.</t>
        </is>
      </c>
      <c r="C18" s="133" t="n">
        <v>1110</v>
      </c>
      <c r="D18" s="131" t="n">
        <v>109.1</v>
      </c>
      <c r="E18" s="132" t="n">
        <v>33</v>
      </c>
      <c r="F18" s="131" t="n">
        <v>84.90000000000001</v>
      </c>
      <c r="G18" s="17" t="n">
        <v>26</v>
      </c>
      <c r="H18" s="133" t="n">
        <v>770</v>
      </c>
      <c r="I18" s="134" t="n">
        <v>37000</v>
      </c>
      <c r="J18" s="134" t="inlineStr">
        <is>
          <t>고</t>
        </is>
      </c>
      <c r="K18" s="134" t="n">
        <v>27000</v>
      </c>
      <c r="L18" s="134" t="inlineStr">
        <is>
          <t>5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복</t>
        </is>
      </c>
      <c r="T18" s="5" t="n">
        <v>79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반곡퍼스트힐</t>
        </is>
      </c>
      <c r="B20" s="10" t="inlineStr">
        <is>
          <t>'14.10.</t>
        </is>
      </c>
      <c r="C20" s="133" t="n">
        <v>424</v>
      </c>
      <c r="D20" s="131" t="n">
        <v>109.7</v>
      </c>
      <c r="E20" s="132" t="n">
        <v>33</v>
      </c>
      <c r="F20" s="131" t="n">
        <v>85</v>
      </c>
      <c r="G20" s="17" t="n">
        <v>26</v>
      </c>
      <c r="H20" s="133" t="n">
        <v>251</v>
      </c>
      <c r="I20" s="134" t="n">
        <v>33000</v>
      </c>
      <c r="J20" s="134" t="inlineStr">
        <is>
          <t>18</t>
        </is>
      </c>
      <c r="K20" s="134" t="n">
        <v>27000</v>
      </c>
      <c r="L20" s="134" t="inlineStr">
        <is>
          <t>18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inlineStr">
        <is>
          <t>161A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e편한세상반곡</t>
        </is>
      </c>
      <c r="B22" s="10" t="inlineStr">
        <is>
          <t>'18.11.</t>
        </is>
      </c>
      <c r="C22" s="133" t="n">
        <v>508</v>
      </c>
      <c r="D22" s="131" t="n">
        <v>84.5</v>
      </c>
      <c r="E22" s="132" t="n">
        <v>26</v>
      </c>
      <c r="F22" s="131" t="n">
        <v>59.8</v>
      </c>
      <c r="G22" s="17" t="n">
        <v>18</v>
      </c>
      <c r="H22" s="133" t="n">
        <v>164</v>
      </c>
      <c r="I22" s="134" t="n">
        <v>28900</v>
      </c>
      <c r="J22" s="134" t="inlineStr">
        <is>
          <t>8</t>
        </is>
      </c>
      <c r="K22" s="134" t="n">
        <v>21500</v>
      </c>
      <c r="L22" s="134" t="inlineStr">
        <is>
          <t>중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107A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12" dxfId="23">
      <formula>AV4="X"</formula>
    </cfRule>
    <cfRule type="expression" priority="213" dxfId="22">
      <formula>AV4="후보"</formula>
    </cfRule>
  </conditionalFormatting>
  <conditionalFormatting sqref="AC1:AC2 AC4:AC6 N4:N5">
    <cfRule type="cellIs" priority="209" operator="greaterThan" dxfId="17">
      <formula>0.9</formula>
    </cfRule>
    <cfRule type="cellIs" priority="210" operator="greaterThan" dxfId="16">
      <formula>0.85</formula>
    </cfRule>
  </conditionalFormatting>
  <conditionalFormatting sqref="N1:N2">
    <cfRule type="cellIs" priority="207" operator="greaterThan" dxfId="17">
      <formula>0.9</formula>
    </cfRule>
    <cfRule type="cellIs" priority="208" operator="greaterThan" dxfId="16">
      <formula>0.85</formula>
    </cfRule>
  </conditionalFormatting>
  <conditionalFormatting sqref="N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E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X6">
    <cfRule type="expression" priority="197" dxfId="3">
      <formula>AND(IF(OR($Q6=1,$Q6=2),1,0),IF($X6&lt;=20,1,0))</formula>
    </cfRule>
    <cfRule type="expression" priority="198" dxfId="2">
      <formula>AND(IF($Q6=2,1,0),IF($X6&lt;30,1,0))</formula>
    </cfRule>
    <cfRule type="expression" priority="199" dxfId="1">
      <formula>AND(IF($Q6=3,1,0),IF($X6&lt;30,1,0))</formula>
    </cfRule>
    <cfRule type="expression" priority="200" dxfId="0">
      <formula>AND(IF($Q6=3,1,IF($Q6=4,1,0)),IF($F6&lt;=85,1,0))</formula>
    </cfRule>
  </conditionalFormatting>
  <conditionalFormatting sqref="AI6">
    <cfRule type="expression" priority="193" dxfId="3">
      <formula>AND(IF(OR($Q6=1,$Q6=2),1,0),IF($X6&lt;=20,1,0))</formula>
    </cfRule>
    <cfRule type="expression" priority="194" dxfId="2">
      <formula>AND(IF($Q6=2,1,0),IF($X6&lt;30,1,0))</formula>
    </cfRule>
    <cfRule type="expression" priority="195" dxfId="1">
      <formula>AND(IF($Q6=3,1,0),IF($X6&lt;30,1,0))</formula>
    </cfRule>
    <cfRule type="expression" priority="196" dxfId="0">
      <formula>AND(IF($Q6=3,1,IF($Q6=4,1,0)),IF($F6&lt;=85,1,0))</formula>
    </cfRule>
  </conditionalFormatting>
  <conditionalFormatting sqref="AV7">
    <cfRule type="expression" priority="191" dxfId="23">
      <formula>AV7="X"</formula>
    </cfRule>
    <cfRule type="expression" priority="192" dxfId="22">
      <formula>AV7="후보"</formula>
    </cfRule>
  </conditionalFormatting>
  <conditionalFormatting sqref="AC7 N7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AV8">
    <cfRule type="expression" priority="186" dxfId="23">
      <formula>AV8="X"</formula>
    </cfRule>
    <cfRule type="expression" priority="187" dxfId="22">
      <formula>AV8="후보"</formula>
    </cfRule>
  </conditionalFormatting>
  <conditionalFormatting sqref="AC8">
    <cfRule type="cellIs" priority="183" operator="greaterThan" dxfId="17">
      <formula>0.9</formula>
    </cfRule>
    <cfRule type="cellIs" priority="184" operator="greaterThan" dxfId="16">
      <formula>0.85</formula>
    </cfRule>
  </conditionalFormatting>
  <conditionalFormatting sqref="N8">
    <cfRule type="cellIs" priority="181" operator="greaterThan" dxfId="17">
      <formula>0.9</formula>
    </cfRule>
    <cfRule type="cellIs" priority="182" operator="greaterThan" dxfId="16">
      <formula>0.85</formula>
    </cfRule>
  </conditionalFormatting>
  <conditionalFormatting sqref="E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X8">
    <cfRule type="expression" priority="173" dxfId="3">
      <formula>AND(IF(OR($Q8=1,$Q8=2),1,0),IF($X8&lt;=20,1,0))</formula>
    </cfRule>
    <cfRule type="expression" priority="174" dxfId="2">
      <formula>AND(IF($Q8=2,1,0),IF($X8&lt;30,1,0))</formula>
    </cfRule>
    <cfRule type="expression" priority="175" dxfId="1">
      <formula>AND(IF($Q8=3,1,0),IF($X8&lt;30,1,0))</formula>
    </cfRule>
    <cfRule type="expression" priority="176" dxfId="0">
      <formula>AND(IF($Q8=3,1,IF($Q8=4,1,0)),IF($F8&lt;=85,1,0))</formula>
    </cfRule>
  </conditionalFormatting>
  <conditionalFormatting sqref="AI8">
    <cfRule type="expression" priority="169" dxfId="3">
      <formula>AND(IF(OR($Q8=1,$Q8=2),1,0),IF($X8&lt;=20,1,0))</formula>
    </cfRule>
    <cfRule type="expression" priority="170" dxfId="2">
      <formula>AND(IF($Q8=2,1,0),IF($X8&lt;30,1,0))</formula>
    </cfRule>
    <cfRule type="expression" priority="171" dxfId="1">
      <formula>AND(IF($Q8=3,1,0),IF($X8&lt;30,1,0))</formula>
    </cfRule>
    <cfRule type="expression" priority="172" dxfId="0">
      <formula>AND(IF($Q8=3,1,IF($Q8=4,1,0)),IF($F8&lt;=85,1,0))</formula>
    </cfRule>
  </conditionalFormatting>
  <conditionalFormatting sqref="AV9">
    <cfRule type="expression" priority="167" dxfId="23">
      <formula>AV9="X"</formula>
    </cfRule>
    <cfRule type="expression" priority="168" dxfId="22">
      <formula>AV9="후보"</formula>
    </cfRule>
  </conditionalFormatting>
  <conditionalFormatting sqref="AC9 N9">
    <cfRule type="cellIs" priority="164" operator="greaterThan" dxfId="17">
      <formula>0.9</formula>
    </cfRule>
    <cfRule type="cellIs" priority="165" operator="greaterThan" dxfId="16">
      <formula>0.85</formula>
    </cfRule>
  </conditionalFormatting>
  <conditionalFormatting sqref="AV10">
    <cfRule type="expression" priority="162" dxfId="23">
      <formula>AV10="X"</formula>
    </cfRule>
    <cfRule type="expression" priority="163" dxfId="22">
      <formula>AV10="후보"</formula>
    </cfRule>
  </conditionalFormatting>
  <conditionalFormatting sqref="AC1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1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X10">
    <cfRule type="expression" priority="149" dxfId="3">
      <formula>AND(IF(OR($Q10=1,$Q10=2),1,0),IF($X10&lt;=20,1,0))</formula>
    </cfRule>
    <cfRule type="expression" priority="150" dxfId="2">
      <formula>AND(IF($Q10=2,1,0),IF($X10&lt;30,1,0))</formula>
    </cfRule>
    <cfRule type="expression" priority="151" dxfId="1">
      <formula>AND(IF($Q10=3,1,0),IF($X10&lt;30,1,0))</formula>
    </cfRule>
    <cfRule type="expression" priority="152" dxfId="0">
      <formula>AND(IF($Q10=3,1,IF($Q10=4,1,0)),IF($F10&lt;=85,1,0))</formula>
    </cfRule>
  </conditionalFormatting>
  <conditionalFormatting sqref="AI10">
    <cfRule type="expression" priority="145" dxfId="3">
      <formula>AND(IF(OR($Q10=1,$Q10=2),1,0),IF($X10&lt;=20,1,0))</formula>
    </cfRule>
    <cfRule type="expression" priority="146" dxfId="2">
      <formula>AND(IF($Q10=2,1,0),IF($X10&lt;30,1,0))</formula>
    </cfRule>
    <cfRule type="expression" priority="147" dxfId="1">
      <formula>AND(IF($Q10=3,1,0),IF($X10&lt;30,1,0))</formula>
    </cfRule>
    <cfRule type="expression" priority="148" dxfId="0">
      <formula>AND(IF($Q10=3,1,IF($Q10=4,1,0)),IF($F10&lt;=85,1,0))</formula>
    </cfRule>
  </conditionalFormatting>
  <conditionalFormatting sqref="AV11">
    <cfRule type="expression" priority="143" dxfId="23">
      <formula>AV11="X"</formula>
    </cfRule>
    <cfRule type="expression" priority="144" dxfId="22">
      <formula>AV11="후보"</formula>
    </cfRule>
  </conditionalFormatting>
  <conditionalFormatting sqref="AC11 N11">
    <cfRule type="cellIs" priority="140" operator="greaterThan" dxfId="17">
      <formula>0.9</formula>
    </cfRule>
    <cfRule type="cellIs" priority="141" operator="greaterThan" dxfId="16">
      <formula>0.85</formula>
    </cfRule>
  </conditionalFormatting>
  <conditionalFormatting sqref="AV12">
    <cfRule type="expression" priority="138" dxfId="23">
      <formula>AV12="X"</formula>
    </cfRule>
    <cfRule type="expression" priority="139" dxfId="22">
      <formula>AV12="후보"</formula>
    </cfRule>
  </conditionalFormatting>
  <conditionalFormatting sqref="AC12">
    <cfRule type="cellIs" priority="135" operator="greaterThan" dxfId="17">
      <formula>0.9</formula>
    </cfRule>
    <cfRule type="cellIs" priority="136" operator="greaterThan" dxfId="16">
      <formula>0.85</formula>
    </cfRule>
  </conditionalFormatting>
  <conditionalFormatting sqref="N12">
    <cfRule type="cellIs" priority="133" operator="greaterThan" dxfId="17">
      <formula>0.9</formula>
    </cfRule>
    <cfRule type="cellIs" priority="134" operator="greaterThan" dxfId="16">
      <formula>0.85</formula>
    </cfRule>
  </conditionalFormatting>
  <conditionalFormatting sqref="E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X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I12">
    <cfRule type="expression" priority="121" dxfId="3">
      <formula>AND(IF(OR($Q12=1,$Q12=2),1,0),IF($X12&lt;=20,1,0))</formula>
    </cfRule>
    <cfRule type="expression" priority="122" dxfId="2">
      <formula>AND(IF($Q12=2,1,0),IF($X12&lt;30,1,0))</formula>
    </cfRule>
    <cfRule type="expression" priority="123" dxfId="1">
      <formula>AND(IF($Q12=3,1,0),IF($X12&lt;30,1,0))</formula>
    </cfRule>
    <cfRule type="expression" priority="124" dxfId="0">
      <formula>AND(IF($Q12=3,1,IF($Q12=4,1,0)),IF($F12&lt;=85,1,0))</formula>
    </cfRule>
  </conditionalFormatting>
  <conditionalFormatting sqref="AV13">
    <cfRule type="expression" priority="119" dxfId="23">
      <formula>AV13="X"</formula>
    </cfRule>
    <cfRule type="expression" priority="120" dxfId="22">
      <formula>AV13="후보"</formula>
    </cfRule>
  </conditionalFormatting>
  <conditionalFormatting sqref="AC13 N13">
    <cfRule type="cellIs" priority="116" operator="greaterThan" dxfId="17">
      <formula>0.9</formula>
    </cfRule>
    <cfRule type="cellIs" priority="117" operator="greaterThan" dxfId="16">
      <formula>0.85</formula>
    </cfRule>
  </conditionalFormatting>
  <conditionalFormatting sqref="AV14">
    <cfRule type="expression" priority="114" dxfId="23">
      <formula>AV14="X"</formula>
    </cfRule>
    <cfRule type="expression" priority="115" dxfId="22">
      <formula>AV14="후보"</formula>
    </cfRule>
  </conditionalFormatting>
  <conditionalFormatting sqref="AC14">
    <cfRule type="cellIs" priority="111" operator="greaterThan" dxfId="17">
      <formula>0.9</formula>
    </cfRule>
    <cfRule type="cellIs" priority="112" operator="greaterThan" dxfId="16">
      <formula>0.85</formula>
    </cfRule>
  </conditionalFormatting>
  <conditionalFormatting sqref="N14">
    <cfRule type="cellIs" priority="109" operator="greaterThan" dxfId="17">
      <formula>0.9</formula>
    </cfRule>
    <cfRule type="cellIs" priority="110" operator="greaterThan" dxfId="16">
      <formula>0.85</formula>
    </cfRule>
  </conditionalFormatting>
  <conditionalFormatting sqref="E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X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I14">
    <cfRule type="expression" priority="97" dxfId="3">
      <formula>AND(IF(OR($Q14=1,$Q14=2),1,0),IF($X14&lt;=20,1,0))</formula>
    </cfRule>
    <cfRule type="expression" priority="98" dxfId="2">
      <formula>AND(IF($Q14=2,1,0),IF($X14&lt;30,1,0))</formula>
    </cfRule>
    <cfRule type="expression" priority="99" dxfId="1">
      <formula>AND(IF($Q14=3,1,0),IF($X14&lt;30,1,0))</formula>
    </cfRule>
    <cfRule type="expression" priority="100" dxfId="0">
      <formula>AND(IF($Q14=3,1,IF($Q14=4,1,0)),IF($F14&lt;=85,1,0))</formula>
    </cfRule>
  </conditionalFormatting>
  <conditionalFormatting sqref="AV15">
    <cfRule type="expression" priority="95" dxfId="23">
      <formula>AV15="X"</formula>
    </cfRule>
    <cfRule type="expression" priority="96" dxfId="22">
      <formula>AV15="후보"</formula>
    </cfRule>
  </conditionalFormatting>
  <conditionalFormatting sqref="AC15 N15">
    <cfRule type="cellIs" priority="92" operator="greaterThan" dxfId="17">
      <formula>0.9</formula>
    </cfRule>
    <cfRule type="cellIs" priority="93" operator="greaterThan" dxfId="16">
      <formula>0.85</formula>
    </cfRule>
  </conditionalFormatting>
  <conditionalFormatting sqref="AV16">
    <cfRule type="expression" priority="90" dxfId="23">
      <formula>AV16="X"</formula>
    </cfRule>
    <cfRule type="expression" priority="91" dxfId="22">
      <formula>AV16="후보"</formula>
    </cfRule>
  </conditionalFormatting>
  <conditionalFormatting sqref="AC1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X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I16">
    <cfRule type="expression" priority="73" dxfId="3">
      <formula>AND(IF(OR($Q16=1,$Q16=2),1,0),IF($X16&lt;=20,1,0))</formula>
    </cfRule>
    <cfRule type="expression" priority="74" dxfId="2">
      <formula>AND(IF($Q16=2,1,0),IF($X16&lt;30,1,0))</formula>
    </cfRule>
    <cfRule type="expression" priority="75" dxfId="1">
      <formula>AND(IF($Q16=3,1,0),IF($X16&lt;30,1,0))</formula>
    </cfRule>
    <cfRule type="expression" priority="76" dxfId="0">
      <formula>AND(IF($Q16=3,1,IF($Q16=4,1,0)),IF($F16&lt;=85,1,0))</formula>
    </cfRule>
  </conditionalFormatting>
  <conditionalFormatting sqref="AV17">
    <cfRule type="expression" priority="71" dxfId="23">
      <formula>AV17="X"</formula>
    </cfRule>
    <cfRule type="expression" priority="72" dxfId="22">
      <formula>AV17="후보"</formula>
    </cfRule>
  </conditionalFormatting>
  <conditionalFormatting sqref="AC17 N17">
    <cfRule type="cellIs" priority="68" operator="greaterThan" dxfId="17">
      <formula>0.9</formula>
    </cfRule>
    <cfRule type="cellIs" priority="69" operator="greaterThan" dxfId="16">
      <formula>0.85</formula>
    </cfRule>
  </conditionalFormatting>
  <conditionalFormatting sqref="AV18">
    <cfRule type="expression" priority="66" dxfId="23">
      <formula>AV18="X"</formula>
    </cfRule>
    <cfRule type="expression" priority="67" dxfId="22">
      <formula>AV18="후보"</formula>
    </cfRule>
  </conditionalFormatting>
  <conditionalFormatting sqref="AC18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18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18">
    <cfRule type="expression" priority="57" dxfId="3">
      <formula>AND(IF(OR($Q18=1,$Q18=2),1,0),IF($X18&lt;=20,1,0))</formula>
    </cfRule>
    <cfRule type="expression" priority="58" dxfId="2">
      <formula>AND(IF($Q18=2,1,0),IF($X18&lt;30,1,0))</formula>
    </cfRule>
    <cfRule type="expression" priority="59" dxfId="1">
      <formula>AND(IF($Q18=3,1,0),IF($X18&lt;30,1,0))</formula>
    </cfRule>
    <cfRule type="expression" priority="60" dxfId="0">
      <formula>AND(IF($Q18=3,1,IF($Q18=4,1,0)),IF($F18&lt;=85,1,0))</formula>
    </cfRule>
  </conditionalFormatting>
  <conditionalFormatting sqref="X18">
    <cfRule type="expression" priority="53" dxfId="3">
      <formula>AND(IF(OR($Q18=1,$Q18=2),1,0),IF($X18&lt;=20,1,0))</formula>
    </cfRule>
    <cfRule type="expression" priority="54" dxfId="2">
      <formula>AND(IF($Q18=2,1,0),IF($X18&lt;30,1,0))</formula>
    </cfRule>
    <cfRule type="expression" priority="55" dxfId="1">
      <formula>AND(IF($Q18=3,1,0),IF($X18&lt;30,1,0))</formula>
    </cfRule>
    <cfRule type="expression" priority="56" dxfId="0">
      <formula>AND(IF($Q18=3,1,IF($Q18=4,1,0)),IF($F18&lt;=85,1,0))</formula>
    </cfRule>
  </conditionalFormatting>
  <conditionalFormatting sqref="AI18">
    <cfRule type="expression" priority="49" dxfId="3">
      <formula>AND(IF(OR($Q18=1,$Q18=2),1,0),IF($X18&lt;=20,1,0))</formula>
    </cfRule>
    <cfRule type="expression" priority="50" dxfId="2">
      <formula>AND(IF($Q18=2,1,0),IF($X18&lt;30,1,0))</formula>
    </cfRule>
    <cfRule type="expression" priority="51" dxfId="1">
      <formula>AND(IF($Q18=3,1,0),IF($X18&lt;30,1,0))</formula>
    </cfRule>
    <cfRule type="expression" priority="52" dxfId="0">
      <formula>AND(IF($Q18=3,1,IF($Q18=4,1,0)),IF($F18&lt;=85,1,0))</formula>
    </cfRule>
  </conditionalFormatting>
  <conditionalFormatting sqref="AV19">
    <cfRule type="expression" priority="47" dxfId="23">
      <formula>AV19="X"</formula>
    </cfRule>
    <cfRule type="expression" priority="48" dxfId="22">
      <formula>AV19="후보"</formula>
    </cfRule>
  </conditionalFormatting>
  <conditionalFormatting sqref="AC19 N19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20">
    <cfRule type="expression" priority="42" dxfId="23">
      <formula>AV20="X"</formula>
    </cfRule>
    <cfRule type="expression" priority="43" dxfId="22">
      <formula>AV20="후보"</formula>
    </cfRule>
  </conditionalFormatting>
  <conditionalFormatting sqref="AC2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20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20">
    <cfRule type="expression" priority="33" dxfId="3">
      <formula>AND(IF(OR($Q20=1,$Q20=2),1,0),IF($X20&lt;=20,1,0))</formula>
    </cfRule>
    <cfRule type="expression" priority="34" dxfId="2">
      <formula>AND(IF($Q20=2,1,0),IF($X20&lt;30,1,0))</formula>
    </cfRule>
    <cfRule type="expression" priority="35" dxfId="1">
      <formula>AND(IF($Q20=3,1,0),IF($X20&lt;30,1,0))</formula>
    </cfRule>
    <cfRule type="expression" priority="36" dxfId="0">
      <formula>AND(IF($Q20=3,1,IF($Q20=4,1,0)),IF($F20&lt;=85,1,0))</formula>
    </cfRule>
  </conditionalFormatting>
  <conditionalFormatting sqref="X20">
    <cfRule type="expression" priority="29" dxfId="3">
      <formula>AND(IF(OR($Q20=1,$Q20=2),1,0),IF($X20&lt;=20,1,0))</formula>
    </cfRule>
    <cfRule type="expression" priority="30" dxfId="2">
      <formula>AND(IF($Q20=2,1,0),IF($X20&lt;30,1,0))</formula>
    </cfRule>
    <cfRule type="expression" priority="31" dxfId="1">
      <formula>AND(IF($Q20=3,1,0),IF($X20&lt;30,1,0))</formula>
    </cfRule>
    <cfRule type="expression" priority="32" dxfId="0">
      <formula>AND(IF($Q20=3,1,IF($Q20=4,1,0)),IF($F20&lt;=85,1,0))</formula>
    </cfRule>
  </conditionalFormatting>
  <conditionalFormatting sqref="AI20">
    <cfRule type="expression" priority="25" dxfId="3">
      <formula>AND(IF(OR($Q20=1,$Q20=2),1,0),IF($X20&lt;=20,1,0))</formula>
    </cfRule>
    <cfRule type="expression" priority="26" dxfId="2">
      <formula>AND(IF($Q20=2,1,0),IF($X20&lt;30,1,0))</formula>
    </cfRule>
    <cfRule type="expression" priority="27" dxfId="1">
      <formula>AND(IF($Q20=3,1,0),IF($X20&lt;30,1,0))</formula>
    </cfRule>
    <cfRule type="expression" priority="28" dxfId="0">
      <formula>AND(IF($Q20=3,1,IF($Q20=4,1,0)),IF($F20&lt;=85,1,0))</formula>
    </cfRule>
  </conditionalFormatting>
  <conditionalFormatting sqref="AV21">
    <cfRule type="expression" priority="23" dxfId="23">
      <formula>AV21="X"</formula>
    </cfRule>
    <cfRule type="expression" priority="24" dxfId="22">
      <formula>AV21="후보"</formula>
    </cfRule>
  </conditionalFormatting>
  <conditionalFormatting sqref="AC21 N21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문막읍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서원주코아루아너스</t>
        </is>
      </c>
      <c r="B6" s="10" t="inlineStr">
        <is>
          <t>'18.04.</t>
        </is>
      </c>
      <c r="C6" s="133" t="n">
        <v>842</v>
      </c>
      <c r="D6" s="131" t="n">
        <v>117.4</v>
      </c>
      <c r="E6" s="132" t="n">
        <v>35</v>
      </c>
      <c r="F6" s="131" t="n">
        <v>84.59999999999999</v>
      </c>
      <c r="G6" s="17" t="n">
        <v>26</v>
      </c>
      <c r="H6" s="133" t="n">
        <v>376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23">
      <formula>AV4="X"</formula>
    </cfRule>
    <cfRule type="expression" priority="21" dxfId="22">
      <formula>AV4="후보"</formula>
    </cfRule>
  </conditionalFormatting>
  <conditionalFormatting sqref="AC1:AC2 AC4:AC6 N4:N5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N1:N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무실동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더샵원주센트럴파크1단지</t>
        </is>
      </c>
      <c r="B6" s="10" t="inlineStr">
        <is>
          <t>'21.11.</t>
        </is>
      </c>
      <c r="C6" s="133" t="n">
        <v>936</v>
      </c>
      <c r="D6" s="131" t="n">
        <v>111.6</v>
      </c>
      <c r="E6" s="132" t="n">
        <v>34</v>
      </c>
      <c r="F6" s="131" t="n">
        <v>85</v>
      </c>
      <c r="G6" s="17" t="n">
        <v>26</v>
      </c>
      <c r="H6" s="133" t="n">
        <v>272</v>
      </c>
      <c r="I6" s="134" t="n">
        <v>55534</v>
      </c>
      <c r="J6" s="134" t="inlineStr">
        <is>
          <t>중</t>
        </is>
      </c>
      <c r="K6" s="134" t="n">
        <v>29000</v>
      </c>
      <c r="L6" s="134" t="inlineStr">
        <is>
          <t>11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115B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무실우미린</t>
        </is>
      </c>
      <c r="B8" s="10" t="inlineStr">
        <is>
          <t>'14.09.</t>
        </is>
      </c>
      <c r="C8" s="133" t="n">
        <v>653</v>
      </c>
      <c r="D8" s="131" t="n">
        <v>111.5</v>
      </c>
      <c r="E8" s="132" t="n">
        <v>34</v>
      </c>
      <c r="F8" s="131" t="n">
        <v>85</v>
      </c>
      <c r="G8" s="17" t="n">
        <v>26</v>
      </c>
      <c r="H8" s="133" t="n">
        <v>245</v>
      </c>
      <c r="I8" s="134" t="n">
        <v>46000</v>
      </c>
      <c r="J8" s="134" t="inlineStr">
        <is>
          <t>12</t>
        </is>
      </c>
      <c r="K8" s="134" t="n">
        <v>32000</v>
      </c>
      <c r="L8" s="134" t="inlineStr">
        <is>
          <t>10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복</t>
        </is>
      </c>
      <c r="T8" s="5" t="n">
        <v>94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원주무실세영리첼1차</t>
        </is>
      </c>
      <c r="B10" s="10" t="inlineStr">
        <is>
          <t>'14.06.</t>
        </is>
      </c>
      <c r="C10" s="133" t="n">
        <v>482</v>
      </c>
      <c r="D10" s="131" t="n">
        <v>108.4</v>
      </c>
      <c r="E10" s="132" t="n">
        <v>33</v>
      </c>
      <c r="F10" s="131" t="n">
        <v>84.90000000000001</v>
      </c>
      <c r="G10" s="17" t="n">
        <v>26</v>
      </c>
      <c r="H10" s="133" t="n">
        <v>72</v>
      </c>
      <c r="I10" s="134" t="n">
        <v>48000</v>
      </c>
      <c r="J10" s="134" t="inlineStr">
        <is>
          <t>중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inlineStr">
        <is>
          <t>194A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원주무실세영리첼2차</t>
        </is>
      </c>
      <c r="B12" s="10" t="inlineStr">
        <is>
          <t>'15.04.</t>
        </is>
      </c>
      <c r="C12" s="133" t="n">
        <v>526</v>
      </c>
      <c r="D12" s="131" t="n">
        <v>110.4</v>
      </c>
      <c r="E12" s="132" t="n">
        <v>33</v>
      </c>
      <c r="F12" s="131" t="n">
        <v>85</v>
      </c>
      <c r="G12" s="17" t="n">
        <v>26</v>
      </c>
      <c r="H12" s="133" t="n">
        <v>129</v>
      </c>
      <c r="I12" s="134" t="n">
        <v>47000</v>
      </c>
      <c r="J12" s="134" t="inlineStr">
        <is>
          <t>7</t>
        </is>
      </c>
      <c r="K12" s="134" t="n">
        <v>34000</v>
      </c>
      <c r="L12" s="134" t="inlineStr">
        <is>
          <t>12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116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무실우미린</t>
        </is>
      </c>
      <c r="B14" s="10" t="inlineStr">
        <is>
          <t>'14.09.</t>
        </is>
      </c>
      <c r="C14" s="133" t="n">
        <v>653</v>
      </c>
      <c r="D14" s="131" t="n">
        <v>98.2</v>
      </c>
      <c r="E14" s="132" t="n">
        <v>30</v>
      </c>
      <c r="F14" s="131" t="n">
        <v>75.3</v>
      </c>
      <c r="G14" s="17" t="n">
        <v>23</v>
      </c>
      <c r="H14" s="133" t="n">
        <v>221</v>
      </c>
      <c r="I14" s="134" t="n">
        <v>41000</v>
      </c>
      <c r="J14" s="134" t="inlineStr">
        <is>
          <t>12</t>
        </is>
      </c>
      <c r="K14" s="134" t="n">
        <v>28000</v>
      </c>
      <c r="L14" s="134" t="inlineStr">
        <is>
          <t>12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복</t>
        </is>
      </c>
      <c r="T14" s="5" t="inlineStr">
        <is>
          <t>79B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더샵원주센트럴파크1단지</t>
        </is>
      </c>
      <c r="B16" s="10" t="inlineStr">
        <is>
          <t>'21.11.</t>
        </is>
      </c>
      <c r="C16" s="133" t="n">
        <v>936</v>
      </c>
      <c r="D16" s="131" t="n">
        <v>80</v>
      </c>
      <c r="E16" s="132" t="n">
        <v>24</v>
      </c>
      <c r="F16" s="131" t="n">
        <v>60</v>
      </c>
      <c r="G16" s="17" t="n">
        <v>18</v>
      </c>
      <c r="H16" s="133" t="n">
        <v>312</v>
      </c>
      <c r="I16" s="134" t="n"/>
      <c r="J16" s="134" t="n"/>
      <c r="K16" s="134" t="n">
        <v>27000</v>
      </c>
      <c r="L16" s="134" t="inlineStr">
        <is>
          <t>중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85B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사랑으로부영</t>
        </is>
      </c>
      <c r="B18" s="10" t="inlineStr">
        <is>
          <t>'12.07.</t>
        </is>
      </c>
      <c r="C18" s="133" t="n">
        <v>639</v>
      </c>
      <c r="D18" s="131" t="n">
        <v>88.59999999999999</v>
      </c>
      <c r="E18" s="132" t="n">
        <v>27</v>
      </c>
      <c r="F18" s="131" t="n">
        <v>59.9</v>
      </c>
      <c r="G18" s="17" t="n">
        <v>18</v>
      </c>
      <c r="H18" s="133" t="n">
        <v>337</v>
      </c>
      <c r="I18" s="134" t="n">
        <v>32000</v>
      </c>
      <c r="J18" s="134" t="inlineStr">
        <is>
          <t>7</t>
        </is>
      </c>
      <c r="K18" s="134" t="n">
        <v>25000</v>
      </c>
      <c r="L18" s="134" t="inlineStr">
        <is>
          <t>중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107C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164" dxfId="23">
      <formula>AV4="X"</formula>
    </cfRule>
    <cfRule type="expression" priority="165" dxfId="22">
      <formula>AV4="후보"</formula>
    </cfRule>
  </conditionalFormatting>
  <conditionalFormatting sqref="AC1:AC2 AC4:AC6 N4:N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N1:N2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">
    <cfRule type="expression" priority="153" dxfId="3">
      <formula>AND(IF(OR($Q6=1,$Q6=2),1,0),IF($X6&lt;=20,1,0))</formula>
    </cfRule>
    <cfRule type="expression" priority="154" dxfId="2">
      <formula>AND(IF($Q6=2,1,0),IF($X6&lt;30,1,0))</formula>
    </cfRule>
    <cfRule type="expression" priority="155" dxfId="1">
      <formula>AND(IF($Q6=3,1,0),IF($X6&lt;30,1,0))</formula>
    </cfRule>
    <cfRule type="expression" priority="156" dxfId="0">
      <formula>AND(IF($Q6=3,1,IF($Q6=4,1,0)),IF($F6&lt;=85,1,0))</formula>
    </cfRule>
  </conditionalFormatting>
  <conditionalFormatting sqref="X6">
    <cfRule type="expression" priority="149" dxfId="3">
      <formula>AND(IF(OR($Q6=1,$Q6=2),1,0),IF($X6&lt;=20,1,0))</formula>
    </cfRule>
    <cfRule type="expression" priority="150" dxfId="2">
      <formula>AND(IF($Q6=2,1,0),IF($X6&lt;30,1,0))</formula>
    </cfRule>
    <cfRule type="expression" priority="151" dxfId="1">
      <formula>AND(IF($Q6=3,1,0),IF($X6&lt;30,1,0))</formula>
    </cfRule>
    <cfRule type="expression" priority="152" dxfId="0">
      <formula>AND(IF($Q6=3,1,IF($Q6=4,1,0)),IF($F6&lt;=85,1,0))</formula>
    </cfRule>
  </conditionalFormatting>
  <conditionalFormatting sqref="AI6">
    <cfRule type="expression" priority="145" dxfId="3">
      <formula>AND(IF(OR($Q6=1,$Q6=2),1,0),IF($X6&lt;=20,1,0))</formula>
    </cfRule>
    <cfRule type="expression" priority="146" dxfId="2">
      <formula>AND(IF($Q6=2,1,0),IF($X6&lt;30,1,0))</formula>
    </cfRule>
    <cfRule type="expression" priority="147" dxfId="1">
      <formula>AND(IF($Q6=3,1,0),IF($X6&lt;30,1,0))</formula>
    </cfRule>
    <cfRule type="expression" priority="148" dxfId="0">
      <formula>AND(IF($Q6=3,1,IF($Q6=4,1,0)),IF($F6&lt;=85,1,0))</formula>
    </cfRule>
  </conditionalFormatting>
  <conditionalFormatting sqref="AV7">
    <cfRule type="expression" priority="143" dxfId="23">
      <formula>AV7="X"</formula>
    </cfRule>
    <cfRule type="expression" priority="144" dxfId="22">
      <formula>AV7="후보"</formula>
    </cfRule>
  </conditionalFormatting>
  <conditionalFormatting sqref="AC7 N7">
    <cfRule type="cellIs" priority="140" operator="greaterThan" dxfId="17">
      <formula>0.9</formula>
    </cfRule>
    <cfRule type="cellIs" priority="141" operator="greaterThan" dxfId="16">
      <formula>0.85</formula>
    </cfRule>
  </conditionalFormatting>
  <conditionalFormatting sqref="AV8">
    <cfRule type="expression" priority="138" dxfId="23">
      <formula>AV8="X"</formula>
    </cfRule>
    <cfRule type="expression" priority="139" dxfId="22">
      <formula>AV8="후보"</formula>
    </cfRule>
  </conditionalFormatting>
  <conditionalFormatting sqref="AC8">
    <cfRule type="cellIs" priority="135" operator="greaterThan" dxfId="17">
      <formula>0.9</formula>
    </cfRule>
    <cfRule type="cellIs" priority="136" operator="greaterThan" dxfId="16">
      <formula>0.85</formula>
    </cfRule>
  </conditionalFormatting>
  <conditionalFormatting sqref="N8">
    <cfRule type="cellIs" priority="133" operator="greaterThan" dxfId="17">
      <formula>0.9</formula>
    </cfRule>
    <cfRule type="cellIs" priority="134" operator="greaterThan" dxfId="16">
      <formula>0.85</formula>
    </cfRule>
  </conditionalFormatting>
  <conditionalFormatting sqref="E8">
    <cfRule type="expression" priority="129" dxfId="3">
      <formula>AND(IF(OR($Q8=1,$Q8=2),1,0),IF($X8&lt;=20,1,0))</formula>
    </cfRule>
    <cfRule type="expression" priority="130" dxfId="2">
      <formula>AND(IF($Q8=2,1,0),IF($X8&lt;30,1,0))</formula>
    </cfRule>
    <cfRule type="expression" priority="131" dxfId="1">
      <formula>AND(IF($Q8=3,1,0),IF($X8&lt;30,1,0))</formula>
    </cfRule>
    <cfRule type="expression" priority="132" dxfId="0">
      <formula>AND(IF($Q8=3,1,IF($Q8=4,1,0)),IF($F8&lt;=85,1,0))</formula>
    </cfRule>
  </conditionalFormatting>
  <conditionalFormatting sqref="X8">
    <cfRule type="expression" priority="125" dxfId="3">
      <formula>AND(IF(OR($Q8=1,$Q8=2),1,0),IF($X8&lt;=20,1,0))</formula>
    </cfRule>
    <cfRule type="expression" priority="126" dxfId="2">
      <formula>AND(IF($Q8=2,1,0),IF($X8&lt;30,1,0))</formula>
    </cfRule>
    <cfRule type="expression" priority="127" dxfId="1">
      <formula>AND(IF($Q8=3,1,0),IF($X8&lt;30,1,0))</formula>
    </cfRule>
    <cfRule type="expression" priority="128" dxfId="0">
      <formula>AND(IF($Q8=3,1,IF($Q8=4,1,0)),IF($F8&lt;=85,1,0))</formula>
    </cfRule>
  </conditionalFormatting>
  <conditionalFormatting sqref="AI8">
    <cfRule type="expression" priority="121" dxfId="3">
      <formula>AND(IF(OR($Q8=1,$Q8=2),1,0),IF($X8&lt;=20,1,0))</formula>
    </cfRule>
    <cfRule type="expression" priority="122" dxfId="2">
      <formula>AND(IF($Q8=2,1,0),IF($X8&lt;30,1,0))</formula>
    </cfRule>
    <cfRule type="expression" priority="123" dxfId="1">
      <formula>AND(IF($Q8=3,1,0),IF($X8&lt;30,1,0))</formula>
    </cfRule>
    <cfRule type="expression" priority="124" dxfId="0">
      <formula>AND(IF($Q8=3,1,IF($Q8=4,1,0)),IF($F8&lt;=85,1,0))</formula>
    </cfRule>
  </conditionalFormatting>
  <conditionalFormatting sqref="AV9">
    <cfRule type="expression" priority="119" dxfId="23">
      <formula>AV9="X"</formula>
    </cfRule>
    <cfRule type="expression" priority="120" dxfId="22">
      <formula>AV9="후보"</formula>
    </cfRule>
  </conditionalFormatting>
  <conditionalFormatting sqref="AC9 N9">
    <cfRule type="cellIs" priority="116" operator="greaterThan" dxfId="17">
      <formula>0.9</formula>
    </cfRule>
    <cfRule type="cellIs" priority="117" operator="greaterThan" dxfId="16">
      <formula>0.85</formula>
    </cfRule>
  </conditionalFormatting>
  <conditionalFormatting sqref="AV10">
    <cfRule type="expression" priority="114" dxfId="23">
      <formula>AV10="X"</formula>
    </cfRule>
    <cfRule type="expression" priority="115" dxfId="22">
      <formula>AV10="후보"</formula>
    </cfRule>
  </conditionalFormatting>
  <conditionalFormatting sqref="AC10">
    <cfRule type="cellIs" priority="111" operator="greaterThan" dxfId="17">
      <formula>0.9</formula>
    </cfRule>
    <cfRule type="cellIs" priority="112" operator="greaterThan" dxfId="16">
      <formula>0.85</formula>
    </cfRule>
  </conditionalFormatting>
  <conditionalFormatting sqref="N10">
    <cfRule type="cellIs" priority="109" operator="greaterThan" dxfId="17">
      <formula>0.9</formula>
    </cfRule>
    <cfRule type="cellIs" priority="110" operator="greaterThan" dxfId="16">
      <formula>0.85</formula>
    </cfRule>
  </conditionalFormatting>
  <conditionalFormatting sqref="E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X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I10">
    <cfRule type="expression" priority="97" dxfId="3">
      <formula>AND(IF(OR($Q10=1,$Q10=2),1,0),IF($X10&lt;=20,1,0))</formula>
    </cfRule>
    <cfRule type="expression" priority="98" dxfId="2">
      <formula>AND(IF($Q10=2,1,0),IF($X10&lt;30,1,0))</formula>
    </cfRule>
    <cfRule type="expression" priority="99" dxfId="1">
      <formula>AND(IF($Q10=3,1,0),IF($X10&lt;30,1,0))</formula>
    </cfRule>
    <cfRule type="expression" priority="100" dxfId="0">
      <formula>AND(IF($Q10=3,1,IF($Q10=4,1,0)),IF($F10&lt;=85,1,0))</formula>
    </cfRule>
  </conditionalFormatting>
  <conditionalFormatting sqref="AV11">
    <cfRule type="expression" priority="95" dxfId="23">
      <formula>AV11="X"</formula>
    </cfRule>
    <cfRule type="expression" priority="96" dxfId="22">
      <formula>AV11="후보"</formula>
    </cfRule>
  </conditionalFormatting>
  <conditionalFormatting sqref="AC11 N11">
    <cfRule type="cellIs" priority="92" operator="greaterThan" dxfId="17">
      <formula>0.9</formula>
    </cfRule>
    <cfRule type="cellIs" priority="93" operator="greaterThan" dxfId="16">
      <formula>0.85</formula>
    </cfRule>
  </conditionalFormatting>
  <conditionalFormatting sqref="AV12">
    <cfRule type="expression" priority="90" dxfId="23">
      <formula>AV12="X"</formula>
    </cfRule>
    <cfRule type="expression" priority="91" dxfId="22">
      <formula>AV12="후보"</formula>
    </cfRule>
  </conditionalFormatting>
  <conditionalFormatting sqref="AC12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2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2">
    <cfRule type="expression" priority="81" dxfId="3">
      <formula>AND(IF(OR($Q12=1,$Q12=2),1,0),IF($X12&lt;=20,1,0))</formula>
    </cfRule>
    <cfRule type="expression" priority="82" dxfId="2">
      <formula>AND(IF($Q12=2,1,0),IF($X12&lt;30,1,0))</formula>
    </cfRule>
    <cfRule type="expression" priority="83" dxfId="1">
      <formula>AND(IF($Q12=3,1,0),IF($X12&lt;30,1,0))</formula>
    </cfRule>
    <cfRule type="expression" priority="84" dxfId="0">
      <formula>AND(IF($Q12=3,1,IF($Q12=4,1,0)),IF($F12&lt;=85,1,0))</formula>
    </cfRule>
  </conditionalFormatting>
  <conditionalFormatting sqref="X12">
    <cfRule type="expression" priority="77" dxfId="3">
      <formula>AND(IF(OR($Q12=1,$Q12=2),1,0),IF($X12&lt;=20,1,0))</formula>
    </cfRule>
    <cfRule type="expression" priority="78" dxfId="2">
      <formula>AND(IF($Q12=2,1,0),IF($X12&lt;30,1,0))</formula>
    </cfRule>
    <cfRule type="expression" priority="79" dxfId="1">
      <formula>AND(IF($Q12=3,1,0),IF($X12&lt;30,1,0))</formula>
    </cfRule>
    <cfRule type="expression" priority="80" dxfId="0">
      <formula>AND(IF($Q12=3,1,IF($Q12=4,1,0)),IF($F12&lt;=85,1,0))</formula>
    </cfRule>
  </conditionalFormatting>
  <conditionalFormatting sqref="AI12">
    <cfRule type="expression" priority="73" dxfId="3">
      <formula>AND(IF(OR($Q12=1,$Q12=2),1,0),IF($X12&lt;=20,1,0))</formula>
    </cfRule>
    <cfRule type="expression" priority="74" dxfId="2">
      <formula>AND(IF($Q12=2,1,0),IF($X12&lt;30,1,0))</formula>
    </cfRule>
    <cfRule type="expression" priority="75" dxfId="1">
      <formula>AND(IF($Q12=3,1,0),IF($X12&lt;30,1,0))</formula>
    </cfRule>
    <cfRule type="expression" priority="76" dxfId="0">
      <formula>AND(IF($Q12=3,1,IF($Q12=4,1,0)),IF($F12&lt;=85,1,0))</formula>
    </cfRule>
  </conditionalFormatting>
  <conditionalFormatting sqref="AV13">
    <cfRule type="expression" priority="71" dxfId="23">
      <formula>AV13="X"</formula>
    </cfRule>
    <cfRule type="expression" priority="72" dxfId="22">
      <formula>AV13="후보"</formula>
    </cfRule>
  </conditionalFormatting>
  <conditionalFormatting sqref="AC13 N13">
    <cfRule type="cellIs" priority="68" operator="greaterThan" dxfId="17">
      <formula>0.9</formula>
    </cfRule>
    <cfRule type="cellIs" priority="69" operator="greaterThan" dxfId="16">
      <formula>0.85</formula>
    </cfRule>
  </conditionalFormatting>
  <conditionalFormatting sqref="AV14">
    <cfRule type="expression" priority="66" dxfId="23">
      <formula>AV14="X"</formula>
    </cfRule>
    <cfRule type="expression" priority="67" dxfId="22">
      <formula>AV14="후보"</formula>
    </cfRule>
  </conditionalFormatting>
  <conditionalFormatting sqref="AC14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14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14">
    <cfRule type="expression" priority="57" dxfId="3">
      <formula>AND(IF(OR($Q14=1,$Q14=2),1,0),IF($X14&lt;=20,1,0))</formula>
    </cfRule>
    <cfRule type="expression" priority="58" dxfId="2">
      <formula>AND(IF($Q14=2,1,0),IF($X14&lt;30,1,0))</formula>
    </cfRule>
    <cfRule type="expression" priority="59" dxfId="1">
      <formula>AND(IF($Q14=3,1,0),IF($X14&lt;30,1,0))</formula>
    </cfRule>
    <cfRule type="expression" priority="60" dxfId="0">
      <formula>AND(IF($Q14=3,1,IF($Q14=4,1,0)),IF($F14&lt;=85,1,0))</formula>
    </cfRule>
  </conditionalFormatting>
  <conditionalFormatting sqref="X14">
    <cfRule type="expression" priority="53" dxfId="3">
      <formula>AND(IF(OR($Q14=1,$Q14=2),1,0),IF($X14&lt;=20,1,0))</formula>
    </cfRule>
    <cfRule type="expression" priority="54" dxfId="2">
      <formula>AND(IF($Q14=2,1,0),IF($X14&lt;30,1,0))</formula>
    </cfRule>
    <cfRule type="expression" priority="55" dxfId="1">
      <formula>AND(IF($Q14=3,1,0),IF($X14&lt;30,1,0))</formula>
    </cfRule>
    <cfRule type="expression" priority="56" dxfId="0">
      <formula>AND(IF($Q14=3,1,IF($Q14=4,1,0)),IF($F14&lt;=85,1,0))</formula>
    </cfRule>
  </conditionalFormatting>
  <conditionalFormatting sqref="AI14">
    <cfRule type="expression" priority="49" dxfId="3">
      <formula>AND(IF(OR($Q14=1,$Q14=2),1,0),IF($X14&lt;=20,1,0))</formula>
    </cfRule>
    <cfRule type="expression" priority="50" dxfId="2">
      <formula>AND(IF($Q14=2,1,0),IF($X14&lt;30,1,0))</formula>
    </cfRule>
    <cfRule type="expression" priority="51" dxfId="1">
      <formula>AND(IF($Q14=3,1,0),IF($X14&lt;30,1,0))</formula>
    </cfRule>
    <cfRule type="expression" priority="52" dxfId="0">
      <formula>AND(IF($Q14=3,1,IF($Q14=4,1,0)),IF($F14&lt;=85,1,0))</formula>
    </cfRule>
  </conditionalFormatting>
  <conditionalFormatting sqref="AV15">
    <cfRule type="expression" priority="47" dxfId="23">
      <formula>AV15="X"</formula>
    </cfRule>
    <cfRule type="expression" priority="48" dxfId="22">
      <formula>AV15="후보"</formula>
    </cfRule>
  </conditionalFormatting>
  <conditionalFormatting sqref="AC15 N15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16">
    <cfRule type="expression" priority="42" dxfId="23">
      <formula>AV16="X"</formula>
    </cfRule>
    <cfRule type="expression" priority="43" dxfId="22">
      <formula>AV16="후보"</formula>
    </cfRule>
  </conditionalFormatting>
  <conditionalFormatting sqref="AC1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6">
    <cfRule type="expression" priority="33" dxfId="3">
      <formula>AND(IF(OR($Q16=1,$Q16=2),1,0),IF($X16&lt;=20,1,0))</formula>
    </cfRule>
    <cfRule type="expression" priority="34" dxfId="2">
      <formula>AND(IF($Q16=2,1,0),IF($X16&lt;30,1,0))</formula>
    </cfRule>
    <cfRule type="expression" priority="35" dxfId="1">
      <formula>AND(IF($Q16=3,1,0),IF($X16&lt;30,1,0))</formula>
    </cfRule>
    <cfRule type="expression" priority="36" dxfId="0">
      <formula>AND(IF($Q16=3,1,IF($Q16=4,1,0)),IF($F16&lt;=85,1,0))</formula>
    </cfRule>
  </conditionalFormatting>
  <conditionalFormatting sqref="X16">
    <cfRule type="expression" priority="29" dxfId="3">
      <formula>AND(IF(OR($Q16=1,$Q16=2),1,0),IF($X16&lt;=20,1,0))</formula>
    </cfRule>
    <cfRule type="expression" priority="30" dxfId="2">
      <formula>AND(IF($Q16=2,1,0),IF($X16&lt;30,1,0))</formula>
    </cfRule>
    <cfRule type="expression" priority="31" dxfId="1">
      <formula>AND(IF($Q16=3,1,0),IF($X16&lt;30,1,0))</formula>
    </cfRule>
    <cfRule type="expression" priority="32" dxfId="0">
      <formula>AND(IF($Q16=3,1,IF($Q16=4,1,0)),IF($F16&lt;=85,1,0))</formula>
    </cfRule>
  </conditionalFormatting>
  <conditionalFormatting sqref="AI16">
    <cfRule type="expression" priority="25" dxfId="3">
      <formula>AND(IF(OR($Q16=1,$Q16=2),1,0),IF($X16&lt;=20,1,0))</formula>
    </cfRule>
    <cfRule type="expression" priority="26" dxfId="2">
      <formula>AND(IF($Q16=2,1,0),IF($X16&lt;30,1,0))</formula>
    </cfRule>
    <cfRule type="expression" priority="27" dxfId="1">
      <formula>AND(IF($Q16=3,1,0),IF($X16&lt;30,1,0))</formula>
    </cfRule>
    <cfRule type="expression" priority="28" dxfId="0">
      <formula>AND(IF($Q16=3,1,IF($Q16=4,1,0)),IF($F16&lt;=85,1,0))</formula>
    </cfRule>
  </conditionalFormatting>
  <conditionalFormatting sqref="AV17">
    <cfRule type="expression" priority="23" dxfId="23">
      <formula>AV17="X"</formula>
    </cfRule>
    <cfRule type="expression" priority="24" dxfId="22">
      <formula>AV17="후보"</formula>
    </cfRule>
  </conditionalFormatting>
  <conditionalFormatting sqref="AC17 N1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명륜동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원주더샵센트럴파크2단지</t>
        </is>
      </c>
      <c r="B6" s="10" t="inlineStr">
        <is>
          <t>'22.01.</t>
        </is>
      </c>
      <c r="C6" s="133" t="n">
        <v>838</v>
      </c>
      <c r="D6" s="131" t="n">
        <v>109</v>
      </c>
      <c r="E6" s="132" t="n">
        <v>33</v>
      </c>
      <c r="F6" s="131" t="n">
        <v>85</v>
      </c>
      <c r="G6" s="17" t="n">
        <v>26</v>
      </c>
      <c r="H6" s="133" t="n">
        <v>483</v>
      </c>
      <c r="I6" s="134" t="n">
        <v>51900</v>
      </c>
      <c r="J6" s="134" t="inlineStr">
        <is>
          <t>고</t>
        </is>
      </c>
      <c r="K6" s="134" t="n">
        <v>28000</v>
      </c>
      <c r="L6" s="134" t="inlineStr">
        <is>
          <t>12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복</t>
        </is>
      </c>
      <c r="T6" s="5" t="n">
        <v>51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23">
      <formula>AV4="X"</formula>
    </cfRule>
    <cfRule type="expression" priority="21" dxfId="22">
      <formula>AV4="후보"</formula>
    </cfRule>
  </conditionalFormatting>
  <conditionalFormatting sqref="AC1:AC2 AC4:AC6 N4:N5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N1:N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단구동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 ht="24" customHeight="1" s="124">
      <c r="A6" s="9" t="inlineStr">
        <is>
          <t>원주단구내안애카운티에듀파크2단지</t>
        </is>
      </c>
      <c r="B6" s="10" t="inlineStr">
        <is>
          <t>'20.06.</t>
        </is>
      </c>
      <c r="C6" s="133" t="n">
        <v>348</v>
      </c>
      <c r="D6" s="131" t="n">
        <v>108.3</v>
      </c>
      <c r="E6" s="132" t="n">
        <v>33</v>
      </c>
      <c r="F6" s="131" t="n">
        <v>84.90000000000001</v>
      </c>
      <c r="G6" s="17" t="n">
        <v>26</v>
      </c>
      <c r="H6" s="133" t="n">
        <v>203</v>
      </c>
      <c r="I6" s="134" t="n">
        <v>40000</v>
      </c>
      <c r="J6" s="134" t="inlineStr">
        <is>
          <t>13</t>
        </is>
      </c>
      <c r="K6" s="134" t="n">
        <v>30000</v>
      </c>
      <c r="L6" s="134" t="inlineStr">
        <is>
          <t>6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61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 ht="24" customHeight="1" s="124">
      <c r="A8" s="9" t="inlineStr">
        <is>
          <t>원주단구내안애카운티에듀파크1단지</t>
        </is>
      </c>
      <c r="B8" s="10" t="inlineStr">
        <is>
          <t>'20.06.</t>
        </is>
      </c>
      <c r="C8" s="133" t="n">
        <v>571</v>
      </c>
      <c r="D8" s="131" t="n">
        <v>107.3</v>
      </c>
      <c r="E8" s="132" t="n">
        <v>32</v>
      </c>
      <c r="F8" s="131" t="n">
        <v>84.90000000000001</v>
      </c>
      <c r="G8" s="17" t="n">
        <v>26</v>
      </c>
      <c r="H8" s="133" t="n">
        <v>421</v>
      </c>
      <c r="I8" s="134" t="n">
        <v>34000</v>
      </c>
      <c r="J8" s="134" t="inlineStr">
        <is>
          <t>중</t>
        </is>
      </c>
      <c r="K8" s="134" t="n">
        <v>29000</v>
      </c>
      <c r="L8" s="134" t="inlineStr">
        <is>
          <t>12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158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단구한신더휴</t>
        </is>
      </c>
      <c r="B10" s="10" t="inlineStr">
        <is>
          <t>'17.11.</t>
        </is>
      </c>
      <c r="C10" s="133" t="n">
        <v>724</v>
      </c>
      <c r="D10" s="131" t="n">
        <v>114.2</v>
      </c>
      <c r="E10" s="132" t="n">
        <v>35</v>
      </c>
      <c r="F10" s="131" t="n">
        <v>84.90000000000001</v>
      </c>
      <c r="G10" s="17" t="n">
        <v>26</v>
      </c>
      <c r="H10" s="133" t="n">
        <v>217</v>
      </c>
      <c r="I10" s="134" t="n">
        <v>36000</v>
      </c>
      <c r="J10" s="134" t="inlineStr">
        <is>
          <t>6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109A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68" dxfId="23">
      <formula>AV4="X"</formula>
    </cfRule>
    <cfRule type="expression" priority="69" dxfId="22">
      <formula>AV4="후보"</formula>
    </cfRule>
  </conditionalFormatting>
  <conditionalFormatting sqref="AC1:AC2 AC4:AC6 N4:N5">
    <cfRule type="cellIs" priority="65" operator="greaterThan" dxfId="17">
      <formula>0.9</formula>
    </cfRule>
    <cfRule type="cellIs" priority="66" operator="greaterThan" dxfId="16">
      <formula>0.85</formula>
    </cfRule>
  </conditionalFormatting>
  <conditionalFormatting sqref="N1:N2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6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6">
    <cfRule type="expression" priority="57" dxfId="3">
      <formula>AND(IF(OR($Q6=1,$Q6=2),1,0),IF($X6&lt;=20,1,0))</formula>
    </cfRule>
    <cfRule type="expression" priority="58" dxfId="2">
      <formula>AND(IF($Q6=2,1,0),IF($X6&lt;30,1,0))</formula>
    </cfRule>
    <cfRule type="expression" priority="59" dxfId="1">
      <formula>AND(IF($Q6=3,1,0),IF($X6&lt;30,1,0))</formula>
    </cfRule>
    <cfRule type="expression" priority="60" dxfId="0">
      <formula>AND(IF($Q6=3,1,IF($Q6=4,1,0)),IF($F6&lt;=85,1,0))</formula>
    </cfRule>
  </conditionalFormatting>
  <conditionalFormatting sqref="X6">
    <cfRule type="expression" priority="53" dxfId="3">
      <formula>AND(IF(OR($Q6=1,$Q6=2),1,0),IF($X6&lt;=20,1,0))</formula>
    </cfRule>
    <cfRule type="expression" priority="54" dxfId="2">
      <formula>AND(IF($Q6=2,1,0),IF($X6&lt;30,1,0))</formula>
    </cfRule>
    <cfRule type="expression" priority="55" dxfId="1">
      <formula>AND(IF($Q6=3,1,0),IF($X6&lt;30,1,0))</formula>
    </cfRule>
    <cfRule type="expression" priority="56" dxfId="0">
      <formula>AND(IF($Q6=3,1,IF($Q6=4,1,0)),IF($F6&lt;=85,1,0))</formula>
    </cfRule>
  </conditionalFormatting>
  <conditionalFormatting sqref="AI6">
    <cfRule type="expression" priority="49" dxfId="3">
      <formula>AND(IF(OR($Q6=1,$Q6=2),1,0),IF($X6&lt;=20,1,0))</formula>
    </cfRule>
    <cfRule type="expression" priority="50" dxfId="2">
      <formula>AND(IF($Q6=2,1,0),IF($X6&lt;30,1,0))</formula>
    </cfRule>
    <cfRule type="expression" priority="51" dxfId="1">
      <formula>AND(IF($Q6=3,1,0),IF($X6&lt;30,1,0))</formula>
    </cfRule>
    <cfRule type="expression" priority="52" dxfId="0">
      <formula>AND(IF($Q6=3,1,IF($Q6=4,1,0)),IF($F6&lt;=85,1,0))</formula>
    </cfRule>
  </conditionalFormatting>
  <conditionalFormatting sqref="AV7">
    <cfRule type="expression" priority="47" dxfId="23">
      <formula>AV7="X"</formula>
    </cfRule>
    <cfRule type="expression" priority="48" dxfId="22">
      <formula>AV7="후보"</formula>
    </cfRule>
  </conditionalFormatting>
  <conditionalFormatting sqref="AC7 N7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8">
    <cfRule type="expression" priority="42" dxfId="23">
      <formula>AV8="X"</formula>
    </cfRule>
    <cfRule type="expression" priority="43" dxfId="22">
      <formula>AV8="후보"</formula>
    </cfRule>
  </conditionalFormatting>
  <conditionalFormatting sqref="AC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8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8">
    <cfRule type="expression" priority="33" dxfId="3">
      <formula>AND(IF(OR($Q8=1,$Q8=2),1,0),IF($X8&lt;=20,1,0))</formula>
    </cfRule>
    <cfRule type="expression" priority="34" dxfId="2">
      <formula>AND(IF($Q8=2,1,0),IF($X8&lt;30,1,0))</formula>
    </cfRule>
    <cfRule type="expression" priority="35" dxfId="1">
      <formula>AND(IF($Q8=3,1,0),IF($X8&lt;30,1,0))</formula>
    </cfRule>
    <cfRule type="expression" priority="36" dxfId="0">
      <formula>AND(IF($Q8=3,1,IF($Q8=4,1,0)),IF($F8&lt;=85,1,0))</formula>
    </cfRule>
  </conditionalFormatting>
  <conditionalFormatting sqref="X8">
    <cfRule type="expression" priority="29" dxfId="3">
      <formula>AND(IF(OR($Q8=1,$Q8=2),1,0),IF($X8&lt;=20,1,0))</formula>
    </cfRule>
    <cfRule type="expression" priority="30" dxfId="2">
      <formula>AND(IF($Q8=2,1,0),IF($X8&lt;30,1,0))</formula>
    </cfRule>
    <cfRule type="expression" priority="31" dxfId="1">
      <formula>AND(IF($Q8=3,1,0),IF($X8&lt;30,1,0))</formula>
    </cfRule>
    <cfRule type="expression" priority="32" dxfId="0">
      <formula>AND(IF($Q8=3,1,IF($Q8=4,1,0)),IF($F8&lt;=85,1,0))</formula>
    </cfRule>
  </conditionalFormatting>
  <conditionalFormatting sqref="AI8">
    <cfRule type="expression" priority="25" dxfId="3">
      <formula>AND(IF(OR($Q8=1,$Q8=2),1,0),IF($X8&lt;=20,1,0))</formula>
    </cfRule>
    <cfRule type="expression" priority="26" dxfId="2">
      <formula>AND(IF($Q8=2,1,0),IF($X8&lt;30,1,0))</formula>
    </cfRule>
    <cfRule type="expression" priority="27" dxfId="1">
      <formula>AND(IF($Q8=3,1,0),IF($X8&lt;30,1,0))</formula>
    </cfRule>
    <cfRule type="expression" priority="28" dxfId="0">
      <formula>AND(IF($Q8=3,1,IF($Q8=4,1,0)),IF($F8&lt;=85,1,0))</formula>
    </cfRule>
  </conditionalFormatting>
  <conditionalFormatting sqref="AV9">
    <cfRule type="expression" priority="23" dxfId="23">
      <formula>AV9="X"</formula>
    </cfRule>
    <cfRule type="expression" priority="24" dxfId="22">
      <formula>AV9="후보"</formula>
    </cfRule>
  </conditionalFormatting>
  <conditionalFormatting sqref="AC9 N9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단계동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원주봉화산벨라시티3차</t>
        </is>
      </c>
      <c r="B6" s="10" t="inlineStr">
        <is>
          <t>'20.11.</t>
        </is>
      </c>
      <c r="C6" s="133" t="n">
        <v>499</v>
      </c>
      <c r="D6" s="131" t="n">
        <v>115.4</v>
      </c>
      <c r="E6" s="132" t="n">
        <v>35</v>
      </c>
      <c r="F6" s="131" t="n">
        <v>85</v>
      </c>
      <c r="G6" s="17" t="n">
        <v>26</v>
      </c>
      <c r="H6" s="133" t="n">
        <v>121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inlineStr">
        <is>
          <t>164C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원주봉화산푸르지오</t>
        </is>
      </c>
      <c r="B8" s="10" t="inlineStr">
        <is>
          <t>'17.11.</t>
        </is>
      </c>
      <c r="C8" s="133" t="n">
        <v>996</v>
      </c>
      <c r="D8" s="131" t="n">
        <v>109.8</v>
      </c>
      <c r="E8" s="132" t="n">
        <v>33</v>
      </c>
      <c r="F8" s="131" t="n">
        <v>84.90000000000001</v>
      </c>
      <c r="G8" s="17" t="n">
        <v>26</v>
      </c>
      <c r="H8" s="133" t="n">
        <v>169</v>
      </c>
      <c r="I8" s="134" t="n">
        <v>42000</v>
      </c>
      <c r="J8" s="134" t="inlineStr">
        <is>
          <t>5</t>
        </is>
      </c>
      <c r="K8" s="134" t="n">
        <v>27000</v>
      </c>
      <c r="L8" s="134" t="inlineStr">
        <is>
          <t>11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77B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원주봉화산벨라시티2차</t>
        </is>
      </c>
      <c r="B10" s="10" t="inlineStr">
        <is>
          <t>'18.12.</t>
        </is>
      </c>
      <c r="C10" s="133" t="n">
        <v>839</v>
      </c>
      <c r="D10" s="131" t="n">
        <v>115.8</v>
      </c>
      <c r="E10" s="132" t="n">
        <v>35</v>
      </c>
      <c r="F10" s="131" t="n">
        <v>85</v>
      </c>
      <c r="G10" s="17" t="n">
        <v>26</v>
      </c>
      <c r="H10" s="133" t="n">
        <v>322</v>
      </c>
      <c r="I10" s="134" t="n">
        <v>39500</v>
      </c>
      <c r="J10" s="134" t="inlineStr">
        <is>
          <t>중</t>
        </is>
      </c>
      <c r="K10" s="134" t="n">
        <v>32000</v>
      </c>
      <c r="L10" s="134" t="inlineStr">
        <is>
          <t>14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115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봉화산벨라시티</t>
        </is>
      </c>
      <c r="B12" s="10" t="inlineStr">
        <is>
          <t>'16.10.</t>
        </is>
      </c>
      <c r="C12" s="133" t="n">
        <v>566</v>
      </c>
      <c r="D12" s="131" t="n">
        <v>110.9</v>
      </c>
      <c r="E12" s="132" t="n">
        <v>34</v>
      </c>
      <c r="F12" s="131" t="n">
        <v>85</v>
      </c>
      <c r="G12" s="17" t="n">
        <v>26</v>
      </c>
      <c r="H12" s="133" t="n">
        <v>92</v>
      </c>
      <c r="I12" s="134" t="n">
        <v>37000</v>
      </c>
      <c r="J12" s="134" t="inlineStr">
        <is>
          <t>8</t>
        </is>
      </c>
      <c r="K12" s="134" t="n">
        <v>29000</v>
      </c>
      <c r="L12" s="134" t="inlineStr">
        <is>
          <t>고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계</t>
        </is>
      </c>
      <c r="T12" s="5" t="n">
        <v>77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원주봉화산푸르지오</t>
        </is>
      </c>
      <c r="B14" s="10" t="inlineStr">
        <is>
          <t>'17.11.</t>
        </is>
      </c>
      <c r="C14" s="133" t="n">
        <v>996</v>
      </c>
      <c r="D14" s="131" t="n">
        <v>98.59999999999999</v>
      </c>
      <c r="E14" s="132" t="n">
        <v>30</v>
      </c>
      <c r="F14" s="131" t="n">
        <v>72.90000000000001</v>
      </c>
      <c r="G14" s="17" t="n">
        <v>22</v>
      </c>
      <c r="H14" s="133" t="n">
        <v>323</v>
      </c>
      <c r="I14" s="134" t="n">
        <v>35000</v>
      </c>
      <c r="J14" s="134" t="inlineStr">
        <is>
          <t>10</t>
        </is>
      </c>
      <c r="K14" s="134" t="n">
        <v>26000</v>
      </c>
      <c r="L14" s="134" t="inlineStr">
        <is>
          <t>14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inlineStr">
        <is>
          <t>77A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원주봉화산벨라시티3차</t>
        </is>
      </c>
      <c r="B16" s="10" t="inlineStr">
        <is>
          <t>'20.11.</t>
        </is>
      </c>
      <c r="C16" s="133" t="n">
        <v>499</v>
      </c>
      <c r="D16" s="131" t="n">
        <v>83.09999999999999</v>
      </c>
      <c r="E16" s="132" t="n">
        <v>25</v>
      </c>
      <c r="F16" s="131" t="n">
        <v>59.9</v>
      </c>
      <c r="G16" s="17" t="n">
        <v>18</v>
      </c>
      <c r="H16" s="133" t="n">
        <v>126</v>
      </c>
      <c r="I16" s="134" t="n">
        <v>32000</v>
      </c>
      <c r="J16" s="134" t="inlineStr">
        <is>
          <t>16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inlineStr">
        <is>
          <t>163B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원주봉화산벨라시티2차</t>
        </is>
      </c>
      <c r="B18" s="10" t="inlineStr">
        <is>
          <t>'18.12.</t>
        </is>
      </c>
      <c r="C18" s="133" t="n">
        <v>839</v>
      </c>
      <c r="D18" s="131" t="n">
        <v>83.8</v>
      </c>
      <c r="E18" s="132" t="n">
        <v>25</v>
      </c>
      <c r="F18" s="131" t="n">
        <v>60</v>
      </c>
      <c r="G18" s="17" t="n">
        <v>18</v>
      </c>
      <c r="H18" s="133" t="n">
        <v>74</v>
      </c>
      <c r="I18" s="134" t="n">
        <v>29500</v>
      </c>
      <c r="J18" s="134" t="inlineStr">
        <is>
          <t>13</t>
        </is>
      </c>
      <c r="K18" s="134" t="n">
        <v>26000</v>
      </c>
      <c r="L18" s="134" t="inlineStr">
        <is>
          <t>고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계</t>
        </is>
      </c>
      <c r="T18" s="5" t="n">
        <v>78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원주봉화산푸르지오</t>
        </is>
      </c>
      <c r="B20" s="10" t="inlineStr">
        <is>
          <t>'17.11.</t>
        </is>
      </c>
      <c r="C20" s="133" t="n">
        <v>996</v>
      </c>
      <c r="D20" s="131" t="n">
        <v>85</v>
      </c>
      <c r="E20" s="132" t="n">
        <v>26</v>
      </c>
      <c r="F20" s="131" t="n">
        <v>60.8</v>
      </c>
      <c r="G20" s="17" t="n">
        <v>18</v>
      </c>
      <c r="H20" s="133" t="n">
        <v>337</v>
      </c>
      <c r="I20" s="134" t="n">
        <v>29000</v>
      </c>
      <c r="J20" s="134" t="inlineStr">
        <is>
          <t>13</t>
        </is>
      </c>
      <c r="K20" s="134" t="n">
        <v>24000</v>
      </c>
      <c r="L20" s="134" t="inlineStr">
        <is>
          <t>26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2</v>
      </c>
      <c r="R20" s="121" t="n">
        <v>1</v>
      </c>
      <c r="S20" s="121" t="inlineStr">
        <is>
          <t>계</t>
        </is>
      </c>
      <c r="T20" s="5" t="inlineStr">
        <is>
          <t>78A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봉화산벨라시티</t>
        </is>
      </c>
      <c r="B22" s="10" t="inlineStr">
        <is>
          <t>'16.10.</t>
        </is>
      </c>
      <c r="C22" s="133" t="n">
        <v>566</v>
      </c>
      <c r="D22" s="131" t="n">
        <v>87.90000000000001</v>
      </c>
      <c r="E22" s="132" t="n">
        <v>27</v>
      </c>
      <c r="F22" s="131" t="n">
        <v>59.9</v>
      </c>
      <c r="G22" s="17" t="n">
        <v>18</v>
      </c>
      <c r="H22" s="133" t="n">
        <v>164</v>
      </c>
      <c r="I22" s="134" t="n">
        <v>28000</v>
      </c>
      <c r="J22" s="134" t="inlineStr">
        <is>
          <t>중</t>
        </is>
      </c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복</t>
        </is>
      </c>
      <c r="T22" s="5" t="inlineStr">
        <is>
          <t>115A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12" dxfId="23">
      <formula>AV4="X"</formula>
    </cfRule>
    <cfRule type="expression" priority="213" dxfId="22">
      <formula>AV4="후보"</formula>
    </cfRule>
  </conditionalFormatting>
  <conditionalFormatting sqref="AC1:AC2 AC4:AC6 N4:N5">
    <cfRule type="cellIs" priority="209" operator="greaterThan" dxfId="17">
      <formula>0.9</formula>
    </cfRule>
    <cfRule type="cellIs" priority="210" operator="greaterThan" dxfId="16">
      <formula>0.85</formula>
    </cfRule>
  </conditionalFormatting>
  <conditionalFormatting sqref="N1:N2">
    <cfRule type="cellIs" priority="207" operator="greaterThan" dxfId="17">
      <formula>0.9</formula>
    </cfRule>
    <cfRule type="cellIs" priority="208" operator="greaterThan" dxfId="16">
      <formula>0.85</formula>
    </cfRule>
  </conditionalFormatting>
  <conditionalFormatting sqref="N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E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X6">
    <cfRule type="expression" priority="197" dxfId="3">
      <formula>AND(IF(OR($Q6=1,$Q6=2),1,0),IF($X6&lt;=20,1,0))</formula>
    </cfRule>
    <cfRule type="expression" priority="198" dxfId="2">
      <formula>AND(IF($Q6=2,1,0),IF($X6&lt;30,1,0))</formula>
    </cfRule>
    <cfRule type="expression" priority="199" dxfId="1">
      <formula>AND(IF($Q6=3,1,0),IF($X6&lt;30,1,0))</formula>
    </cfRule>
    <cfRule type="expression" priority="200" dxfId="0">
      <formula>AND(IF($Q6=3,1,IF($Q6=4,1,0)),IF($F6&lt;=85,1,0))</formula>
    </cfRule>
  </conditionalFormatting>
  <conditionalFormatting sqref="AI6">
    <cfRule type="expression" priority="193" dxfId="3">
      <formula>AND(IF(OR($Q6=1,$Q6=2),1,0),IF($X6&lt;=20,1,0))</formula>
    </cfRule>
    <cfRule type="expression" priority="194" dxfId="2">
      <formula>AND(IF($Q6=2,1,0),IF($X6&lt;30,1,0))</formula>
    </cfRule>
    <cfRule type="expression" priority="195" dxfId="1">
      <formula>AND(IF($Q6=3,1,0),IF($X6&lt;30,1,0))</formula>
    </cfRule>
    <cfRule type="expression" priority="196" dxfId="0">
      <formula>AND(IF($Q6=3,1,IF($Q6=4,1,0)),IF($F6&lt;=85,1,0))</formula>
    </cfRule>
  </conditionalFormatting>
  <conditionalFormatting sqref="AV7">
    <cfRule type="expression" priority="191" dxfId="23">
      <formula>AV7="X"</formula>
    </cfRule>
    <cfRule type="expression" priority="192" dxfId="22">
      <formula>AV7="후보"</formula>
    </cfRule>
  </conditionalFormatting>
  <conditionalFormatting sqref="AC7 N7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AV8">
    <cfRule type="expression" priority="186" dxfId="23">
      <formula>AV8="X"</formula>
    </cfRule>
    <cfRule type="expression" priority="187" dxfId="22">
      <formula>AV8="후보"</formula>
    </cfRule>
  </conditionalFormatting>
  <conditionalFormatting sqref="AC8">
    <cfRule type="cellIs" priority="183" operator="greaterThan" dxfId="17">
      <formula>0.9</formula>
    </cfRule>
    <cfRule type="cellIs" priority="184" operator="greaterThan" dxfId="16">
      <formula>0.85</formula>
    </cfRule>
  </conditionalFormatting>
  <conditionalFormatting sqref="N8">
    <cfRule type="cellIs" priority="181" operator="greaterThan" dxfId="17">
      <formula>0.9</formula>
    </cfRule>
    <cfRule type="cellIs" priority="182" operator="greaterThan" dxfId="16">
      <formula>0.85</formula>
    </cfRule>
  </conditionalFormatting>
  <conditionalFormatting sqref="E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X8">
    <cfRule type="expression" priority="173" dxfId="3">
      <formula>AND(IF(OR($Q8=1,$Q8=2),1,0),IF($X8&lt;=20,1,0))</formula>
    </cfRule>
    <cfRule type="expression" priority="174" dxfId="2">
      <formula>AND(IF($Q8=2,1,0),IF($X8&lt;30,1,0))</formula>
    </cfRule>
    <cfRule type="expression" priority="175" dxfId="1">
      <formula>AND(IF($Q8=3,1,0),IF($X8&lt;30,1,0))</formula>
    </cfRule>
    <cfRule type="expression" priority="176" dxfId="0">
      <formula>AND(IF($Q8=3,1,IF($Q8=4,1,0)),IF($F8&lt;=85,1,0))</formula>
    </cfRule>
  </conditionalFormatting>
  <conditionalFormatting sqref="AI8">
    <cfRule type="expression" priority="169" dxfId="3">
      <formula>AND(IF(OR($Q8=1,$Q8=2),1,0),IF($X8&lt;=20,1,0))</formula>
    </cfRule>
    <cfRule type="expression" priority="170" dxfId="2">
      <formula>AND(IF($Q8=2,1,0),IF($X8&lt;30,1,0))</formula>
    </cfRule>
    <cfRule type="expression" priority="171" dxfId="1">
      <formula>AND(IF($Q8=3,1,0),IF($X8&lt;30,1,0))</formula>
    </cfRule>
    <cfRule type="expression" priority="172" dxfId="0">
      <formula>AND(IF($Q8=3,1,IF($Q8=4,1,0)),IF($F8&lt;=85,1,0))</formula>
    </cfRule>
  </conditionalFormatting>
  <conditionalFormatting sqref="AV9">
    <cfRule type="expression" priority="167" dxfId="23">
      <formula>AV9="X"</formula>
    </cfRule>
    <cfRule type="expression" priority="168" dxfId="22">
      <formula>AV9="후보"</formula>
    </cfRule>
  </conditionalFormatting>
  <conditionalFormatting sqref="AC9 N9">
    <cfRule type="cellIs" priority="164" operator="greaterThan" dxfId="17">
      <formula>0.9</formula>
    </cfRule>
    <cfRule type="cellIs" priority="165" operator="greaterThan" dxfId="16">
      <formula>0.85</formula>
    </cfRule>
  </conditionalFormatting>
  <conditionalFormatting sqref="AV10">
    <cfRule type="expression" priority="162" dxfId="23">
      <formula>AV10="X"</formula>
    </cfRule>
    <cfRule type="expression" priority="163" dxfId="22">
      <formula>AV10="후보"</formula>
    </cfRule>
  </conditionalFormatting>
  <conditionalFormatting sqref="AC1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1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X10">
    <cfRule type="expression" priority="149" dxfId="3">
      <formula>AND(IF(OR($Q10=1,$Q10=2),1,0),IF($X10&lt;=20,1,0))</formula>
    </cfRule>
    <cfRule type="expression" priority="150" dxfId="2">
      <formula>AND(IF($Q10=2,1,0),IF($X10&lt;30,1,0))</formula>
    </cfRule>
    <cfRule type="expression" priority="151" dxfId="1">
      <formula>AND(IF($Q10=3,1,0),IF($X10&lt;30,1,0))</formula>
    </cfRule>
    <cfRule type="expression" priority="152" dxfId="0">
      <formula>AND(IF($Q10=3,1,IF($Q10=4,1,0)),IF($F10&lt;=85,1,0))</formula>
    </cfRule>
  </conditionalFormatting>
  <conditionalFormatting sqref="AI10">
    <cfRule type="expression" priority="145" dxfId="3">
      <formula>AND(IF(OR($Q10=1,$Q10=2),1,0),IF($X10&lt;=20,1,0))</formula>
    </cfRule>
    <cfRule type="expression" priority="146" dxfId="2">
      <formula>AND(IF($Q10=2,1,0),IF($X10&lt;30,1,0))</formula>
    </cfRule>
    <cfRule type="expression" priority="147" dxfId="1">
      <formula>AND(IF($Q10=3,1,0),IF($X10&lt;30,1,0))</formula>
    </cfRule>
    <cfRule type="expression" priority="148" dxfId="0">
      <formula>AND(IF($Q10=3,1,IF($Q10=4,1,0)),IF($F10&lt;=85,1,0))</formula>
    </cfRule>
  </conditionalFormatting>
  <conditionalFormatting sqref="AV11">
    <cfRule type="expression" priority="143" dxfId="23">
      <formula>AV11="X"</formula>
    </cfRule>
    <cfRule type="expression" priority="144" dxfId="22">
      <formula>AV11="후보"</formula>
    </cfRule>
  </conditionalFormatting>
  <conditionalFormatting sqref="AC11 N11">
    <cfRule type="cellIs" priority="140" operator="greaterThan" dxfId="17">
      <formula>0.9</formula>
    </cfRule>
    <cfRule type="cellIs" priority="141" operator="greaterThan" dxfId="16">
      <formula>0.85</formula>
    </cfRule>
  </conditionalFormatting>
  <conditionalFormatting sqref="AV12">
    <cfRule type="expression" priority="138" dxfId="23">
      <formula>AV12="X"</formula>
    </cfRule>
    <cfRule type="expression" priority="139" dxfId="22">
      <formula>AV12="후보"</formula>
    </cfRule>
  </conditionalFormatting>
  <conditionalFormatting sqref="AC12">
    <cfRule type="cellIs" priority="135" operator="greaterThan" dxfId="17">
      <formula>0.9</formula>
    </cfRule>
    <cfRule type="cellIs" priority="136" operator="greaterThan" dxfId="16">
      <formula>0.85</formula>
    </cfRule>
  </conditionalFormatting>
  <conditionalFormatting sqref="N12">
    <cfRule type="cellIs" priority="133" operator="greaterThan" dxfId="17">
      <formula>0.9</formula>
    </cfRule>
    <cfRule type="cellIs" priority="134" operator="greaterThan" dxfId="16">
      <formula>0.85</formula>
    </cfRule>
  </conditionalFormatting>
  <conditionalFormatting sqref="E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X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I12">
    <cfRule type="expression" priority="121" dxfId="3">
      <formula>AND(IF(OR($Q12=1,$Q12=2),1,0),IF($X12&lt;=20,1,0))</formula>
    </cfRule>
    <cfRule type="expression" priority="122" dxfId="2">
      <formula>AND(IF($Q12=2,1,0),IF($X12&lt;30,1,0))</formula>
    </cfRule>
    <cfRule type="expression" priority="123" dxfId="1">
      <formula>AND(IF($Q12=3,1,0),IF($X12&lt;30,1,0))</formula>
    </cfRule>
    <cfRule type="expression" priority="124" dxfId="0">
      <formula>AND(IF($Q12=3,1,IF($Q12=4,1,0)),IF($F12&lt;=85,1,0))</formula>
    </cfRule>
  </conditionalFormatting>
  <conditionalFormatting sqref="AV13">
    <cfRule type="expression" priority="119" dxfId="23">
      <formula>AV13="X"</formula>
    </cfRule>
    <cfRule type="expression" priority="120" dxfId="22">
      <formula>AV13="후보"</formula>
    </cfRule>
  </conditionalFormatting>
  <conditionalFormatting sqref="AC13 N13">
    <cfRule type="cellIs" priority="116" operator="greaterThan" dxfId="17">
      <formula>0.9</formula>
    </cfRule>
    <cfRule type="cellIs" priority="117" operator="greaterThan" dxfId="16">
      <formula>0.85</formula>
    </cfRule>
  </conditionalFormatting>
  <conditionalFormatting sqref="AV14">
    <cfRule type="expression" priority="114" dxfId="23">
      <formula>AV14="X"</formula>
    </cfRule>
    <cfRule type="expression" priority="115" dxfId="22">
      <formula>AV14="후보"</formula>
    </cfRule>
  </conditionalFormatting>
  <conditionalFormatting sqref="AC14">
    <cfRule type="cellIs" priority="111" operator="greaterThan" dxfId="17">
      <formula>0.9</formula>
    </cfRule>
    <cfRule type="cellIs" priority="112" operator="greaterThan" dxfId="16">
      <formula>0.85</formula>
    </cfRule>
  </conditionalFormatting>
  <conditionalFormatting sqref="N14">
    <cfRule type="cellIs" priority="109" operator="greaterThan" dxfId="17">
      <formula>0.9</formula>
    </cfRule>
    <cfRule type="cellIs" priority="110" operator="greaterThan" dxfId="16">
      <formula>0.85</formula>
    </cfRule>
  </conditionalFormatting>
  <conditionalFormatting sqref="E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X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I14">
    <cfRule type="expression" priority="97" dxfId="3">
      <formula>AND(IF(OR($Q14=1,$Q14=2),1,0),IF($X14&lt;=20,1,0))</formula>
    </cfRule>
    <cfRule type="expression" priority="98" dxfId="2">
      <formula>AND(IF($Q14=2,1,0),IF($X14&lt;30,1,0))</formula>
    </cfRule>
    <cfRule type="expression" priority="99" dxfId="1">
      <formula>AND(IF($Q14=3,1,0),IF($X14&lt;30,1,0))</formula>
    </cfRule>
    <cfRule type="expression" priority="100" dxfId="0">
      <formula>AND(IF($Q14=3,1,IF($Q14=4,1,0)),IF($F14&lt;=85,1,0))</formula>
    </cfRule>
  </conditionalFormatting>
  <conditionalFormatting sqref="AV15">
    <cfRule type="expression" priority="95" dxfId="23">
      <formula>AV15="X"</formula>
    </cfRule>
    <cfRule type="expression" priority="96" dxfId="22">
      <formula>AV15="후보"</formula>
    </cfRule>
  </conditionalFormatting>
  <conditionalFormatting sqref="AC15 N15">
    <cfRule type="cellIs" priority="92" operator="greaterThan" dxfId="17">
      <formula>0.9</formula>
    </cfRule>
    <cfRule type="cellIs" priority="93" operator="greaterThan" dxfId="16">
      <formula>0.85</formula>
    </cfRule>
  </conditionalFormatting>
  <conditionalFormatting sqref="AV16">
    <cfRule type="expression" priority="90" dxfId="23">
      <formula>AV16="X"</formula>
    </cfRule>
    <cfRule type="expression" priority="91" dxfId="22">
      <formula>AV16="후보"</formula>
    </cfRule>
  </conditionalFormatting>
  <conditionalFormatting sqref="AC1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X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I16">
    <cfRule type="expression" priority="73" dxfId="3">
      <formula>AND(IF(OR($Q16=1,$Q16=2),1,0),IF($X16&lt;=20,1,0))</formula>
    </cfRule>
    <cfRule type="expression" priority="74" dxfId="2">
      <formula>AND(IF($Q16=2,1,0),IF($X16&lt;30,1,0))</formula>
    </cfRule>
    <cfRule type="expression" priority="75" dxfId="1">
      <formula>AND(IF($Q16=3,1,0),IF($X16&lt;30,1,0))</formula>
    </cfRule>
    <cfRule type="expression" priority="76" dxfId="0">
      <formula>AND(IF($Q16=3,1,IF($Q16=4,1,0)),IF($F16&lt;=85,1,0))</formula>
    </cfRule>
  </conditionalFormatting>
  <conditionalFormatting sqref="AV17">
    <cfRule type="expression" priority="71" dxfId="23">
      <formula>AV17="X"</formula>
    </cfRule>
    <cfRule type="expression" priority="72" dxfId="22">
      <formula>AV17="후보"</formula>
    </cfRule>
  </conditionalFormatting>
  <conditionalFormatting sqref="AC17 N17">
    <cfRule type="cellIs" priority="68" operator="greaterThan" dxfId="17">
      <formula>0.9</formula>
    </cfRule>
    <cfRule type="cellIs" priority="69" operator="greaterThan" dxfId="16">
      <formula>0.85</formula>
    </cfRule>
  </conditionalFormatting>
  <conditionalFormatting sqref="AV18">
    <cfRule type="expression" priority="66" dxfId="23">
      <formula>AV18="X"</formula>
    </cfRule>
    <cfRule type="expression" priority="67" dxfId="22">
      <formula>AV18="후보"</formula>
    </cfRule>
  </conditionalFormatting>
  <conditionalFormatting sqref="AC18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18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18">
    <cfRule type="expression" priority="57" dxfId="3">
      <formula>AND(IF(OR($Q18=1,$Q18=2),1,0),IF($X18&lt;=20,1,0))</formula>
    </cfRule>
    <cfRule type="expression" priority="58" dxfId="2">
      <formula>AND(IF($Q18=2,1,0),IF($X18&lt;30,1,0))</formula>
    </cfRule>
    <cfRule type="expression" priority="59" dxfId="1">
      <formula>AND(IF($Q18=3,1,0),IF($X18&lt;30,1,0))</formula>
    </cfRule>
    <cfRule type="expression" priority="60" dxfId="0">
      <formula>AND(IF($Q18=3,1,IF($Q18=4,1,0)),IF($F18&lt;=85,1,0))</formula>
    </cfRule>
  </conditionalFormatting>
  <conditionalFormatting sqref="X18">
    <cfRule type="expression" priority="53" dxfId="3">
      <formula>AND(IF(OR($Q18=1,$Q18=2),1,0),IF($X18&lt;=20,1,0))</formula>
    </cfRule>
    <cfRule type="expression" priority="54" dxfId="2">
      <formula>AND(IF($Q18=2,1,0),IF($X18&lt;30,1,0))</formula>
    </cfRule>
    <cfRule type="expression" priority="55" dxfId="1">
      <formula>AND(IF($Q18=3,1,0),IF($X18&lt;30,1,0))</formula>
    </cfRule>
    <cfRule type="expression" priority="56" dxfId="0">
      <formula>AND(IF($Q18=3,1,IF($Q18=4,1,0)),IF($F18&lt;=85,1,0))</formula>
    </cfRule>
  </conditionalFormatting>
  <conditionalFormatting sqref="AI18">
    <cfRule type="expression" priority="49" dxfId="3">
      <formula>AND(IF(OR($Q18=1,$Q18=2),1,0),IF($X18&lt;=20,1,0))</formula>
    </cfRule>
    <cfRule type="expression" priority="50" dxfId="2">
      <formula>AND(IF($Q18=2,1,0),IF($X18&lt;30,1,0))</formula>
    </cfRule>
    <cfRule type="expression" priority="51" dxfId="1">
      <formula>AND(IF($Q18=3,1,0),IF($X18&lt;30,1,0))</formula>
    </cfRule>
    <cfRule type="expression" priority="52" dxfId="0">
      <formula>AND(IF($Q18=3,1,IF($Q18=4,1,0)),IF($F18&lt;=85,1,0))</formula>
    </cfRule>
  </conditionalFormatting>
  <conditionalFormatting sqref="AV19">
    <cfRule type="expression" priority="47" dxfId="23">
      <formula>AV19="X"</formula>
    </cfRule>
    <cfRule type="expression" priority="48" dxfId="22">
      <formula>AV19="후보"</formula>
    </cfRule>
  </conditionalFormatting>
  <conditionalFormatting sqref="AC19 N19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20">
    <cfRule type="expression" priority="42" dxfId="23">
      <formula>AV20="X"</formula>
    </cfRule>
    <cfRule type="expression" priority="43" dxfId="22">
      <formula>AV20="후보"</formula>
    </cfRule>
  </conditionalFormatting>
  <conditionalFormatting sqref="AC2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20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20">
    <cfRule type="expression" priority="33" dxfId="3">
      <formula>AND(IF(OR($Q20=1,$Q20=2),1,0),IF($X20&lt;=20,1,0))</formula>
    </cfRule>
    <cfRule type="expression" priority="34" dxfId="2">
      <formula>AND(IF($Q20=2,1,0),IF($X20&lt;30,1,0))</formula>
    </cfRule>
    <cfRule type="expression" priority="35" dxfId="1">
      <formula>AND(IF($Q20=3,1,0),IF($X20&lt;30,1,0))</formula>
    </cfRule>
    <cfRule type="expression" priority="36" dxfId="0">
      <formula>AND(IF($Q20=3,1,IF($Q20=4,1,0)),IF($F20&lt;=85,1,0))</formula>
    </cfRule>
  </conditionalFormatting>
  <conditionalFormatting sqref="X20">
    <cfRule type="expression" priority="29" dxfId="3">
      <formula>AND(IF(OR($Q20=1,$Q20=2),1,0),IF($X20&lt;=20,1,0))</formula>
    </cfRule>
    <cfRule type="expression" priority="30" dxfId="2">
      <formula>AND(IF($Q20=2,1,0),IF($X20&lt;30,1,0))</formula>
    </cfRule>
    <cfRule type="expression" priority="31" dxfId="1">
      <formula>AND(IF($Q20=3,1,0),IF($X20&lt;30,1,0))</formula>
    </cfRule>
    <cfRule type="expression" priority="32" dxfId="0">
      <formula>AND(IF($Q20=3,1,IF($Q20=4,1,0)),IF($F20&lt;=85,1,0))</formula>
    </cfRule>
  </conditionalFormatting>
  <conditionalFormatting sqref="AI20">
    <cfRule type="expression" priority="25" dxfId="3">
      <formula>AND(IF(OR($Q20=1,$Q20=2),1,0),IF($X20&lt;=20,1,0))</formula>
    </cfRule>
    <cfRule type="expression" priority="26" dxfId="2">
      <formula>AND(IF($Q20=2,1,0),IF($X20&lt;30,1,0))</formula>
    </cfRule>
    <cfRule type="expression" priority="27" dxfId="1">
      <formula>AND(IF($Q20=3,1,0),IF($X20&lt;30,1,0))</formula>
    </cfRule>
    <cfRule type="expression" priority="28" dxfId="0">
      <formula>AND(IF($Q20=3,1,IF($Q20=4,1,0)),IF($F20&lt;=85,1,0))</formula>
    </cfRule>
  </conditionalFormatting>
  <conditionalFormatting sqref="AV21">
    <cfRule type="expression" priority="23" dxfId="23">
      <formula>AV21="X"</formula>
    </cfRule>
    <cfRule type="expression" priority="24" dxfId="22">
      <formula>AV21="후보"</formula>
    </cfRule>
  </conditionalFormatting>
  <conditionalFormatting sqref="AC21 N21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2022-04-04T09:58:41Z</dcterms:modified>
  <cp:lastModifiedBy>MinsuKwon</cp:lastModifiedBy>
  <cp:lastPrinted>2018-04-28T10:52:41Z</cp:lastPrinted>
</cp:coreProperties>
</file>