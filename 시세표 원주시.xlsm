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6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45" zoomScaleNormal="145" zoomScaleSheetLayoutView="85" workbookViewId="0">
      <pane xSplit="1" ySplit="3" topLeftCell="B43" activePane="bottomRight" state="frozen"/>
      <selection activeCell="U15" sqref="U15"/>
      <selection pane="topRight" activeCell="U15" sqref="U15"/>
      <selection pane="bottomLeft" activeCell="U15" sqref="U15"/>
      <selection pane="bottomRight" activeCell="M65" sqref="M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X</t>
        </is>
      </c>
      <c r="M1" s="0" t="n"/>
      <c r="N1" s="116" t="inlineStr">
        <is>
          <t>추출기준세대수</t>
        </is>
      </c>
      <c r="O1" s="115" t="n"/>
      <c r="P1" s="126" t="n">
        <v>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9" t="inlineStr">
        <is>
          <t>인천광역시 연수구 전체 등급</t>
        </is>
      </c>
      <c r="AK1" s="118" t="n"/>
      <c r="AL1" s="118" t="n"/>
      <c r="AM1" s="118" t="n"/>
      <c r="AN1" s="115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6" t="inlineStr">
        <is>
          <t>기준연도</t>
        </is>
      </c>
      <c r="AY1" s="116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4" t="inlineStr">
        <is>
          <t>원금보전</t>
        </is>
      </c>
      <c r="AP2" s="118" t="n"/>
      <c r="AQ2" s="115" t="n"/>
      <c r="AR2" s="114" t="inlineStr">
        <is>
          <t>수익성</t>
        </is>
      </c>
      <c r="AS2" s="115" t="n"/>
      <c r="AT2" s="114" t="inlineStr">
        <is>
          <t>환금성</t>
        </is>
      </c>
      <c r="AU2" s="115" t="n"/>
      <c r="AV2" s="114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  <c r="W3" s="114" t="inlineStr">
        <is>
          <t>공급
평형</t>
        </is>
      </c>
      <c r="X3" s="114" t="inlineStr">
        <is>
          <t>공급
면적</t>
        </is>
      </c>
      <c r="Y3" s="128" t="inlineStr">
        <is>
          <t>세대</t>
        </is>
      </c>
      <c r="Z3" s="116" t="inlineStr">
        <is>
          <t>매매가</t>
        </is>
      </c>
      <c r="AA3" s="116" t="inlineStr">
        <is>
          <t>전세가</t>
        </is>
      </c>
      <c r="AB3" s="116" t="inlineStr">
        <is>
          <t>갭</t>
        </is>
      </c>
      <c r="AC3" s="114" t="inlineStr">
        <is>
          <t>전세
가율</t>
        </is>
      </c>
      <c r="AD3" s="116" t="inlineStr">
        <is>
          <t>평단가</t>
        </is>
      </c>
      <c r="AE3" s="114" t="inlineStr">
        <is>
          <t>구
조</t>
        </is>
      </c>
      <c r="AF3" s="34" t="inlineStr">
        <is>
          <t>방/
욕실</t>
        </is>
      </c>
      <c r="AG3" s="25" t="n"/>
      <c r="AH3" s="114" t="inlineStr">
        <is>
          <t>단지명</t>
        </is>
      </c>
      <c r="AI3" s="114" t="inlineStr">
        <is>
          <t>공급
면적</t>
        </is>
      </c>
      <c r="AJ3" s="114" t="inlineStr">
        <is>
          <t>직장</t>
        </is>
      </c>
      <c r="AK3" s="114" t="inlineStr">
        <is>
          <t>교통</t>
        </is>
      </c>
      <c r="AL3" s="114" t="inlineStr">
        <is>
          <t>학군</t>
        </is>
      </c>
      <c r="AM3" s="114" t="inlineStr">
        <is>
          <t>환경</t>
        </is>
      </c>
      <c r="AN3" s="114" t="inlineStr">
        <is>
          <t>공급</t>
        </is>
      </c>
      <c r="AO3" s="114" t="inlineStr">
        <is>
          <t>전세가율★
(80%↑)</t>
        </is>
      </c>
      <c r="AP3" s="114" t="inlineStr">
        <is>
          <t>절대가★
(4.5억↓)</t>
        </is>
      </c>
      <c r="AQ3" s="114" t="inlineStr">
        <is>
          <t>평단가
(1000↓)</t>
        </is>
      </c>
      <c r="AR3" s="114" t="inlineStr">
        <is>
          <t>투자규모★
(갭6천↓)</t>
        </is>
      </c>
      <c r="AS3" s="114" t="inlineStr">
        <is>
          <t>전고점
이하</t>
        </is>
      </c>
      <c r="AT3" s="36" t="inlineStr">
        <is>
          <t>평형★
(15~34평)</t>
        </is>
      </c>
      <c r="AU3" s="114" t="inlineStr">
        <is>
          <t>단지규모★
(300^↑)</t>
        </is>
      </c>
      <c r="AV3" s="11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1" t="n">
        <v>359</v>
      </c>
      <c r="D4" s="132" t="n">
        <v>110</v>
      </c>
      <c r="E4" s="133" t="n">
        <v>33</v>
      </c>
      <c r="F4" s="132" t="n">
        <v>80</v>
      </c>
      <c r="G4" s="17" t="n">
        <v>24</v>
      </c>
      <c r="H4" s="134" t="n">
        <v>157</v>
      </c>
      <c r="I4" s="135" t="n">
        <v>33000</v>
      </c>
      <c r="J4" s="135" t="inlineStr">
        <is>
          <t>9</t>
        </is>
      </c>
      <c r="K4" s="135" t="n">
        <v>26000</v>
      </c>
      <c r="L4" s="135" t="inlineStr">
        <is>
          <t>13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2</v>
      </c>
      <c r="R4" s="122" t="n">
        <v>1</v>
      </c>
      <c r="S4" s="122" t="inlineStr">
        <is>
          <t>계</t>
        </is>
      </c>
      <c r="T4" s="5" t="inlineStr">
        <is>
          <t>77B</t>
        </is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2">
        <f>S4</f>
        <v/>
      </c>
      <c r="AF4" s="122">
        <f>Q4&amp;"/"&amp;R4</f>
        <v/>
      </c>
      <c r="AH4" s="20">
        <f>IF(A4="","",A4)</f>
        <v/>
      </c>
      <c r="AI4" s="133">
        <f>IF(E4="","",E4)</f>
        <v/>
      </c>
      <c r="AJ4" s="122">
        <f>IF(AI4="","",$AJ$2)</f>
        <v/>
      </c>
      <c r="AK4" s="122" t="inlineStr">
        <is>
          <t>A</t>
        </is>
      </c>
      <c r="AL4" s="122" t="inlineStr">
        <is>
          <t>A+</t>
        </is>
      </c>
      <c r="AM4" s="122" t="inlineStr">
        <is>
          <t>B+</t>
        </is>
      </c>
      <c r="AN4" s="122">
        <f>IF(AI4="","",$AN$2)</f>
        <v/>
      </c>
      <c r="AO4" s="122">
        <f>IF(N4="","",IF(N4&gt;=$AO$1/100,"O","X"))</f>
        <v/>
      </c>
      <c r="AP4" s="122">
        <f>IF(I4="","",IF(I4&lt;=$AP$1,"O","X"))</f>
        <v/>
      </c>
      <c r="AQ4" s="122">
        <f>IF(O4="","",IF(O4&lt;=$AQ$1,"O","X"))</f>
        <v/>
      </c>
      <c r="AR4" s="122">
        <f>IF(M4="","",IF(M4&lt;=$AR$1,"O","X"))</f>
        <v/>
      </c>
      <c r="AS4" s="122" t="inlineStr">
        <is>
          <t>X</t>
        </is>
      </c>
      <c r="AT4" s="122">
        <f>IF(OR(F4="",AI4=""),"",IF(AND((F4&lt;=85),(AI4&gt;=15)),"O","X"))</f>
        <v/>
      </c>
      <c r="AU4" s="122">
        <f>IF(C4="","",IF(C4&gt;=$AU$1,"O","X"))</f>
        <v/>
      </c>
      <c r="AV4" s="122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1" t="n">
        <v>359</v>
      </c>
      <c r="D5" s="132" t="n">
        <v>82.40000000000001</v>
      </c>
      <c r="E5" s="133" t="n">
        <v>25</v>
      </c>
      <c r="F5" s="132" t="n">
        <v>60</v>
      </c>
      <c r="G5" s="17" t="n">
        <v>18</v>
      </c>
      <c r="H5" s="134" t="n">
        <v>126</v>
      </c>
      <c r="I5" s="135" t="n">
        <v>27000</v>
      </c>
      <c r="J5" s="135" t="inlineStr">
        <is>
          <t>12</t>
        </is>
      </c>
      <c r="K5" s="135" t="n">
        <v>23000</v>
      </c>
      <c r="L5" s="135" t="inlineStr">
        <is>
          <t>5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2</v>
      </c>
      <c r="R5" s="122" t="n">
        <v>1</v>
      </c>
      <c r="S5" s="122" t="inlineStr">
        <is>
          <t>계</t>
        </is>
      </c>
      <c r="T5" s="5" t="inlineStr">
        <is>
          <t>70C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2">
        <f>S5</f>
        <v/>
      </c>
      <c r="AF5" s="122">
        <f>Q5&amp;"/"&amp;R5</f>
        <v/>
      </c>
      <c r="AH5" s="20">
        <f>IF(A5="","",A5)</f>
        <v/>
      </c>
      <c r="AI5" s="133">
        <f>IF(E5="","",E5)</f>
        <v/>
      </c>
      <c r="AJ5" s="122">
        <f>IF(AI5="","",$AJ$2)</f>
        <v/>
      </c>
      <c r="AK5" s="122" t="inlineStr">
        <is>
          <t>A</t>
        </is>
      </c>
      <c r="AL5" s="122" t="inlineStr">
        <is>
          <t>A+</t>
        </is>
      </c>
      <c r="AM5" s="122" t="inlineStr">
        <is>
          <t>B+</t>
        </is>
      </c>
      <c r="AN5" s="122">
        <f>IF(AI5="","",$AN$2)</f>
        <v/>
      </c>
      <c r="AO5" s="122">
        <f>IF(N5="","",IF(N5&gt;=$AO$1/100,"O","X"))</f>
        <v/>
      </c>
      <c r="AP5" s="122">
        <f>IF(I5="","",IF(I5&lt;=$AP$1,"O","X"))</f>
        <v/>
      </c>
      <c r="AQ5" s="122">
        <f>IF(O5="","",IF(O5&lt;=$AQ$1,"O","X"))</f>
        <v/>
      </c>
      <c r="AR5" s="122">
        <f>IF(M5="","",IF(M5&lt;=$AR$1,"O","X"))</f>
        <v/>
      </c>
      <c r="AS5" s="122" t="inlineStr">
        <is>
          <t>X</t>
        </is>
      </c>
      <c r="AT5" s="122">
        <f>IF(OR(F5="",AI5=""),"",IF(AND((F5&lt;=85),(AI5&gt;=15)),"O","X"))</f>
        <v/>
      </c>
      <c r="AU5" s="122">
        <f>IF(C5="","",IF(C5&gt;=$AU$1,"O","X"))</f>
        <v/>
      </c>
      <c r="AV5" s="122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1" t="n">
        <v>920</v>
      </c>
      <c r="D6" s="132" t="n">
        <v>116.9</v>
      </c>
      <c r="E6" s="133" t="n">
        <v>35</v>
      </c>
      <c r="F6" s="132" t="n">
        <v>84.90000000000001</v>
      </c>
      <c r="G6" s="17" t="n">
        <v>26</v>
      </c>
      <c r="H6" s="134" t="n">
        <v>62</v>
      </c>
      <c r="I6" s="135" t="n">
        <v>32000</v>
      </c>
      <c r="J6" s="135" t="inlineStr">
        <is>
          <t>중</t>
        </is>
      </c>
      <c r="K6" s="135" t="n">
        <v>27000</v>
      </c>
      <c r="L6" s="135" t="inlineStr">
        <is>
          <t>20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1" t="n">
        <v>703</v>
      </c>
      <c r="D7" s="132" t="n">
        <v>103.5</v>
      </c>
      <c r="E7" s="133" t="n">
        <v>31</v>
      </c>
      <c r="F7" s="132" t="n">
        <v>75</v>
      </c>
      <c r="G7" s="17" t="n">
        <v>23</v>
      </c>
      <c r="H7" s="134" t="n">
        <v>308</v>
      </c>
      <c r="I7" s="135" t="n">
        <v>30000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inlineStr">
        <is>
          <t>106B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1" t="n">
        <v>703</v>
      </c>
      <c r="D8" s="132" t="n">
        <v>83.8</v>
      </c>
      <c r="E8" s="133" t="n">
        <v>25</v>
      </c>
      <c r="F8" s="132" t="n">
        <v>60</v>
      </c>
      <c r="G8" s="17" t="n">
        <v>18</v>
      </c>
      <c r="H8" s="134" t="n">
        <v>227</v>
      </c>
      <c r="I8" s="135" t="n">
        <v>23000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계</t>
        </is>
      </c>
      <c r="T8" s="5" t="inlineStr">
        <is>
          <t>54S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1" t="n">
        <v>920</v>
      </c>
      <c r="D9" s="132" t="n">
        <v>82.40000000000001</v>
      </c>
      <c r="E9" s="133" t="n">
        <v>25</v>
      </c>
      <c r="F9" s="132" t="n">
        <v>60</v>
      </c>
      <c r="G9" s="17" t="n">
        <v>18</v>
      </c>
      <c r="H9" s="134" t="n">
        <v>372</v>
      </c>
      <c r="I9" s="135" t="n">
        <v>21000</v>
      </c>
      <c r="J9" s="135" t="inlineStr">
        <is>
          <t>고</t>
        </is>
      </c>
      <c r="K9" s="135" t="n">
        <v>20000</v>
      </c>
      <c r="L9" s="135" t="inlineStr">
        <is>
          <t>17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5</v>
      </c>
      <c r="R9" s="122" t="n">
        <v>3</v>
      </c>
      <c r="S9" s="122" t="inlineStr">
        <is>
          <t>계</t>
        </is>
      </c>
      <c r="T9" s="5" t="inlineStr">
        <is>
          <t>204A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1" t="n">
        <v>536</v>
      </c>
      <c r="D10" s="132" t="n">
        <v>111</v>
      </c>
      <c r="E10" s="133" t="n">
        <v>34</v>
      </c>
      <c r="F10" s="132" t="n">
        <v>85</v>
      </c>
      <c r="G10" s="17" t="n">
        <v>26</v>
      </c>
      <c r="H10" s="134" t="n">
        <v>243</v>
      </c>
      <c r="I10" s="135" t="n">
        <v>48000</v>
      </c>
      <c r="J10" s="135" t="inlineStr">
        <is>
          <t>10</t>
        </is>
      </c>
      <c r="K10" s="135" t="n">
        <v>30000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113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1" t="n">
        <v>624</v>
      </c>
      <c r="D11" s="132" t="n">
        <v>110.3</v>
      </c>
      <c r="E11" s="133" t="n">
        <v>33</v>
      </c>
      <c r="F11" s="132" t="n">
        <v>85</v>
      </c>
      <c r="G11" s="17" t="n">
        <v>26</v>
      </c>
      <c r="H11" s="134" t="n">
        <v>266</v>
      </c>
      <c r="I11" s="135" t="n">
        <v>51000</v>
      </c>
      <c r="J11" s="135" t="inlineStr">
        <is>
          <t>6</t>
        </is>
      </c>
      <c r="K11" s="135" t="n">
        <v>30000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2</v>
      </c>
      <c r="S11" s="122" t="inlineStr">
        <is>
          <t>계</t>
        </is>
      </c>
      <c r="T11" s="5" t="inlineStr">
        <is>
          <t>127A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1" t="n">
        <v>776</v>
      </c>
      <c r="D12" s="132" t="n">
        <v>114.7</v>
      </c>
      <c r="E12" s="133" t="n">
        <v>35</v>
      </c>
      <c r="F12" s="132" t="n">
        <v>85</v>
      </c>
      <c r="G12" s="17" t="n">
        <v>26</v>
      </c>
      <c r="H12" s="134" t="n">
        <v>428</v>
      </c>
      <c r="I12" s="135" t="n">
        <v>40000</v>
      </c>
      <c r="J12" s="135" t="inlineStr">
        <is>
          <t>중</t>
        </is>
      </c>
      <c r="K12" s="135" t="n">
        <v>23000</v>
      </c>
      <c r="L12" s="135" t="inlineStr">
        <is>
          <t>중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107B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1" t="n">
        <v>1116</v>
      </c>
      <c r="D13" s="132" t="n">
        <v>113.4</v>
      </c>
      <c r="E13" s="133" t="n">
        <v>34</v>
      </c>
      <c r="F13" s="132" t="n">
        <v>85</v>
      </c>
      <c r="G13" s="17" t="n">
        <v>26</v>
      </c>
      <c r="H13" s="134" t="n">
        <v>472</v>
      </c>
      <c r="I13" s="135" t="n">
        <v>44000</v>
      </c>
      <c r="J13" s="135" t="inlineStr">
        <is>
          <t>중</t>
        </is>
      </c>
      <c r="K13" s="135" t="n">
        <v>25000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45B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2">
        <f>S13</f>
        <v/>
      </c>
      <c r="AF13" s="122">
        <f>Q13&amp;"/"&amp;R13</f>
        <v/>
      </c>
      <c r="AH13" s="20">
        <f>IF(A13="","",A13)</f>
        <v/>
      </c>
      <c r="AI13" s="133">
        <f>IF(E13="","",E13)</f>
        <v/>
      </c>
      <c r="AJ13" s="122">
        <f>IF(AI13="","",$AJ$2)</f>
        <v/>
      </c>
      <c r="AK13" s="122" t="inlineStr">
        <is>
          <t>A</t>
        </is>
      </c>
      <c r="AL13" s="122" t="inlineStr">
        <is>
          <t>A+</t>
        </is>
      </c>
      <c r="AM13" s="122" t="inlineStr">
        <is>
          <t>B+</t>
        </is>
      </c>
      <c r="AN13" s="122">
        <f>IF(AI13="","",$AN$2)</f>
        <v/>
      </c>
      <c r="AO13" s="122">
        <f>IF(N13="","",IF(N13&gt;=$AO$1/100,"O","X"))</f>
        <v/>
      </c>
      <c r="AP13" s="122">
        <f>IF(I13="","",IF(I13&lt;=$AP$1,"O","X"))</f>
        <v/>
      </c>
      <c r="AQ13" s="122">
        <f>IF(O13="","",IF(O13&lt;=$AQ$1,"O","X"))</f>
        <v/>
      </c>
      <c r="AR13" s="122">
        <f>IF(M13="","",IF(M13&lt;=$AR$1,"O","X"))</f>
        <v/>
      </c>
      <c r="AS13" s="122" t="inlineStr">
        <is>
          <t>X</t>
        </is>
      </c>
      <c r="AT13" s="122">
        <f>IF(OR(F13="",AI13=""),"",IF(AND((F13&lt;=85),(AI13&gt;=15)),"O","X"))</f>
        <v/>
      </c>
      <c r="AU13" s="122">
        <f>IF(C13="","",IF(C13&gt;=$AU$1,"O","X"))</f>
        <v/>
      </c>
      <c r="AV13" s="122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1" t="n">
        <v>794</v>
      </c>
      <c r="D14" s="132" t="n">
        <v>111.9</v>
      </c>
      <c r="E14" s="133" t="n">
        <v>34</v>
      </c>
      <c r="F14" s="132" t="n">
        <v>85</v>
      </c>
      <c r="G14" s="17" t="n">
        <v>26</v>
      </c>
      <c r="H14" s="134" t="n">
        <v>263</v>
      </c>
      <c r="I14" s="135" t="n">
        <v>38500</v>
      </c>
      <c r="J14" s="135" t="inlineStr">
        <is>
          <t>중</t>
        </is>
      </c>
      <c r="K14" s="135" t="n">
        <v>25000</v>
      </c>
      <c r="L14" s="135" t="inlineStr">
        <is>
          <t>11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n">
        <v>77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1" t="n">
        <v>882</v>
      </c>
      <c r="D15" s="132" t="n">
        <v>113.5</v>
      </c>
      <c r="E15" s="133" t="n">
        <v>34</v>
      </c>
      <c r="F15" s="132" t="n">
        <v>85</v>
      </c>
      <c r="G15" s="17" t="n">
        <v>26</v>
      </c>
      <c r="H15" s="134" t="n">
        <v>407</v>
      </c>
      <c r="I15" s="135" t="n">
        <v>39500</v>
      </c>
      <c r="J15" s="135" t="inlineStr">
        <is>
          <t>8</t>
        </is>
      </c>
      <c r="K15" s="135" t="n">
        <v>26000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1</v>
      </c>
      <c r="R15" s="122" t="n">
        <v>1</v>
      </c>
      <c r="S15" s="122" t="inlineStr">
        <is>
          <t>계</t>
        </is>
      </c>
      <c r="T15" s="5" t="inlineStr">
        <is>
          <t>34C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2">
        <f>S15</f>
        <v/>
      </c>
      <c r="AF15" s="122">
        <f>Q15&amp;"/"&amp;R15</f>
        <v/>
      </c>
      <c r="AH15" s="20">
        <f>IF(A15="","",A15)</f>
        <v/>
      </c>
      <c r="AI15" s="133">
        <f>IF(E15="","",E15)</f>
        <v/>
      </c>
      <c r="AJ15" s="122">
        <f>IF(AI15="","",$AJ$2)</f>
        <v/>
      </c>
      <c r="AK15" s="122" t="inlineStr">
        <is>
          <t>A</t>
        </is>
      </c>
      <c r="AL15" s="122" t="inlineStr">
        <is>
          <t>A+</t>
        </is>
      </c>
      <c r="AM15" s="122" t="inlineStr">
        <is>
          <t>B+</t>
        </is>
      </c>
      <c r="AN15" s="122">
        <f>IF(AI15="","",$AN$2)</f>
        <v/>
      </c>
      <c r="AO15" s="122">
        <f>IF(N15="","",IF(N15&gt;=$AO$1/100,"O","X"))</f>
        <v/>
      </c>
      <c r="AP15" s="122">
        <f>IF(I15="","",IF(I15&lt;=$AP$1,"O","X"))</f>
        <v/>
      </c>
      <c r="AQ15" s="122">
        <f>IF(O15="","",IF(O15&lt;=$AQ$1,"O","X"))</f>
        <v/>
      </c>
      <c r="AR15" s="122">
        <f>IF(M15="","",IF(M15&lt;=$AR$1,"O","X"))</f>
        <v/>
      </c>
      <c r="AS15" s="122" t="inlineStr">
        <is>
          <t>X</t>
        </is>
      </c>
      <c r="AT15" s="122">
        <f>IF(OR(F15="",AI15=""),"",IF(AND((F15&lt;=85),(AI15&gt;=15)),"O","X"))</f>
        <v/>
      </c>
      <c r="AU15" s="122">
        <f>IF(C15="","",IF(C15&gt;=$AU$1,"O","X"))</f>
        <v/>
      </c>
      <c r="AV15" s="122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1" t="n">
        <v>1243</v>
      </c>
      <c r="D16" s="132" t="n">
        <v>113.2</v>
      </c>
      <c r="E16" s="133" t="n">
        <v>34</v>
      </c>
      <c r="F16" s="132" t="n">
        <v>85</v>
      </c>
      <c r="G16" s="17" t="n">
        <v>26</v>
      </c>
      <c r="H16" s="134" t="n">
        <v>24</v>
      </c>
      <c r="I16" s="135" t="n">
        <v>43000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102A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1" t="n">
        <v>548</v>
      </c>
      <c r="D17" s="132" t="n">
        <v>109.7</v>
      </c>
      <c r="E17" s="133" t="n">
        <v>33</v>
      </c>
      <c r="F17" s="132" t="n">
        <v>85</v>
      </c>
      <c r="G17" s="17" t="n">
        <v>26</v>
      </c>
      <c r="H17" s="134" t="n">
        <v>180</v>
      </c>
      <c r="I17" s="135" t="n">
        <v>37000</v>
      </c>
      <c r="J17" s="135" t="inlineStr">
        <is>
          <t>중</t>
        </is>
      </c>
      <c r="K17" s="135" t="n">
        <v>22000</v>
      </c>
      <c r="L17" s="135" t="inlineStr">
        <is>
          <t>고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2</v>
      </c>
      <c r="S17" s="122" t="inlineStr">
        <is>
          <t>계</t>
        </is>
      </c>
      <c r="T17" s="5" t="inlineStr">
        <is>
          <t>107A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2">
        <f>S17</f>
        <v/>
      </c>
      <c r="AF17" s="122">
        <f>Q17&amp;"/"&amp;R17</f>
        <v/>
      </c>
      <c r="AH17" s="20">
        <f>IF(A17="","",A17)</f>
        <v/>
      </c>
      <c r="AI17" s="133">
        <f>IF(E17="","",E17)</f>
        <v/>
      </c>
      <c r="AJ17" s="122">
        <f>IF(AI17="","",$AJ$2)</f>
        <v/>
      </c>
      <c r="AK17" s="122" t="inlineStr">
        <is>
          <t>A</t>
        </is>
      </c>
      <c r="AL17" s="122" t="inlineStr">
        <is>
          <t>A+</t>
        </is>
      </c>
      <c r="AM17" s="122" t="inlineStr">
        <is>
          <t>B+</t>
        </is>
      </c>
      <c r="AN17" s="122">
        <f>IF(AI17="","",$AN$2)</f>
        <v/>
      </c>
      <c r="AO17" s="122">
        <f>IF(N17="","",IF(N17&gt;=$AO$1/100,"O","X"))</f>
        <v/>
      </c>
      <c r="AP17" s="122">
        <f>IF(I17="","",IF(I17&lt;=$AP$1,"O","X"))</f>
        <v/>
      </c>
      <c r="AQ17" s="122">
        <f>IF(O17="","",IF(O17&lt;=$AQ$1,"O","X"))</f>
        <v/>
      </c>
      <c r="AR17" s="122">
        <f>IF(M17="","",IF(M17&lt;=$AR$1,"O","X"))</f>
        <v/>
      </c>
      <c r="AS17" s="122" t="inlineStr">
        <is>
          <t>X</t>
        </is>
      </c>
      <c r="AT17" s="122">
        <f>IF(OR(F17="",AI17=""),"",IF(AND((F17&lt;=85),(AI17&gt;=15)),"O","X"))</f>
        <v/>
      </c>
      <c r="AU17" s="122">
        <f>IF(C17="","",IF(C17&gt;=$AU$1,"O","X"))</f>
        <v/>
      </c>
      <c r="AV17" s="122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1" t="n">
        <v>892</v>
      </c>
      <c r="D18" s="132" t="n">
        <v>111</v>
      </c>
      <c r="E18" s="133" t="n">
        <v>34</v>
      </c>
      <c r="F18" s="132" t="n">
        <v>84.90000000000001</v>
      </c>
      <c r="G18" s="17" t="n">
        <v>26</v>
      </c>
      <c r="H18" s="134" t="n">
        <v>532</v>
      </c>
      <c r="I18" s="135" t="n">
        <v>39000</v>
      </c>
      <c r="J18" s="135" t="inlineStr">
        <is>
          <t>5</t>
        </is>
      </c>
      <c r="K18" s="135" t="n">
        <v>27000</v>
      </c>
      <c r="L18" s="135" t="inlineStr">
        <is>
          <t>18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4</v>
      </c>
      <c r="R18" s="122" t="n">
        <v>2</v>
      </c>
      <c r="S18" s="122" t="inlineStr">
        <is>
          <t>계</t>
        </is>
      </c>
      <c r="T18" s="5" t="n">
        <v>146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1" t="n">
        <v>824</v>
      </c>
      <c r="D19" s="132" t="n">
        <v>110.9</v>
      </c>
      <c r="E19" s="133" t="n">
        <v>34</v>
      </c>
      <c r="F19" s="132" t="n">
        <v>84.90000000000001</v>
      </c>
      <c r="G19" s="17" t="n">
        <v>26</v>
      </c>
      <c r="H19" s="134" t="n">
        <v>494</v>
      </c>
      <c r="I19" s="135" t="n">
        <v>39000</v>
      </c>
      <c r="J19" s="135" t="inlineStr">
        <is>
          <t>10</t>
        </is>
      </c>
      <c r="K19" s="135" t="n">
        <v>25000</v>
      </c>
      <c r="L19" s="135" t="inlineStr">
        <is>
          <t>19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3</v>
      </c>
      <c r="R19" s="122" t="n">
        <v>2</v>
      </c>
      <c r="S19" s="122" t="inlineStr">
        <is>
          <t>계</t>
        </is>
      </c>
      <c r="T19" s="5" t="inlineStr">
        <is>
          <t>87B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2">
        <f>S19</f>
        <v/>
      </c>
      <c r="AF19" s="122">
        <f>Q19&amp;"/"&amp;R19</f>
        <v/>
      </c>
      <c r="AH19" s="20">
        <f>IF(A19="","",A19)</f>
        <v/>
      </c>
      <c r="AI19" s="133">
        <f>IF(E19="","",E19)</f>
        <v/>
      </c>
      <c r="AJ19" s="122">
        <f>IF(AI19="","",$AJ$2)</f>
        <v/>
      </c>
      <c r="AK19" s="122" t="inlineStr">
        <is>
          <t>A</t>
        </is>
      </c>
      <c r="AL19" s="122" t="inlineStr">
        <is>
          <t>A+</t>
        </is>
      </c>
      <c r="AM19" s="122" t="inlineStr">
        <is>
          <t>B+</t>
        </is>
      </c>
      <c r="AN19" s="122">
        <f>IF(AI19="","",$AN$2)</f>
        <v/>
      </c>
      <c r="AO19" s="122">
        <f>IF(N19="","",IF(N19&gt;=$AO$1/100,"O","X"))</f>
        <v/>
      </c>
      <c r="AP19" s="122">
        <f>IF(I19="","",IF(I19&lt;=$AP$1,"O","X"))</f>
        <v/>
      </c>
      <c r="AQ19" s="122">
        <f>IF(O19="","",IF(O19&lt;=$AQ$1,"O","X"))</f>
        <v/>
      </c>
      <c r="AR19" s="122">
        <f>IF(M19="","",IF(M19&lt;=$AR$1,"O","X"))</f>
        <v/>
      </c>
      <c r="AS19" s="122" t="inlineStr">
        <is>
          <t>X</t>
        </is>
      </c>
      <c r="AT19" s="122">
        <f>IF(OR(F19="",AI19=""),"",IF(AND((F19&lt;=85),(AI19&gt;=15)),"O","X"))</f>
        <v/>
      </c>
      <c r="AU19" s="122">
        <f>IF(C19="","",IF(C19&gt;=$AU$1,"O","X"))</f>
        <v/>
      </c>
      <c r="AV19" s="122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1" t="n">
        <v>713</v>
      </c>
      <c r="D20" s="132" t="n">
        <v>113.4</v>
      </c>
      <c r="E20" s="133" t="n">
        <v>34</v>
      </c>
      <c r="F20" s="132" t="n">
        <v>84.7</v>
      </c>
      <c r="G20" s="17" t="n">
        <v>26</v>
      </c>
      <c r="H20" s="134" t="n">
        <v>178</v>
      </c>
      <c r="I20" s="135" t="n">
        <v>40000</v>
      </c>
      <c r="J20" s="135" t="inlineStr">
        <is>
          <t>5</t>
        </is>
      </c>
      <c r="K20" s="135" t="n">
        <v>27000</v>
      </c>
      <c r="L20" s="135" t="inlineStr">
        <is>
          <t>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n">
        <v>137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1" t="n">
        <v>776</v>
      </c>
      <c r="D21" s="132" t="n">
        <v>82</v>
      </c>
      <c r="E21" s="133" t="n">
        <v>25</v>
      </c>
      <c r="F21" s="132" t="n">
        <v>60</v>
      </c>
      <c r="G21" s="17" t="n">
        <v>18</v>
      </c>
      <c r="H21" s="134" t="n">
        <v>172</v>
      </c>
      <c r="I21" s="135" t="n">
        <v>28000</v>
      </c>
      <c r="J21" s="135" t="inlineStr">
        <is>
          <t>19</t>
        </is>
      </c>
      <c r="K21" s="135" t="n">
        <v>20000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102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2">
        <f>S21</f>
        <v/>
      </c>
      <c r="AF21" s="122">
        <f>Q21&amp;"/"&amp;R21</f>
        <v/>
      </c>
      <c r="AH21" s="20">
        <f>IF(A21="","",A21)</f>
        <v/>
      </c>
      <c r="AI21" s="133">
        <f>IF(E21="","",E21)</f>
        <v/>
      </c>
      <c r="AJ21" s="122">
        <f>IF(AI21="","",$AJ$2)</f>
        <v/>
      </c>
      <c r="AK21" s="122" t="inlineStr">
        <is>
          <t>A</t>
        </is>
      </c>
      <c r="AL21" s="122" t="inlineStr">
        <is>
          <t>A+</t>
        </is>
      </c>
      <c r="AM21" s="122" t="inlineStr">
        <is>
          <t>B+</t>
        </is>
      </c>
      <c r="AN21" s="122">
        <f>IF(AI21="","",$AN$2)</f>
        <v/>
      </c>
      <c r="AO21" s="122">
        <f>IF(N21="","",IF(N21&gt;=$AO$1/100,"O","X"))</f>
        <v/>
      </c>
      <c r="AP21" s="122">
        <f>IF(I21="","",IF(I21&lt;=$AP$1,"O","X"))</f>
        <v/>
      </c>
      <c r="AQ21" s="122">
        <f>IF(O21="","",IF(O21&lt;=$AQ$1,"O","X"))</f>
        <v/>
      </c>
      <c r="AR21" s="122">
        <f>IF(M21="","",IF(M21&lt;=$AR$1,"O","X"))</f>
        <v/>
      </c>
      <c r="AS21" s="122" t="inlineStr">
        <is>
          <t>X</t>
        </is>
      </c>
      <c r="AT21" s="122">
        <f>IF(OR(F21="",AI21=""),"",IF(AND((F21&lt;=85),(AI21&gt;=15)),"O","X"))</f>
        <v/>
      </c>
      <c r="AU21" s="122">
        <f>IF(C21="","",IF(C21&gt;=$AU$1,"O","X"))</f>
        <v/>
      </c>
      <c r="AV21" s="122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1" t="n">
        <v>536</v>
      </c>
      <c r="D22" s="132" t="n">
        <v>81.2</v>
      </c>
      <c r="E22" s="133" t="n">
        <v>25</v>
      </c>
      <c r="F22" s="132" t="n">
        <v>60</v>
      </c>
      <c r="G22" s="17" t="n">
        <v>18</v>
      </c>
      <c r="H22" s="134" t="n">
        <v>128</v>
      </c>
      <c r="I22" s="135" t="n">
        <v>35000</v>
      </c>
      <c r="J22" s="135" t="inlineStr">
        <is>
          <t>중</t>
        </is>
      </c>
      <c r="K22" s="135" t="n">
        <v>23000</v>
      </c>
      <c r="L22" s="135" t="inlineStr">
        <is>
          <t>고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n">
        <v>104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1" t="n">
        <v>1430</v>
      </c>
      <c r="D23" s="132" t="n">
        <v>110.8</v>
      </c>
      <c r="E23" s="133" t="n">
        <v>34</v>
      </c>
      <c r="F23" s="132" t="n">
        <v>85</v>
      </c>
      <c r="G23" s="17" t="n">
        <v>26</v>
      </c>
      <c r="H23" s="134" t="n">
        <v>880</v>
      </c>
      <c r="I23" s="135" t="n">
        <v>35000</v>
      </c>
      <c r="J23" s="135" t="inlineStr">
        <is>
          <t>중</t>
        </is>
      </c>
      <c r="K23" s="135" t="n">
        <v>24000</v>
      </c>
      <c r="L23" s="135" t="inlineStr">
        <is>
          <t>14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1</v>
      </c>
      <c r="S23" s="122" t="inlineStr">
        <is>
          <t>계</t>
        </is>
      </c>
      <c r="T23" s="5" t="n">
        <v>73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2">
        <f>S23</f>
        <v/>
      </c>
      <c r="AF23" s="122">
        <f>Q23&amp;"/"&amp;R23</f>
        <v/>
      </c>
      <c r="AH23" s="20">
        <f>IF(A23="","",A23)</f>
        <v/>
      </c>
      <c r="AI23" s="133">
        <f>IF(E23="","",E23)</f>
        <v/>
      </c>
      <c r="AJ23" s="122">
        <f>IF(AI23="","",$AJ$2)</f>
        <v/>
      </c>
      <c r="AK23" s="122" t="inlineStr">
        <is>
          <t>A</t>
        </is>
      </c>
      <c r="AL23" s="122" t="inlineStr">
        <is>
          <t>A+</t>
        </is>
      </c>
      <c r="AM23" s="122" t="inlineStr">
        <is>
          <t>B+</t>
        </is>
      </c>
      <c r="AN23" s="122">
        <f>IF(AI23="","",$AN$2)</f>
        <v/>
      </c>
      <c r="AO23" s="122">
        <f>IF(N23="","",IF(N23&gt;=$AO$1/100,"O","X"))</f>
        <v/>
      </c>
      <c r="AP23" s="122">
        <f>IF(I23="","",IF(I23&lt;=$AP$1,"O","X"))</f>
        <v/>
      </c>
      <c r="AQ23" s="122">
        <f>IF(O23="","",IF(O23&lt;=$AQ$1,"O","X"))</f>
        <v/>
      </c>
      <c r="AR23" s="122">
        <f>IF(M23="","",IF(M23&lt;=$AR$1,"O","X"))</f>
        <v/>
      </c>
      <c r="AS23" s="122" t="inlineStr">
        <is>
          <t>X</t>
        </is>
      </c>
      <c r="AT23" s="122">
        <f>IF(OR(F23="",AI23=""),"",IF(AND((F23&lt;=85),(AI23&gt;=15)),"O","X"))</f>
        <v/>
      </c>
      <c r="AU23" s="122">
        <f>IF(C23="","",IF(C23&gt;=$AU$1,"O","X"))</f>
        <v/>
      </c>
      <c r="AV23" s="122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1" t="n">
        <v>624</v>
      </c>
      <c r="D24" s="132" t="n">
        <v>81.59999999999999</v>
      </c>
      <c r="E24" s="133" t="n">
        <v>25</v>
      </c>
      <c r="F24" s="132" t="n">
        <v>60</v>
      </c>
      <c r="G24" s="17" t="n">
        <v>18</v>
      </c>
      <c r="H24" s="134" t="n">
        <v>157</v>
      </c>
      <c r="I24" s="135" t="n">
        <v>32700</v>
      </c>
      <c r="J24" s="135" t="inlineStr">
        <is>
          <t>5</t>
        </is>
      </c>
      <c r="K24" s="135" t="n">
        <v>22000</v>
      </c>
      <c r="L24" s="135" t="inlineStr">
        <is>
          <t>18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111B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1" t="n">
        <v>794</v>
      </c>
      <c r="D25" s="132" t="n">
        <v>80.5</v>
      </c>
      <c r="E25" s="133" t="n">
        <v>24</v>
      </c>
      <c r="F25" s="132" t="n">
        <v>60</v>
      </c>
      <c r="G25" s="17" t="n">
        <v>18</v>
      </c>
      <c r="H25" s="134" t="n">
        <v>34</v>
      </c>
      <c r="I25" s="135" t="n">
        <v>29000</v>
      </c>
      <c r="J25" s="135" t="inlineStr">
        <is>
          <t>16</t>
        </is>
      </c>
      <c r="K25" s="135" t="n">
        <v>20000</v>
      </c>
      <c r="L25" s="135" t="inlineStr">
        <is>
          <t>중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4</v>
      </c>
      <c r="R25" s="122" t="n">
        <v>2</v>
      </c>
      <c r="S25" s="122" t="inlineStr">
        <is>
          <t>계</t>
        </is>
      </c>
      <c r="T25" s="5" t="n">
        <v>135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2">
        <f>S25</f>
        <v/>
      </c>
      <c r="AF25" s="122">
        <f>Q25&amp;"/"&amp;R25</f>
        <v/>
      </c>
      <c r="AH25" s="20">
        <f>IF(A25="","",A25)</f>
        <v/>
      </c>
      <c r="AI25" s="133">
        <f>IF(E25="","",E25)</f>
        <v/>
      </c>
      <c r="AJ25" s="122">
        <f>IF(AI25="","",$AJ$2)</f>
        <v/>
      </c>
      <c r="AK25" s="122" t="inlineStr">
        <is>
          <t>A</t>
        </is>
      </c>
      <c r="AL25" s="122" t="inlineStr">
        <is>
          <t>A+</t>
        </is>
      </c>
      <c r="AM25" s="122" t="inlineStr">
        <is>
          <t>B+</t>
        </is>
      </c>
      <c r="AN25" s="122">
        <f>IF(AI25="","",$AN$2)</f>
        <v/>
      </c>
      <c r="AO25" s="122">
        <f>IF(N25="","",IF(N25&gt;=$AO$1/100,"O","X"))</f>
        <v/>
      </c>
      <c r="AP25" s="122">
        <f>IF(I25="","",IF(I25&lt;=$AP$1,"O","X"))</f>
        <v/>
      </c>
      <c r="AQ25" s="122">
        <f>IF(O25="","",IF(O25&lt;=$AQ$1,"O","X"))</f>
        <v/>
      </c>
      <c r="AR25" s="122">
        <f>IF(M25="","",IF(M25&lt;=$AR$1,"O","X"))</f>
        <v/>
      </c>
      <c r="AS25" s="122" t="inlineStr">
        <is>
          <t>X</t>
        </is>
      </c>
      <c r="AT25" s="122">
        <f>IF(OR(F25="",AI25=""),"",IF(AND((F25&lt;=85),(AI25&gt;=15)),"O","X"))</f>
        <v/>
      </c>
      <c r="AU25" s="122">
        <f>IF(C25="","",IF(C25&gt;=$AU$1,"O","X"))</f>
        <v/>
      </c>
      <c r="AV25" s="122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1" t="n">
        <v>824</v>
      </c>
      <c r="D26" s="132" t="n">
        <v>83.09999999999999</v>
      </c>
      <c r="E26" s="133" t="n">
        <v>25</v>
      </c>
      <c r="F26" s="132" t="n">
        <v>60</v>
      </c>
      <c r="G26" s="17" t="n">
        <v>18</v>
      </c>
      <c r="H26" s="134" t="n">
        <v>244</v>
      </c>
      <c r="I26" s="135" t="n">
        <v>28000</v>
      </c>
      <c r="J26" s="135" t="inlineStr">
        <is>
          <t>중</t>
        </is>
      </c>
      <c r="K26" s="135" t="n">
        <v>21000</v>
      </c>
      <c r="L26" s="135" t="inlineStr">
        <is>
          <t>9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inlineStr">
        <is>
          <t>87A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1" t="n">
        <v>882</v>
      </c>
      <c r="D27" s="132" t="n">
        <v>85.7</v>
      </c>
      <c r="E27" s="133" t="n">
        <v>26</v>
      </c>
      <c r="F27" s="132" t="n">
        <v>59.9</v>
      </c>
      <c r="G27" s="17" t="n">
        <v>18</v>
      </c>
      <c r="H27" s="134" t="n">
        <v>337</v>
      </c>
      <c r="I27" s="135" t="n">
        <v>30000</v>
      </c>
      <c r="J27" s="135" t="inlineStr">
        <is>
          <t>고</t>
        </is>
      </c>
      <c r="K27" s="135" t="n">
        <v>20000</v>
      </c>
      <c r="L27" s="135" t="inlineStr">
        <is>
          <t>중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1</v>
      </c>
      <c r="R27" s="122" t="n">
        <v>1</v>
      </c>
      <c r="S27" s="122" t="inlineStr">
        <is>
          <t>계</t>
        </is>
      </c>
      <c r="T27" s="5" t="inlineStr">
        <is>
          <t>34B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2">
        <f>S27</f>
        <v/>
      </c>
      <c r="AF27" s="122">
        <f>Q27&amp;"/"&amp;R27</f>
        <v/>
      </c>
      <c r="AH27" s="20">
        <f>IF(A27="","",A27)</f>
        <v/>
      </c>
      <c r="AI27" s="133">
        <f>IF(E27="","",E27)</f>
        <v/>
      </c>
      <c r="AJ27" s="122">
        <f>IF(AI27="","",$AJ$2)</f>
        <v/>
      </c>
      <c r="AK27" s="122" t="inlineStr">
        <is>
          <t>A</t>
        </is>
      </c>
      <c r="AL27" s="122" t="inlineStr">
        <is>
          <t>A+</t>
        </is>
      </c>
      <c r="AM27" s="122" t="inlineStr">
        <is>
          <t>B+</t>
        </is>
      </c>
      <c r="AN27" s="122">
        <f>IF(AI27="","",$AN$2)</f>
        <v/>
      </c>
      <c r="AO27" s="122">
        <f>IF(N27="","",IF(N27&gt;=$AO$1/100,"O","X"))</f>
        <v/>
      </c>
      <c r="AP27" s="122">
        <f>IF(I27="","",IF(I27&lt;=$AP$1,"O","X"))</f>
        <v/>
      </c>
      <c r="AQ27" s="122">
        <f>IF(O27="","",IF(O27&lt;=$AQ$1,"O","X"))</f>
        <v/>
      </c>
      <c r="AR27" s="122">
        <f>IF(M27="","",IF(M27&lt;=$AR$1,"O","X"))</f>
        <v/>
      </c>
      <c r="AS27" s="122" t="inlineStr">
        <is>
          <t>X</t>
        </is>
      </c>
      <c r="AT27" s="122">
        <f>IF(OR(F27="",AI27=""),"",IF(AND((F27&lt;=85),(AI27&gt;=15)),"O","X"))</f>
        <v/>
      </c>
      <c r="AU27" s="122">
        <f>IF(C27="","",IF(C27&gt;=$AU$1,"O","X"))</f>
        <v/>
      </c>
      <c r="AV27" s="122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1" t="n">
        <v>1116</v>
      </c>
      <c r="D28" s="132" t="n">
        <v>84.59999999999999</v>
      </c>
      <c r="E28" s="133" t="n">
        <v>26</v>
      </c>
      <c r="F28" s="132" t="n">
        <v>60</v>
      </c>
      <c r="G28" s="17" t="n">
        <v>18</v>
      </c>
      <c r="H28" s="134" t="n">
        <v>571</v>
      </c>
      <c r="I28" s="135" t="n">
        <v>29000</v>
      </c>
      <c r="J28" s="135" t="inlineStr">
        <is>
          <t>중</t>
        </is>
      </c>
      <c r="K28" s="135" t="n">
        <v>20000</v>
      </c>
      <c r="L28" s="135" t="inlineStr">
        <is>
          <t>7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1</v>
      </c>
      <c r="R28" s="122" t="n">
        <v>1</v>
      </c>
      <c r="S28" s="122" t="inlineStr">
        <is>
          <t>계</t>
        </is>
      </c>
      <c r="T28" s="5" t="inlineStr">
        <is>
          <t>40B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1" t="n">
        <v>1243</v>
      </c>
      <c r="D29" s="132" t="n">
        <v>85.09999999999999</v>
      </c>
      <c r="E29" s="133" t="n">
        <v>26</v>
      </c>
      <c r="F29" s="132" t="n">
        <v>60</v>
      </c>
      <c r="G29" s="17" t="n">
        <v>18</v>
      </c>
      <c r="H29" s="134" t="n">
        <v>532</v>
      </c>
      <c r="I29" s="135" t="n">
        <v>29000</v>
      </c>
      <c r="J29" s="135" t="inlineStr">
        <is>
          <t>15</t>
        </is>
      </c>
      <c r="K29" s="135" t="n">
        <v>18500</v>
      </c>
      <c r="L29" s="135" t="inlineStr">
        <is>
          <t>6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4</v>
      </c>
      <c r="R29" s="122" t="n">
        <v>2</v>
      </c>
      <c r="S29" s="122" t="inlineStr">
        <is>
          <t>계</t>
        </is>
      </c>
      <c r="T29" s="5" t="n">
        <v>156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2">
        <f>S29</f>
        <v/>
      </c>
      <c r="AF29" s="122">
        <f>Q29&amp;"/"&amp;R29</f>
        <v/>
      </c>
      <c r="AH29" s="20">
        <f>IF(A29="","",A29)</f>
        <v/>
      </c>
      <c r="AI29" s="133">
        <f>IF(E29="","",E29)</f>
        <v/>
      </c>
      <c r="AJ29" s="122">
        <f>IF(AI29="","",$AJ$2)</f>
        <v/>
      </c>
      <c r="AK29" s="122" t="inlineStr">
        <is>
          <t>A</t>
        </is>
      </c>
      <c r="AL29" s="122" t="inlineStr">
        <is>
          <t>A+</t>
        </is>
      </c>
      <c r="AM29" s="122" t="inlineStr">
        <is>
          <t>B+</t>
        </is>
      </c>
      <c r="AN29" s="122">
        <f>IF(AI29="","",$AN$2)</f>
        <v/>
      </c>
      <c r="AO29" s="122">
        <f>IF(N29="","",IF(N29&gt;=$AO$1/100,"O","X"))</f>
        <v/>
      </c>
      <c r="AP29" s="122">
        <f>IF(I29="","",IF(I29&lt;=$AP$1,"O","X"))</f>
        <v/>
      </c>
      <c r="AQ29" s="122">
        <f>IF(O29="","",IF(O29&lt;=$AQ$1,"O","X"))</f>
        <v/>
      </c>
      <c r="AR29" s="122">
        <f>IF(M29="","",IF(M29&lt;=$AR$1,"O","X"))</f>
        <v/>
      </c>
      <c r="AS29" s="122" t="inlineStr">
        <is>
          <t>X</t>
        </is>
      </c>
      <c r="AT29" s="122">
        <f>IF(OR(F29="",AI29=""),"",IF(AND((F29&lt;=85),(AI29&gt;=15)),"O","X"))</f>
        <v/>
      </c>
      <c r="AU29" s="122">
        <f>IF(C29="","",IF(C29&gt;=$AU$1,"O","X"))</f>
        <v/>
      </c>
      <c r="AV29" s="122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1" t="n">
        <v>892</v>
      </c>
      <c r="D30" s="132" t="n">
        <v>83.09999999999999</v>
      </c>
      <c r="E30" s="133" t="n">
        <v>25</v>
      </c>
      <c r="F30" s="132" t="n">
        <v>60</v>
      </c>
      <c r="G30" s="17" t="n">
        <v>18</v>
      </c>
      <c r="H30" s="134" t="n">
        <v>270</v>
      </c>
      <c r="I30" s="135" t="n">
        <v>26500</v>
      </c>
      <c r="J30" s="135" t="inlineStr">
        <is>
          <t>7</t>
        </is>
      </c>
      <c r="K30" s="135" t="n">
        <v>22000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126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1" t="n">
        <v>548</v>
      </c>
      <c r="D31" s="132" t="n">
        <v>81.3</v>
      </c>
      <c r="E31" s="133" t="n">
        <v>25</v>
      </c>
      <c r="F31" s="132" t="n">
        <v>60</v>
      </c>
      <c r="G31" s="17" t="n">
        <v>18</v>
      </c>
      <c r="H31" s="134" t="n">
        <v>178</v>
      </c>
      <c r="I31" s="135" t="n">
        <v>27000</v>
      </c>
      <c r="J31" s="135" t="inlineStr">
        <is>
          <t>중</t>
        </is>
      </c>
      <c r="K31" s="135" t="n">
        <v>20000</v>
      </c>
      <c r="L31" s="135" t="inlineStr">
        <is>
          <t>8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2</v>
      </c>
      <c r="S31" s="122" t="inlineStr">
        <is>
          <t>계</t>
        </is>
      </c>
      <c r="T31" s="5" t="inlineStr">
        <is>
          <t>107D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2">
        <f>S31</f>
        <v/>
      </c>
      <c r="AF31" s="122">
        <f>Q31&amp;"/"&amp;R31</f>
        <v/>
      </c>
      <c r="AH31" s="20">
        <f>IF(A31="","",A31)</f>
        <v/>
      </c>
      <c r="AI31" s="133">
        <f>IF(E31="","",E31)</f>
        <v/>
      </c>
      <c r="AJ31" s="122">
        <f>IF(AI31="","",$AJ$2)</f>
        <v/>
      </c>
      <c r="AK31" s="122" t="inlineStr">
        <is>
          <t>A</t>
        </is>
      </c>
      <c r="AL31" s="122" t="inlineStr">
        <is>
          <t>A+</t>
        </is>
      </c>
      <c r="AM31" s="122" t="inlineStr">
        <is>
          <t>B+</t>
        </is>
      </c>
      <c r="AN31" s="122">
        <f>IF(AI31="","",$AN$2)</f>
        <v/>
      </c>
      <c r="AO31" s="122">
        <f>IF(N31="","",IF(N31&gt;=$AO$1/100,"O","X"))</f>
        <v/>
      </c>
      <c r="AP31" s="122">
        <f>IF(I31="","",IF(I31&lt;=$AP$1,"O","X"))</f>
        <v/>
      </c>
      <c r="AQ31" s="122">
        <f>IF(O31="","",IF(O31&lt;=$AQ$1,"O","X"))</f>
        <v/>
      </c>
      <c r="AR31" s="122">
        <f>IF(M31="","",IF(M31&lt;=$AR$1,"O","X"))</f>
        <v/>
      </c>
      <c r="AS31" s="122" t="inlineStr">
        <is>
          <t>X</t>
        </is>
      </c>
      <c r="AT31" s="122">
        <f>IF(OR(F31="",AI31=""),"",IF(AND((F31&lt;=85),(AI31&gt;=15)),"O","X"))</f>
        <v/>
      </c>
      <c r="AU31" s="122">
        <f>IF(C31="","",IF(C31&gt;=$AU$1,"O","X"))</f>
        <v/>
      </c>
      <c r="AV31" s="122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1" t="n">
        <v>713</v>
      </c>
      <c r="D32" s="132" t="n">
        <v>81.40000000000001</v>
      </c>
      <c r="E32" s="133" t="n">
        <v>25</v>
      </c>
      <c r="F32" s="132" t="n">
        <v>59.8</v>
      </c>
      <c r="G32" s="17" t="n">
        <v>18</v>
      </c>
      <c r="H32" s="134" t="n">
        <v>280</v>
      </c>
      <c r="I32" s="135" t="n">
        <v>26000</v>
      </c>
      <c r="J32" s="135" t="inlineStr">
        <is>
          <t>23</t>
        </is>
      </c>
      <c r="K32" s="135" t="n">
        <v>20000</v>
      </c>
      <c r="L32" s="135" t="inlineStr">
        <is>
          <t>11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1" t="n">
        <v>1430</v>
      </c>
      <c r="D33" s="132" t="n">
        <v>79.59999999999999</v>
      </c>
      <c r="E33" s="133" t="n">
        <v>24</v>
      </c>
      <c r="F33" s="132" t="n">
        <v>59.9</v>
      </c>
      <c r="G33" s="17" t="n">
        <v>18</v>
      </c>
      <c r="H33" s="134" t="n">
        <v>470</v>
      </c>
      <c r="I33" s="135" t="n">
        <v>26000</v>
      </c>
      <c r="J33" s="135" t="inlineStr">
        <is>
          <t>28</t>
        </is>
      </c>
      <c r="K33" s="135" t="n">
        <v>20000</v>
      </c>
      <c r="L33" s="135" t="inlineStr">
        <is>
          <t>23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2</v>
      </c>
      <c r="R33" s="122" t="n">
        <v>1</v>
      </c>
      <c r="S33" s="122" t="inlineStr">
        <is>
          <t>복</t>
        </is>
      </c>
      <c r="T33" s="5" t="n">
        <v>61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2">
        <f>S33</f>
        <v/>
      </c>
      <c r="AF33" s="122">
        <f>Q33&amp;"/"&amp;R33</f>
        <v/>
      </c>
      <c r="AH33" s="20">
        <f>IF(A33="","",A33)</f>
        <v/>
      </c>
      <c r="AI33" s="133">
        <f>IF(E33="","",E33)</f>
        <v/>
      </c>
      <c r="AJ33" s="122">
        <f>IF(AI33="","",$AJ$2)</f>
        <v/>
      </c>
      <c r="AK33" s="122" t="inlineStr">
        <is>
          <t>A</t>
        </is>
      </c>
      <c r="AL33" s="122" t="inlineStr">
        <is>
          <t>A+</t>
        </is>
      </c>
      <c r="AM33" s="122" t="inlineStr">
        <is>
          <t>B+</t>
        </is>
      </c>
      <c r="AN33" s="122">
        <f>IF(AI33="","",$AN$2)</f>
        <v/>
      </c>
      <c r="AO33" s="122">
        <f>IF(N33="","",IF(N33&gt;=$AO$1/100,"O","X"))</f>
        <v/>
      </c>
      <c r="AP33" s="122">
        <f>IF(I33="","",IF(I33&lt;=$AP$1,"O","X"))</f>
        <v/>
      </c>
      <c r="AQ33" s="122">
        <f>IF(O33="","",IF(O33&lt;=$AQ$1,"O","X"))</f>
        <v/>
      </c>
      <c r="AR33" s="122">
        <f>IF(M33="","",IF(M33&lt;=$AR$1,"O","X"))</f>
        <v/>
      </c>
      <c r="AS33" s="122" t="inlineStr">
        <is>
          <t>X</t>
        </is>
      </c>
      <c r="AT33" s="122">
        <f>IF(OR(F33="",AI33=""),"",IF(AND((F33&lt;=85),(AI33&gt;=15)),"O","X"))</f>
        <v/>
      </c>
      <c r="AU33" s="122">
        <f>IF(C33="","",IF(C33&gt;=$AU$1,"O","X"))</f>
        <v/>
      </c>
      <c r="AV33" s="122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1" t="n">
        <v>717</v>
      </c>
      <c r="D34" s="132" t="n">
        <v>110.4</v>
      </c>
      <c r="E34" s="133" t="n">
        <v>33</v>
      </c>
      <c r="F34" s="132" t="n">
        <v>84.5</v>
      </c>
      <c r="G34" s="17" t="n">
        <v>26</v>
      </c>
      <c r="H34" s="134" t="n">
        <v>236</v>
      </c>
      <c r="I34" s="135" t="n">
        <v>30000</v>
      </c>
      <c r="J34" s="135" t="inlineStr">
        <is>
          <t>10</t>
        </is>
      </c>
      <c r="K34" s="135" t="n">
        <v>25000</v>
      </c>
      <c r="L34" s="135" t="inlineStr">
        <is>
          <t>6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n">
        <v>126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1" t="n">
        <v>850</v>
      </c>
      <c r="D35" s="132" t="n">
        <v>112.6</v>
      </c>
      <c r="E35" s="133" t="n">
        <v>34</v>
      </c>
      <c r="F35" s="132" t="n">
        <v>85</v>
      </c>
      <c r="G35" s="17" t="n">
        <v>26</v>
      </c>
      <c r="H35" s="134" t="n">
        <v>246</v>
      </c>
      <c r="I35" s="135" t="n">
        <v>47000</v>
      </c>
      <c r="J35" s="135" t="inlineStr">
        <is>
          <t>중</t>
        </is>
      </c>
      <c r="K35" s="135" t="n">
        <v>32000</v>
      </c>
      <c r="L35" s="135" t="inlineStr">
        <is>
          <t>중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2</v>
      </c>
      <c r="R35" s="122" t="n">
        <v>1</v>
      </c>
      <c r="S35" s="122" t="inlineStr">
        <is>
          <t>계</t>
        </is>
      </c>
      <c r="T35" s="5" t="n">
        <v>57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2">
        <f>S35</f>
        <v/>
      </c>
      <c r="AF35" s="122">
        <f>Q35&amp;"/"&amp;R35</f>
        <v/>
      </c>
      <c r="AH35" s="20">
        <f>IF(A35="","",A35)</f>
        <v/>
      </c>
      <c r="AI35" s="133">
        <f>IF(E35="","",E35)</f>
        <v/>
      </c>
      <c r="AJ35" s="122">
        <f>IF(AI35="","",$AJ$2)</f>
        <v/>
      </c>
      <c r="AK35" s="122" t="inlineStr">
        <is>
          <t>A</t>
        </is>
      </c>
      <c r="AL35" s="122" t="inlineStr">
        <is>
          <t>A+</t>
        </is>
      </c>
      <c r="AM35" s="122" t="inlineStr">
        <is>
          <t>B+</t>
        </is>
      </c>
      <c r="AN35" s="122">
        <f>IF(AI35="","",$AN$2)</f>
        <v/>
      </c>
      <c r="AO35" s="122">
        <f>IF(N35="","",IF(N35&gt;=$AO$1/100,"O","X"))</f>
        <v/>
      </c>
      <c r="AP35" s="122">
        <f>IF(I35="","",IF(I35&lt;=$AP$1,"O","X"))</f>
        <v/>
      </c>
      <c r="AQ35" s="122">
        <f>IF(O35="","",IF(O35&lt;=$AQ$1,"O","X"))</f>
        <v/>
      </c>
      <c r="AR35" s="122">
        <f>IF(M35="","",IF(M35&lt;=$AR$1,"O","X"))</f>
        <v/>
      </c>
      <c r="AS35" s="122" t="inlineStr">
        <is>
          <t>X</t>
        </is>
      </c>
      <c r="AT35" s="122">
        <f>IF(OR(F35="",AI35=""),"",IF(AND((F35&lt;=85),(AI35&gt;=15)),"O","X"))</f>
        <v/>
      </c>
      <c r="AU35" s="122">
        <f>IF(C35="","",IF(C35&gt;=$AU$1,"O","X"))</f>
        <v/>
      </c>
      <c r="AV35" s="122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1" t="n">
        <v>682</v>
      </c>
      <c r="D36" s="132" t="n">
        <v>114.8</v>
      </c>
      <c r="E36" s="133" t="n">
        <v>35</v>
      </c>
      <c r="F36" s="132" t="n">
        <v>85</v>
      </c>
      <c r="G36" s="17" t="n">
        <v>26</v>
      </c>
      <c r="H36" s="134" t="n">
        <v>216</v>
      </c>
      <c r="I36" s="135" t="n">
        <v>48000</v>
      </c>
      <c r="J36" s="135" t="inlineStr">
        <is>
          <t>중</t>
        </is>
      </c>
      <c r="K36" s="135" t="n">
        <v>35000</v>
      </c>
      <c r="L36" s="135" t="inlineStr">
        <is>
          <t>중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3</v>
      </c>
      <c r="R36" s="122" t="n">
        <v>1</v>
      </c>
      <c r="S36" s="122" t="inlineStr">
        <is>
          <t>복</t>
        </is>
      </c>
      <c r="T36" s="5" t="n">
        <v>95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1" t="n">
        <v>418</v>
      </c>
      <c r="D37" s="132" t="n">
        <v>109.6</v>
      </c>
      <c r="E37" s="133" t="n">
        <v>33</v>
      </c>
      <c r="F37" s="132" t="n">
        <v>84.90000000000001</v>
      </c>
      <c r="G37" s="17" t="n">
        <v>26</v>
      </c>
      <c r="H37" s="134" t="n">
        <v>258</v>
      </c>
      <c r="I37" s="135" t="n">
        <v>40000</v>
      </c>
      <c r="J37" s="135" t="inlineStr">
        <is>
          <t>고</t>
        </is>
      </c>
      <c r="K37" s="135" t="n">
        <v>32000</v>
      </c>
      <c r="L37" s="135" t="inlineStr">
        <is>
          <t>15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1</v>
      </c>
      <c r="S37" s="122" t="inlineStr">
        <is>
          <t>계</t>
        </is>
      </c>
      <c r="T37" s="5" t="n">
        <v>79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2">
        <f>S37</f>
        <v/>
      </c>
      <c r="AF37" s="122">
        <f>Q37&amp;"/"&amp;R37</f>
        <v/>
      </c>
      <c r="AH37" s="20">
        <f>IF(A37="","",A37)</f>
        <v/>
      </c>
      <c r="AI37" s="133">
        <f>IF(E37="","",E37)</f>
        <v/>
      </c>
      <c r="AJ37" s="122">
        <f>IF(AI37="","",$AJ$2)</f>
        <v/>
      </c>
      <c r="AK37" s="122" t="inlineStr">
        <is>
          <t>A</t>
        </is>
      </c>
      <c r="AL37" s="122" t="inlineStr">
        <is>
          <t>A+</t>
        </is>
      </c>
      <c r="AM37" s="122" t="inlineStr">
        <is>
          <t>B+</t>
        </is>
      </c>
      <c r="AN37" s="122">
        <f>IF(AI37="","",$AN$2)</f>
        <v/>
      </c>
      <c r="AO37" s="122">
        <f>IF(N37="","",IF(N37&gt;=$AO$1/100,"O","X"))</f>
        <v/>
      </c>
      <c r="AP37" s="122">
        <f>IF(I37="","",IF(I37&lt;=$AP$1,"O","X"))</f>
        <v/>
      </c>
      <c r="AQ37" s="122">
        <f>IF(O37="","",IF(O37&lt;=$AQ$1,"O","X"))</f>
        <v/>
      </c>
      <c r="AR37" s="122">
        <f>IF(M37="","",IF(M37&lt;=$AR$1,"O","X"))</f>
        <v/>
      </c>
      <c r="AS37" s="122" t="inlineStr">
        <is>
          <t>X</t>
        </is>
      </c>
      <c r="AT37" s="122">
        <f>IF(OR(F37="",AI37=""),"",IF(AND((F37&lt;=85),(AI37&gt;=15)),"O","X"))</f>
        <v/>
      </c>
      <c r="AU37" s="122">
        <f>IF(C37="","",IF(C37&gt;=$AU$1,"O","X"))</f>
        <v/>
      </c>
      <c r="AV37" s="122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1" t="n">
        <v>728</v>
      </c>
      <c r="D38" s="132" t="n">
        <v>109.6</v>
      </c>
      <c r="E38" s="133" t="n">
        <v>33</v>
      </c>
      <c r="F38" s="132" t="n">
        <v>84.90000000000001</v>
      </c>
      <c r="G38" s="17" t="n">
        <v>26</v>
      </c>
      <c r="H38" s="134" t="n">
        <v>191</v>
      </c>
      <c r="I38" s="135" t="n">
        <v>38000</v>
      </c>
      <c r="J38" s="135" t="inlineStr">
        <is>
          <t>11</t>
        </is>
      </c>
      <c r="K38" s="135" t="n">
        <v>30000</v>
      </c>
      <c r="L38" s="135" t="inlineStr">
        <is>
          <t>중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108C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1" t="n">
        <v>508</v>
      </c>
      <c r="D39" s="132" t="n">
        <v>111.3</v>
      </c>
      <c r="E39" s="133" t="n">
        <v>34</v>
      </c>
      <c r="F39" s="132" t="n">
        <v>85</v>
      </c>
      <c r="G39" s="17" t="n">
        <v>26</v>
      </c>
      <c r="H39" s="134" t="n">
        <v>84</v>
      </c>
      <c r="I39" s="135" t="n">
        <v>39500</v>
      </c>
      <c r="J39" s="135" t="inlineStr">
        <is>
          <t>고</t>
        </is>
      </c>
      <c r="K39" s="135" t="n">
        <v>29000</v>
      </c>
      <c r="L39" s="135" t="inlineStr">
        <is>
          <t>중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1</v>
      </c>
      <c r="R39" s="122" t="n">
        <v>1</v>
      </c>
      <c r="S39" s="122" t="inlineStr">
        <is>
          <t>계</t>
        </is>
      </c>
      <c r="T39" s="5" t="inlineStr">
        <is>
          <t>33A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2">
        <f>S39</f>
        <v/>
      </c>
      <c r="AF39" s="122">
        <f>Q39&amp;"/"&amp;R39</f>
        <v/>
      </c>
      <c r="AH39" s="20">
        <f>IF(A39="","",A39)</f>
        <v/>
      </c>
      <c r="AI39" s="133">
        <f>IF(E39="","",E39)</f>
        <v/>
      </c>
      <c r="AJ39" s="122">
        <f>IF(AI39="","",$AJ$2)</f>
        <v/>
      </c>
      <c r="AK39" s="122" t="inlineStr">
        <is>
          <t>A</t>
        </is>
      </c>
      <c r="AL39" s="122" t="inlineStr">
        <is>
          <t>A+</t>
        </is>
      </c>
      <c r="AM39" s="122" t="inlineStr">
        <is>
          <t>B+</t>
        </is>
      </c>
      <c r="AN39" s="122">
        <f>IF(AI39="","",$AN$2)</f>
        <v/>
      </c>
      <c r="AO39" s="122">
        <f>IF(N39="","",IF(N39&gt;=$AO$1/100,"O","X"))</f>
        <v/>
      </c>
      <c r="AP39" s="122">
        <f>IF(I39="","",IF(I39&lt;=$AP$1,"O","X"))</f>
        <v/>
      </c>
      <c r="AQ39" s="122">
        <f>IF(O39="","",IF(O39&lt;=$AQ$1,"O","X"))</f>
        <v/>
      </c>
      <c r="AR39" s="122">
        <f>IF(M39="","",IF(M39&lt;=$AR$1,"O","X"))</f>
        <v/>
      </c>
      <c r="AS39" s="122" t="inlineStr">
        <is>
          <t>X</t>
        </is>
      </c>
      <c r="AT39" s="122">
        <f>IF(OR(F39="",AI39=""),"",IF(AND((F39&lt;=85),(AI39&gt;=15)),"O","X"))</f>
        <v/>
      </c>
      <c r="AU39" s="122">
        <f>IF(C39="","",IF(C39&gt;=$AU$1,"O","X"))</f>
        <v/>
      </c>
      <c r="AV39" s="122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1" t="n">
        <v>855</v>
      </c>
      <c r="D40" s="132" t="n">
        <v>110.9</v>
      </c>
      <c r="E40" s="133" t="n">
        <v>34</v>
      </c>
      <c r="F40" s="132" t="n">
        <v>85</v>
      </c>
      <c r="G40" s="17" t="n">
        <v>26</v>
      </c>
      <c r="H40" s="134" t="n">
        <v>601</v>
      </c>
      <c r="I40" s="135" t="n">
        <v>37000</v>
      </c>
      <c r="J40" s="135" t="inlineStr">
        <is>
          <t>중</t>
        </is>
      </c>
      <c r="K40" s="135" t="n">
        <v>30000</v>
      </c>
      <c r="L40" s="135" t="inlineStr">
        <is>
          <t>10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80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1" t="n">
        <v>1110</v>
      </c>
      <c r="D41" s="132" t="n">
        <v>109.1</v>
      </c>
      <c r="E41" s="133" t="n">
        <v>33</v>
      </c>
      <c r="F41" s="132" t="n">
        <v>84.90000000000001</v>
      </c>
      <c r="G41" s="17" t="n">
        <v>26</v>
      </c>
      <c r="H41" s="134" t="n">
        <v>770</v>
      </c>
      <c r="I41" s="135" t="n">
        <v>37000</v>
      </c>
      <c r="J41" s="135" t="inlineStr">
        <is>
          <t>고</t>
        </is>
      </c>
      <c r="K41" s="135" t="n">
        <v>27000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1</v>
      </c>
      <c r="S41" s="122" t="inlineStr">
        <is>
          <t>복</t>
        </is>
      </c>
      <c r="T41" s="5" t="n">
        <v>79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2">
        <f>S41</f>
        <v/>
      </c>
      <c r="AF41" s="122">
        <f>Q41&amp;"/"&amp;R41</f>
        <v/>
      </c>
      <c r="AH41" s="20">
        <f>IF(A41="","",A41)</f>
        <v/>
      </c>
      <c r="AI41" s="133">
        <f>IF(E41="","",E41)</f>
        <v/>
      </c>
      <c r="AJ41" s="122">
        <f>IF(AI41="","",$AJ$2)</f>
        <v/>
      </c>
      <c r="AK41" s="122" t="inlineStr">
        <is>
          <t>A</t>
        </is>
      </c>
      <c r="AL41" s="122" t="inlineStr">
        <is>
          <t>A+</t>
        </is>
      </c>
      <c r="AM41" s="122" t="inlineStr">
        <is>
          <t>B+</t>
        </is>
      </c>
      <c r="AN41" s="122">
        <f>IF(AI41="","",$AN$2)</f>
        <v/>
      </c>
      <c r="AO41" s="122">
        <f>IF(N41="","",IF(N41&gt;=$AO$1/100,"O","X"))</f>
        <v/>
      </c>
      <c r="AP41" s="122">
        <f>IF(I41="","",IF(I41&lt;=$AP$1,"O","X"))</f>
        <v/>
      </c>
      <c r="AQ41" s="122">
        <f>IF(O41="","",IF(O41&lt;=$AQ$1,"O","X"))</f>
        <v/>
      </c>
      <c r="AR41" s="122">
        <f>IF(M41="","",IF(M41&lt;=$AR$1,"O","X"))</f>
        <v/>
      </c>
      <c r="AS41" s="122" t="inlineStr">
        <is>
          <t>X</t>
        </is>
      </c>
      <c r="AT41" s="122">
        <f>IF(OR(F41="",AI41=""),"",IF(AND((F41&lt;=85),(AI41&gt;=15)),"O","X"))</f>
        <v/>
      </c>
      <c r="AU41" s="122">
        <f>IF(C41="","",IF(C41&gt;=$AU$1,"O","X"))</f>
        <v/>
      </c>
      <c r="AV41" s="122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1" t="n">
        <v>424</v>
      </c>
      <c r="D42" s="132" t="n">
        <v>109.7</v>
      </c>
      <c r="E42" s="133" t="n">
        <v>33</v>
      </c>
      <c r="F42" s="132" t="n">
        <v>85</v>
      </c>
      <c r="G42" s="17" t="n">
        <v>26</v>
      </c>
      <c r="H42" s="134" t="n">
        <v>251</v>
      </c>
      <c r="I42" s="135" t="n">
        <v>32000</v>
      </c>
      <c r="J42" s="135" t="inlineStr">
        <is>
          <t>17</t>
        </is>
      </c>
      <c r="K42" s="135" t="n">
        <v>27000</v>
      </c>
      <c r="L42" s="135" t="inlineStr">
        <is>
          <t>18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4</v>
      </c>
      <c r="R42" s="122" t="n">
        <v>2</v>
      </c>
      <c r="S42" s="122" t="inlineStr">
        <is>
          <t>계</t>
        </is>
      </c>
      <c r="T42" s="5" t="inlineStr">
        <is>
          <t>161A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1" t="n">
        <v>508</v>
      </c>
      <c r="D43" s="132" t="n">
        <v>84.5</v>
      </c>
      <c r="E43" s="133" t="n">
        <v>26</v>
      </c>
      <c r="F43" s="132" t="n">
        <v>59.8</v>
      </c>
      <c r="G43" s="17" t="n">
        <v>18</v>
      </c>
      <c r="H43" s="134" t="n">
        <v>164</v>
      </c>
      <c r="I43" s="135" t="n">
        <v>30000</v>
      </c>
      <c r="J43" s="135" t="inlineStr">
        <is>
          <t>중</t>
        </is>
      </c>
      <c r="K43" s="135" t="n">
        <v>23000</v>
      </c>
      <c r="L43" s="135" t="inlineStr">
        <is>
          <t>10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inlineStr">
        <is>
          <t>107A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2">
        <f>S43</f>
        <v/>
      </c>
      <c r="AF43" s="122">
        <f>Q43&amp;"/"&amp;R43</f>
        <v/>
      </c>
      <c r="AH43" s="20">
        <f>IF(A43="","",A43)</f>
        <v/>
      </c>
      <c r="AI43" s="133">
        <f>IF(E43="","",E43)</f>
        <v/>
      </c>
      <c r="AJ43" s="122">
        <f>IF(AI43="","",$AJ$2)</f>
        <v/>
      </c>
      <c r="AK43" s="122" t="inlineStr">
        <is>
          <t>A</t>
        </is>
      </c>
      <c r="AL43" s="122" t="inlineStr">
        <is>
          <t>A+</t>
        </is>
      </c>
      <c r="AM43" s="122" t="inlineStr">
        <is>
          <t>B+</t>
        </is>
      </c>
      <c r="AN43" s="122">
        <f>IF(AI43="","",$AN$2)</f>
        <v/>
      </c>
      <c r="AO43" s="122">
        <f>IF(N43="","",IF(N43&gt;=$AO$1/100,"O","X"))</f>
        <v/>
      </c>
      <c r="AP43" s="122">
        <f>IF(I43="","",IF(I43&lt;=$AP$1,"O","X"))</f>
        <v/>
      </c>
      <c r="AQ43" s="122">
        <f>IF(O43="","",IF(O43&lt;=$AQ$1,"O","X"))</f>
        <v/>
      </c>
      <c r="AR43" s="122">
        <f>IF(M43="","",IF(M43&lt;=$AR$1,"O","X"))</f>
        <v/>
      </c>
      <c r="AS43" s="122" t="inlineStr">
        <is>
          <t>X</t>
        </is>
      </c>
      <c r="AT43" s="122">
        <f>IF(OR(F43="",AI43=""),"",IF(AND((F43&lt;=85),(AI43&gt;=15)),"O","X"))</f>
        <v/>
      </c>
      <c r="AU43" s="122">
        <f>IF(C43="","",IF(C43&gt;=$AU$1,"O","X"))</f>
        <v/>
      </c>
      <c r="AV43" s="122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1" t="n">
        <v>842</v>
      </c>
      <c r="D44" s="132" t="n">
        <v>117.4</v>
      </c>
      <c r="E44" s="133" t="n">
        <v>35</v>
      </c>
      <c r="F44" s="132" t="n">
        <v>84.59999999999999</v>
      </c>
      <c r="G44" s="17" t="n">
        <v>26</v>
      </c>
      <c r="H44" s="134" t="n">
        <v>376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n">
        <v>103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1" t="n">
        <v>936</v>
      </c>
      <c r="D45" s="132" t="n">
        <v>111.6</v>
      </c>
      <c r="E45" s="133" t="n">
        <v>34</v>
      </c>
      <c r="F45" s="132" t="n">
        <v>85</v>
      </c>
      <c r="G45" s="17" t="n">
        <v>26</v>
      </c>
      <c r="H45" s="134" t="n">
        <v>272</v>
      </c>
      <c r="I45" s="135" t="n">
        <v>60000</v>
      </c>
      <c r="J45" s="135" t="inlineStr">
        <is>
          <t>고</t>
        </is>
      </c>
      <c r="K45" s="135" t="n">
        <v>25000</v>
      </c>
      <c r="L45" s="135" t="inlineStr">
        <is>
          <t>고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115B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2">
        <f>S45</f>
        <v/>
      </c>
      <c r="AF45" s="122">
        <f>Q45&amp;"/"&amp;R45</f>
        <v/>
      </c>
      <c r="AH45" s="20">
        <f>IF(A45="","",A45)</f>
        <v/>
      </c>
      <c r="AI45" s="133">
        <f>IF(E45="","",E45)</f>
        <v/>
      </c>
      <c r="AJ45" s="122">
        <f>IF(AI45="","",$AJ$2)</f>
        <v/>
      </c>
      <c r="AK45" s="122" t="inlineStr">
        <is>
          <t>A</t>
        </is>
      </c>
      <c r="AL45" s="122" t="inlineStr">
        <is>
          <t>A+</t>
        </is>
      </c>
      <c r="AM45" s="122" t="inlineStr">
        <is>
          <t>B+</t>
        </is>
      </c>
      <c r="AN45" s="122">
        <f>IF(AI45="","",$AN$2)</f>
        <v/>
      </c>
      <c r="AO45" s="122">
        <f>IF(N45="","",IF(N45&gt;=$AO$1/100,"O","X"))</f>
        <v/>
      </c>
      <c r="AP45" s="122">
        <f>IF(I45="","",IF(I45&lt;=$AP$1,"O","X"))</f>
        <v/>
      </c>
      <c r="AQ45" s="122">
        <f>IF(O45="","",IF(O45&lt;=$AQ$1,"O","X"))</f>
        <v/>
      </c>
      <c r="AR45" s="122">
        <f>IF(M45="","",IF(M45&lt;=$AR$1,"O","X"))</f>
        <v/>
      </c>
      <c r="AS45" s="122" t="inlineStr">
        <is>
          <t>X</t>
        </is>
      </c>
      <c r="AT45" s="122">
        <f>IF(OR(F45="",AI45=""),"",IF(AND((F45&lt;=85),(AI45&gt;=15)),"O","X"))</f>
        <v/>
      </c>
      <c r="AU45" s="122">
        <f>IF(C45="","",IF(C45&gt;=$AU$1,"O","X"))</f>
        <v/>
      </c>
      <c r="AV45" s="122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1" t="n">
        <v>653</v>
      </c>
      <c r="D46" s="132" t="n">
        <v>111.5</v>
      </c>
      <c r="E46" s="133" t="n">
        <v>34</v>
      </c>
      <c r="F46" s="132" t="n">
        <v>85</v>
      </c>
      <c r="G46" s="17" t="n">
        <v>26</v>
      </c>
      <c r="H46" s="134" t="n">
        <v>245</v>
      </c>
      <c r="I46" s="135" t="n">
        <v>47000</v>
      </c>
      <c r="J46" s="135" t="inlineStr">
        <is>
          <t>5</t>
        </is>
      </c>
      <c r="K46" s="135" t="n">
        <v>32000</v>
      </c>
      <c r="L46" s="135" t="inlineStr">
        <is>
          <t>10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1</v>
      </c>
      <c r="S46" s="122" t="inlineStr">
        <is>
          <t>복</t>
        </is>
      </c>
      <c r="T46" s="5" t="n">
        <v>94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1" t="n">
        <v>482</v>
      </c>
      <c r="D47" s="132" t="n">
        <v>108.4</v>
      </c>
      <c r="E47" s="133" t="n">
        <v>33</v>
      </c>
      <c r="F47" s="132" t="n">
        <v>84.90000000000001</v>
      </c>
      <c r="G47" s="17" t="n">
        <v>26</v>
      </c>
      <c r="H47" s="134" t="n">
        <v>72</v>
      </c>
      <c r="I47" s="135" t="n">
        <v>48000</v>
      </c>
      <c r="J47" s="135" t="inlineStr">
        <is>
          <t>중</t>
        </is>
      </c>
      <c r="K47" s="135" t="n">
        <v>33000</v>
      </c>
      <c r="L47" s="135" t="inlineStr">
        <is>
          <t>중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4</v>
      </c>
      <c r="R47" s="122" t="n">
        <v>2</v>
      </c>
      <c r="S47" s="122" t="inlineStr">
        <is>
          <t>계</t>
        </is>
      </c>
      <c r="T47" s="5" t="inlineStr">
        <is>
          <t>194A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2">
        <f>S47</f>
        <v/>
      </c>
      <c r="AF47" s="122">
        <f>Q47&amp;"/"&amp;R47</f>
        <v/>
      </c>
      <c r="AH47" s="20">
        <f>IF(A47="","",A47)</f>
        <v/>
      </c>
      <c r="AI47" s="133">
        <f>IF(E47="","",E47)</f>
        <v/>
      </c>
      <c r="AJ47" s="122">
        <f>IF(AI47="","",$AJ$2)</f>
        <v/>
      </c>
      <c r="AK47" s="122" t="inlineStr">
        <is>
          <t>A</t>
        </is>
      </c>
      <c r="AL47" s="122" t="inlineStr">
        <is>
          <t>A+</t>
        </is>
      </c>
      <c r="AM47" s="122" t="inlineStr">
        <is>
          <t>B+</t>
        </is>
      </c>
      <c r="AN47" s="122">
        <f>IF(AI47="","",$AN$2)</f>
        <v/>
      </c>
      <c r="AO47" s="122">
        <f>IF(N47="","",IF(N47&gt;=$AO$1/100,"O","X"))</f>
        <v/>
      </c>
      <c r="AP47" s="122">
        <f>IF(I47="","",IF(I47&lt;=$AP$1,"O","X"))</f>
        <v/>
      </c>
      <c r="AQ47" s="122">
        <f>IF(O47="","",IF(O47&lt;=$AQ$1,"O","X"))</f>
        <v/>
      </c>
      <c r="AR47" s="122">
        <f>IF(M47="","",IF(M47&lt;=$AR$1,"O","X"))</f>
        <v/>
      </c>
      <c r="AS47" s="122" t="inlineStr">
        <is>
          <t>X</t>
        </is>
      </c>
      <c r="AT47" s="122">
        <f>IF(OR(F47="",AI47=""),"",IF(AND((F47&lt;=85),(AI47&gt;=15)),"O","X"))</f>
        <v/>
      </c>
      <c r="AU47" s="122">
        <f>IF(C47="","",IF(C47&gt;=$AU$1,"O","X"))</f>
        <v/>
      </c>
      <c r="AV47" s="122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1" t="n">
        <v>526</v>
      </c>
      <c r="D48" s="132" t="n">
        <v>110.4</v>
      </c>
      <c r="E48" s="133" t="n">
        <v>33</v>
      </c>
      <c r="F48" s="132" t="n">
        <v>85</v>
      </c>
      <c r="G48" s="17" t="n">
        <v>26</v>
      </c>
      <c r="H48" s="134" t="n">
        <v>129</v>
      </c>
      <c r="I48" s="135" t="n">
        <v>47000</v>
      </c>
      <c r="J48" s="135" t="inlineStr">
        <is>
          <t>7</t>
        </is>
      </c>
      <c r="K48" s="135" t="n">
        <v>34000</v>
      </c>
      <c r="L48" s="135" t="inlineStr">
        <is>
          <t>6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n">
        <v>116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1" t="n">
        <v>653</v>
      </c>
      <c r="D49" s="132" t="n">
        <v>98.2</v>
      </c>
      <c r="E49" s="133" t="n">
        <v>30</v>
      </c>
      <c r="F49" s="132" t="n">
        <v>75.3</v>
      </c>
      <c r="G49" s="17" t="n">
        <v>23</v>
      </c>
      <c r="H49" s="134" t="n">
        <v>221</v>
      </c>
      <c r="I49" s="135" t="n">
        <v>40000</v>
      </c>
      <c r="J49" s="135" t="inlineStr">
        <is>
          <t>12</t>
        </is>
      </c>
      <c r="K49" s="135" t="n">
        <v>28000</v>
      </c>
      <c r="L49" s="135" t="inlineStr">
        <is>
          <t>12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2</v>
      </c>
      <c r="R49" s="122" t="n">
        <v>1</v>
      </c>
      <c r="S49" s="122" t="inlineStr">
        <is>
          <t>복</t>
        </is>
      </c>
      <c r="T49" s="5" t="inlineStr">
        <is>
          <t>79B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2">
        <f>S49</f>
        <v/>
      </c>
      <c r="AF49" s="122">
        <f>Q49&amp;"/"&amp;R49</f>
        <v/>
      </c>
      <c r="AH49" s="20">
        <f>IF(A49="","",A49)</f>
        <v/>
      </c>
      <c r="AI49" s="133">
        <f>IF(E49="","",E49)</f>
        <v/>
      </c>
      <c r="AJ49" s="122">
        <f>IF(AI49="","",$AJ$2)</f>
        <v/>
      </c>
      <c r="AK49" s="122" t="inlineStr">
        <is>
          <t>A</t>
        </is>
      </c>
      <c r="AL49" s="122" t="inlineStr">
        <is>
          <t>A+</t>
        </is>
      </c>
      <c r="AM49" s="122" t="inlineStr">
        <is>
          <t>B+</t>
        </is>
      </c>
      <c r="AN49" s="122">
        <f>IF(AI49="","",$AN$2)</f>
        <v/>
      </c>
      <c r="AO49" s="122">
        <f>IF(N49="","",IF(N49&gt;=$AO$1/100,"O","X"))</f>
        <v/>
      </c>
      <c r="AP49" s="122">
        <f>IF(I49="","",IF(I49&lt;=$AP$1,"O","X"))</f>
        <v/>
      </c>
      <c r="AQ49" s="122">
        <f>IF(O49="","",IF(O49&lt;=$AQ$1,"O","X"))</f>
        <v/>
      </c>
      <c r="AR49" s="122">
        <f>IF(M49="","",IF(M49&lt;=$AR$1,"O","X"))</f>
        <v/>
      </c>
      <c r="AS49" s="122" t="inlineStr">
        <is>
          <t>X</t>
        </is>
      </c>
      <c r="AT49" s="122">
        <f>IF(OR(F49="",AI49=""),"",IF(AND((F49&lt;=85),(AI49&gt;=15)),"O","X"))</f>
        <v/>
      </c>
      <c r="AU49" s="122">
        <f>IF(C49="","",IF(C49&gt;=$AU$1,"O","X"))</f>
        <v/>
      </c>
      <c r="AV49" s="122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1" t="n">
        <v>936</v>
      </c>
      <c r="D50" s="132" t="n">
        <v>80</v>
      </c>
      <c r="E50" s="133" t="n">
        <v>24</v>
      </c>
      <c r="F50" s="132" t="n">
        <v>60</v>
      </c>
      <c r="G50" s="17" t="n">
        <v>18</v>
      </c>
      <c r="H50" s="134" t="n">
        <v>312</v>
      </c>
      <c r="I50" s="135" t="n"/>
      <c r="J50" s="135" t="n"/>
      <c r="K50" s="135" t="n">
        <v>25000</v>
      </c>
      <c r="L50" s="135" t="inlineStr">
        <is>
          <t>중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inlineStr">
        <is>
          <t>85B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1" t="n">
        <v>639</v>
      </c>
      <c r="D51" s="132" t="n">
        <v>88.59999999999999</v>
      </c>
      <c r="E51" s="133" t="n">
        <v>27</v>
      </c>
      <c r="F51" s="132" t="n">
        <v>59.9</v>
      </c>
      <c r="G51" s="17" t="n">
        <v>18</v>
      </c>
      <c r="H51" s="134" t="n">
        <v>337</v>
      </c>
      <c r="I51" s="135" t="n">
        <v>30000</v>
      </c>
      <c r="J51" s="135" t="inlineStr">
        <is>
          <t>14</t>
        </is>
      </c>
      <c r="K51" s="135" t="n">
        <v>25000</v>
      </c>
      <c r="L51" s="135" t="inlineStr">
        <is>
          <t>6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inlineStr">
        <is>
          <t>107C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2">
        <f>S51</f>
        <v/>
      </c>
      <c r="AF51" s="122">
        <f>Q51&amp;"/"&amp;R51</f>
        <v/>
      </c>
      <c r="AH51" s="20">
        <f>IF(A51="","",A51)</f>
        <v/>
      </c>
      <c r="AI51" s="133">
        <f>IF(E51="","",E51)</f>
        <v/>
      </c>
      <c r="AJ51" s="122">
        <f>IF(AI51="","",$AJ$2)</f>
        <v/>
      </c>
      <c r="AK51" s="122" t="inlineStr">
        <is>
          <t>A</t>
        </is>
      </c>
      <c r="AL51" s="122" t="inlineStr">
        <is>
          <t>A+</t>
        </is>
      </c>
      <c r="AM51" s="122" t="inlineStr">
        <is>
          <t>B+</t>
        </is>
      </c>
      <c r="AN51" s="122">
        <f>IF(AI51="","",$AN$2)</f>
        <v/>
      </c>
      <c r="AO51" s="122">
        <f>IF(N51="","",IF(N51&gt;=$AO$1/100,"O","X"))</f>
        <v/>
      </c>
      <c r="AP51" s="122">
        <f>IF(I51="","",IF(I51&lt;=$AP$1,"O","X"))</f>
        <v/>
      </c>
      <c r="AQ51" s="122">
        <f>IF(O51="","",IF(O51&lt;=$AQ$1,"O","X"))</f>
        <v/>
      </c>
      <c r="AR51" s="122">
        <f>IF(M51="","",IF(M51&lt;=$AR$1,"O","X"))</f>
        <v/>
      </c>
      <c r="AS51" s="122" t="inlineStr">
        <is>
          <t>X</t>
        </is>
      </c>
      <c r="AT51" s="122">
        <f>IF(OR(F51="",AI51=""),"",IF(AND((F51&lt;=85),(AI51&gt;=15)),"O","X"))</f>
        <v/>
      </c>
      <c r="AU51" s="122">
        <f>IF(C51="","",IF(C51&gt;=$AU$1,"O","X"))</f>
        <v/>
      </c>
      <c r="AV51" s="122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1" t="n">
        <v>838</v>
      </c>
      <c r="D52" s="132" t="n">
        <v>109</v>
      </c>
      <c r="E52" s="133" t="n">
        <v>33</v>
      </c>
      <c r="F52" s="132" t="n">
        <v>85</v>
      </c>
      <c r="G52" s="17" t="n">
        <v>26</v>
      </c>
      <c r="H52" s="134" t="n">
        <v>483</v>
      </c>
      <c r="I52" s="135" t="n">
        <v>49750</v>
      </c>
      <c r="J52" s="135" t="inlineStr">
        <is>
          <t>고</t>
        </is>
      </c>
      <c r="K52" s="135" t="n">
        <v>29000</v>
      </c>
      <c r="L52" s="135" t="inlineStr">
        <is>
          <t>13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2</v>
      </c>
      <c r="R52" s="122" t="n">
        <v>1</v>
      </c>
      <c r="S52" s="122" t="inlineStr">
        <is>
          <t>복</t>
        </is>
      </c>
      <c r="T52" s="5" t="n">
        <v>51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1" t="n">
        <v>348</v>
      </c>
      <c r="D53" s="132" t="n">
        <v>108.3</v>
      </c>
      <c r="E53" s="133" t="n">
        <v>33</v>
      </c>
      <c r="F53" s="132" t="n">
        <v>84.90000000000001</v>
      </c>
      <c r="G53" s="17" t="n">
        <v>26</v>
      </c>
      <c r="H53" s="134" t="n">
        <v>203</v>
      </c>
      <c r="I53" s="135" t="n">
        <v>39000</v>
      </c>
      <c r="J53" s="135" t="inlineStr">
        <is>
          <t>5</t>
        </is>
      </c>
      <c r="K53" s="135" t="n">
        <v>35000</v>
      </c>
      <c r="L53" s="135" t="inlineStr">
        <is>
          <t>중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1</v>
      </c>
      <c r="S53" s="122" t="inlineStr">
        <is>
          <t>계</t>
        </is>
      </c>
      <c r="T53" s="5" t="n">
        <v>61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2">
        <f>S53</f>
        <v/>
      </c>
      <c r="AF53" s="122">
        <f>Q53&amp;"/"&amp;R53</f>
        <v/>
      </c>
      <c r="AH53" s="20">
        <f>IF(A53="","",A53)</f>
        <v/>
      </c>
      <c r="AI53" s="133">
        <f>IF(E53="","",E53)</f>
        <v/>
      </c>
      <c r="AJ53" s="122">
        <f>IF(AI53="","",$AJ$2)</f>
        <v/>
      </c>
      <c r="AK53" s="122" t="inlineStr">
        <is>
          <t>A</t>
        </is>
      </c>
      <c r="AL53" s="122" t="inlineStr">
        <is>
          <t>A+</t>
        </is>
      </c>
      <c r="AM53" s="122" t="inlineStr">
        <is>
          <t>B+</t>
        </is>
      </c>
      <c r="AN53" s="122">
        <f>IF(AI53="","",$AN$2)</f>
        <v/>
      </c>
      <c r="AO53" s="122">
        <f>IF(N53="","",IF(N53&gt;=$AO$1/100,"O","X"))</f>
        <v/>
      </c>
      <c r="AP53" s="122">
        <f>IF(I53="","",IF(I53&lt;=$AP$1,"O","X"))</f>
        <v/>
      </c>
      <c r="AQ53" s="122">
        <f>IF(O53="","",IF(O53&lt;=$AQ$1,"O","X"))</f>
        <v/>
      </c>
      <c r="AR53" s="122">
        <f>IF(M53="","",IF(M53&lt;=$AR$1,"O","X"))</f>
        <v/>
      </c>
      <c r="AS53" s="122" t="inlineStr">
        <is>
          <t>X</t>
        </is>
      </c>
      <c r="AT53" s="122">
        <f>IF(OR(F53="",AI53=""),"",IF(AND((F53&lt;=85),(AI53&gt;=15)),"O","X"))</f>
        <v/>
      </c>
      <c r="AU53" s="122">
        <f>IF(C53="","",IF(C53&gt;=$AU$1,"O","X"))</f>
        <v/>
      </c>
      <c r="AV53" s="122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1" t="n">
        <v>571</v>
      </c>
      <c r="D54" s="132" t="n">
        <v>107.3</v>
      </c>
      <c r="E54" s="133" t="n">
        <v>32</v>
      </c>
      <c r="F54" s="132" t="n">
        <v>84.90000000000001</v>
      </c>
      <c r="G54" s="17" t="n">
        <v>26</v>
      </c>
      <c r="H54" s="134" t="n">
        <v>421</v>
      </c>
      <c r="I54" s="135" t="n">
        <v>33500</v>
      </c>
      <c r="J54" s="135" t="inlineStr">
        <is>
          <t>중</t>
        </is>
      </c>
      <c r="K54" s="135" t="n">
        <v>28000</v>
      </c>
      <c r="L54" s="135" t="inlineStr">
        <is>
          <t>14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n">
        <v>158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2">
        <f>S54</f>
        <v/>
      </c>
      <c r="AF54" s="122">
        <f>Q54&amp;"/"&amp;R54</f>
        <v/>
      </c>
      <c r="AH54" s="20">
        <f>IF(A54="","",A54)</f>
        <v/>
      </c>
      <c r="AI54" s="133">
        <f>IF(E54="","",E54)</f>
        <v/>
      </c>
      <c r="AJ54" s="122">
        <f>IF(AI54="","",$AJ$2)</f>
        <v/>
      </c>
      <c r="AK54" s="122" t="inlineStr">
        <is>
          <t>A</t>
        </is>
      </c>
      <c r="AL54" s="122" t="inlineStr">
        <is>
          <t>A+</t>
        </is>
      </c>
      <c r="AM54" s="122" t="inlineStr">
        <is>
          <t>B+</t>
        </is>
      </c>
      <c r="AN54" s="122">
        <f>IF(AI54="","",$AN$2)</f>
        <v/>
      </c>
      <c r="AO54" s="122">
        <f>IF(N54="","",IF(N54&gt;=$AO$1/100,"O","X"))</f>
        <v/>
      </c>
      <c r="AP54" s="122">
        <f>IF(I54="","",IF(I54&lt;=$AP$1,"O","X"))</f>
        <v/>
      </c>
      <c r="AQ54" s="122">
        <f>IF(O54="","",IF(O54&lt;=$AQ$1,"O","X"))</f>
        <v/>
      </c>
      <c r="AR54" s="122">
        <f>IF(M54="","",IF(M54&lt;=$AR$1,"O","X"))</f>
        <v/>
      </c>
      <c r="AS54" s="122" t="inlineStr">
        <is>
          <t>X</t>
        </is>
      </c>
      <c r="AT54" s="122">
        <f>IF(OR(F54="",AI54=""),"",IF(AND((F54&lt;=85),(AI54&gt;=15)),"O","X"))</f>
        <v/>
      </c>
      <c r="AU54" s="122">
        <f>IF(C54="","",IF(C54&gt;=$AU$1,"O","X"))</f>
        <v/>
      </c>
      <c r="AV54" s="122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1" t="n">
        <v>724</v>
      </c>
      <c r="D55" s="132" t="n">
        <v>114.2</v>
      </c>
      <c r="E55" s="133" t="n">
        <v>35</v>
      </c>
      <c r="F55" s="132" t="n">
        <v>84.90000000000001</v>
      </c>
      <c r="G55" s="17" t="n">
        <v>26</v>
      </c>
      <c r="H55" s="134" t="n">
        <v>217</v>
      </c>
      <c r="I55" s="135" t="n">
        <v>37000</v>
      </c>
      <c r="J55" s="135" t="inlineStr">
        <is>
          <t>5</t>
        </is>
      </c>
      <c r="K55" s="135" t="n">
        <v>28000</v>
      </c>
      <c r="L55" s="135" t="inlineStr">
        <is>
          <t>6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inlineStr">
        <is>
          <t>109A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2">
        <f>S55</f>
        <v/>
      </c>
      <c r="AF55" s="122">
        <f>Q55&amp;"/"&amp;R55</f>
        <v/>
      </c>
      <c r="AH55" s="20">
        <f>IF(A55="","",A55)</f>
        <v/>
      </c>
      <c r="AI55" s="133">
        <f>IF(E55="","",E55)</f>
        <v/>
      </c>
      <c r="AJ55" s="122">
        <f>IF(AI55="","",$AJ$2)</f>
        <v/>
      </c>
      <c r="AK55" s="122" t="inlineStr">
        <is>
          <t>A</t>
        </is>
      </c>
      <c r="AL55" s="122" t="inlineStr">
        <is>
          <t>A+</t>
        </is>
      </c>
      <c r="AM55" s="122" t="inlineStr">
        <is>
          <t>B+</t>
        </is>
      </c>
      <c r="AN55" s="122">
        <f>IF(AI55="","",$AN$2)</f>
        <v/>
      </c>
      <c r="AO55" s="122">
        <f>IF(N55="","",IF(N55&gt;=$AO$1/100,"O","X"))</f>
        <v/>
      </c>
      <c r="AP55" s="122">
        <f>IF(I55="","",IF(I55&lt;=$AP$1,"O","X"))</f>
        <v/>
      </c>
      <c r="AQ55" s="122">
        <f>IF(O55="","",IF(O55&lt;=$AQ$1,"O","X"))</f>
        <v/>
      </c>
      <c r="AR55" s="122">
        <f>IF(M55="","",IF(M55&lt;=$AR$1,"O","X"))</f>
        <v/>
      </c>
      <c r="AS55" s="122" t="inlineStr">
        <is>
          <t>X</t>
        </is>
      </c>
      <c r="AT55" s="122">
        <f>IF(OR(F55="",AI55=""),"",IF(AND((F55&lt;=85),(AI55&gt;=15)),"O","X"))</f>
        <v/>
      </c>
      <c r="AU55" s="122">
        <f>IF(C55="","",IF(C55&gt;=$AU$1,"O","X"))</f>
        <v/>
      </c>
      <c r="AV55" s="122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1" t="n">
        <v>499</v>
      </c>
      <c r="D56" s="132" t="n">
        <v>115.4</v>
      </c>
      <c r="E56" s="133" t="n">
        <v>35</v>
      </c>
      <c r="F56" s="132" t="n">
        <v>85</v>
      </c>
      <c r="G56" s="17" t="n">
        <v>26</v>
      </c>
      <c r="H56" s="134" t="n">
        <v>121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4</v>
      </c>
      <c r="R56" s="122" t="n">
        <v>2</v>
      </c>
      <c r="S56" s="122" t="inlineStr">
        <is>
          <t>계</t>
        </is>
      </c>
      <c r="T56" s="5" t="inlineStr">
        <is>
          <t>164C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2">
        <f>S56</f>
        <v/>
      </c>
      <c r="AF56" s="122">
        <f>Q56&amp;"/"&amp;R56</f>
        <v/>
      </c>
      <c r="AH56" s="20">
        <f>IF(A56="","",A56)</f>
        <v/>
      </c>
      <c r="AI56" s="133">
        <f>IF(E56="","",E56)</f>
        <v/>
      </c>
      <c r="AJ56" s="122">
        <f>IF(AI56="","",$AJ$2)</f>
        <v/>
      </c>
      <c r="AK56" s="122" t="inlineStr">
        <is>
          <t>A</t>
        </is>
      </c>
      <c r="AL56" s="122" t="inlineStr">
        <is>
          <t>A+</t>
        </is>
      </c>
      <c r="AM56" s="122" t="inlineStr">
        <is>
          <t>B+</t>
        </is>
      </c>
      <c r="AN56" s="122">
        <f>IF(AI56="","",$AN$2)</f>
        <v/>
      </c>
      <c r="AO56" s="122">
        <f>IF(N56="","",IF(N56&gt;=$AO$1/100,"O","X"))</f>
        <v/>
      </c>
      <c r="AP56" s="122">
        <f>IF(I56="","",IF(I56&lt;=$AP$1,"O","X"))</f>
        <v/>
      </c>
      <c r="AQ56" s="122">
        <f>IF(O56="","",IF(O56&lt;=$AQ$1,"O","X"))</f>
        <v/>
      </c>
      <c r="AR56" s="122">
        <f>IF(M56="","",IF(M56&lt;=$AR$1,"O","X"))</f>
        <v/>
      </c>
      <c r="AS56" s="122" t="inlineStr">
        <is>
          <t>X</t>
        </is>
      </c>
      <c r="AT56" s="122">
        <f>IF(OR(F56="",AI56=""),"",IF(AND((F56&lt;=85),(AI56&gt;=15)),"O","X"))</f>
        <v/>
      </c>
      <c r="AU56" s="122">
        <f>IF(C56="","",IF(C56&gt;=$AU$1,"O","X"))</f>
        <v/>
      </c>
      <c r="AV56" s="122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1" t="n">
        <v>996</v>
      </c>
      <c r="D57" s="132" t="n">
        <v>109.8</v>
      </c>
      <c r="E57" s="133" t="n">
        <v>33</v>
      </c>
      <c r="F57" s="132" t="n">
        <v>84.90000000000001</v>
      </c>
      <c r="G57" s="17" t="n">
        <v>26</v>
      </c>
      <c r="H57" s="134" t="n">
        <v>169</v>
      </c>
      <c r="I57" s="135" t="n">
        <v>42000</v>
      </c>
      <c r="J57" s="135" t="inlineStr">
        <is>
          <t>5</t>
        </is>
      </c>
      <c r="K57" s="135" t="n">
        <v>30000</v>
      </c>
      <c r="L57" s="135" t="inlineStr">
        <is>
          <t>18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3</v>
      </c>
      <c r="R57" s="122" t="n">
        <v>1</v>
      </c>
      <c r="S57" s="122" t="inlineStr">
        <is>
          <t>계</t>
        </is>
      </c>
      <c r="T57" s="5" t="inlineStr">
        <is>
          <t>77B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2">
        <f>S57</f>
        <v/>
      </c>
      <c r="AF57" s="122">
        <f>Q57&amp;"/"&amp;R57</f>
        <v/>
      </c>
      <c r="AH57" s="20">
        <f>IF(A57="","",A57)</f>
        <v/>
      </c>
      <c r="AI57" s="133">
        <f>IF(E57="","",E57)</f>
        <v/>
      </c>
      <c r="AJ57" s="122">
        <f>IF(AI57="","",$AJ$2)</f>
        <v/>
      </c>
      <c r="AK57" s="122" t="inlineStr">
        <is>
          <t>A</t>
        </is>
      </c>
      <c r="AL57" s="122" t="inlineStr">
        <is>
          <t>A+</t>
        </is>
      </c>
      <c r="AM57" s="122" t="inlineStr">
        <is>
          <t>B+</t>
        </is>
      </c>
      <c r="AN57" s="122">
        <f>IF(AI57="","",$AN$2)</f>
        <v/>
      </c>
      <c r="AO57" s="122">
        <f>IF(N57="","",IF(N57&gt;=$AO$1/100,"O","X"))</f>
        <v/>
      </c>
      <c r="AP57" s="122">
        <f>IF(I57="","",IF(I57&lt;=$AP$1,"O","X"))</f>
        <v/>
      </c>
      <c r="AQ57" s="122">
        <f>IF(O57="","",IF(O57&lt;=$AQ$1,"O","X"))</f>
        <v/>
      </c>
      <c r="AR57" s="122">
        <f>IF(M57="","",IF(M57&lt;=$AR$1,"O","X"))</f>
        <v/>
      </c>
      <c r="AS57" s="122" t="inlineStr">
        <is>
          <t>X</t>
        </is>
      </c>
      <c r="AT57" s="122">
        <f>IF(OR(F57="",AI57=""),"",IF(AND((F57&lt;=85),(AI57&gt;=15)),"O","X"))</f>
        <v/>
      </c>
      <c r="AU57" s="122">
        <f>IF(C57="","",IF(C57&gt;=$AU$1,"O","X"))</f>
        <v/>
      </c>
      <c r="AV57" s="122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1" t="n">
        <v>839</v>
      </c>
      <c r="D58" s="132" t="n">
        <v>115.8</v>
      </c>
      <c r="E58" s="133" t="n">
        <v>35</v>
      </c>
      <c r="F58" s="132" t="n">
        <v>85</v>
      </c>
      <c r="G58" s="17" t="n">
        <v>26</v>
      </c>
      <c r="H58" s="134" t="n">
        <v>322</v>
      </c>
      <c r="I58" s="135" t="n">
        <v>39500</v>
      </c>
      <c r="J58" s="135" t="inlineStr">
        <is>
          <t>중</t>
        </is>
      </c>
      <c r="K58" s="135" t="n">
        <v>32000</v>
      </c>
      <c r="L58" s="135" t="inlineStr">
        <is>
          <t>14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3</v>
      </c>
      <c r="R58" s="122" t="n">
        <v>2</v>
      </c>
      <c r="S58" s="122" t="inlineStr">
        <is>
          <t>계</t>
        </is>
      </c>
      <c r="T58" s="5" t="n">
        <v>115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2">
        <f>S58</f>
        <v/>
      </c>
      <c r="AF58" s="122">
        <f>Q58&amp;"/"&amp;R58</f>
        <v/>
      </c>
      <c r="AH58" s="20">
        <f>IF(A58="","",A58)</f>
        <v/>
      </c>
      <c r="AI58" s="133">
        <f>IF(E58="","",E58)</f>
        <v/>
      </c>
      <c r="AJ58" s="122">
        <f>IF(AI58="","",$AJ$2)</f>
        <v/>
      </c>
      <c r="AK58" s="122" t="inlineStr">
        <is>
          <t>A</t>
        </is>
      </c>
      <c r="AL58" s="122" t="inlineStr">
        <is>
          <t>A+</t>
        </is>
      </c>
      <c r="AM58" s="122" t="inlineStr">
        <is>
          <t>B+</t>
        </is>
      </c>
      <c r="AN58" s="122">
        <f>IF(AI58="","",$AN$2)</f>
        <v/>
      </c>
      <c r="AO58" s="122">
        <f>IF(N58="","",IF(N58&gt;=$AO$1/100,"O","X"))</f>
        <v/>
      </c>
      <c r="AP58" s="122">
        <f>IF(I58="","",IF(I58&lt;=$AP$1,"O","X"))</f>
        <v/>
      </c>
      <c r="AQ58" s="122">
        <f>IF(O58="","",IF(O58&lt;=$AQ$1,"O","X"))</f>
        <v/>
      </c>
      <c r="AR58" s="122">
        <f>IF(M58="","",IF(M58&lt;=$AR$1,"O","X"))</f>
        <v/>
      </c>
      <c r="AS58" s="122" t="inlineStr">
        <is>
          <t>X</t>
        </is>
      </c>
      <c r="AT58" s="122">
        <f>IF(OR(F58="",AI58=""),"",IF(AND((F58&lt;=85),(AI58&gt;=15)),"O","X"))</f>
        <v/>
      </c>
      <c r="AU58" s="122">
        <f>IF(C58="","",IF(C58&gt;=$AU$1,"O","X"))</f>
        <v/>
      </c>
      <c r="AV58" s="122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1" t="n">
        <v>566</v>
      </c>
      <c r="D59" s="132" t="n">
        <v>110.9</v>
      </c>
      <c r="E59" s="133" t="n">
        <v>34</v>
      </c>
      <c r="F59" s="132" t="n">
        <v>85</v>
      </c>
      <c r="G59" s="17" t="n">
        <v>26</v>
      </c>
      <c r="H59" s="134" t="n">
        <v>92</v>
      </c>
      <c r="I59" s="135" t="n">
        <v>35500</v>
      </c>
      <c r="J59" s="135" t="inlineStr">
        <is>
          <t>8</t>
        </is>
      </c>
      <c r="K59" s="135" t="n">
        <v>29000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1</v>
      </c>
      <c r="S59" s="122" t="inlineStr">
        <is>
          <t>계</t>
        </is>
      </c>
      <c r="T59" s="5" t="n">
        <v>77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2">
        <f>S59</f>
        <v/>
      </c>
      <c r="AF59" s="122">
        <f>Q59&amp;"/"&amp;R59</f>
        <v/>
      </c>
      <c r="AH59" s="20">
        <f>IF(A59="","",A59)</f>
        <v/>
      </c>
      <c r="AI59" s="133">
        <f>IF(E59="","",E59)</f>
        <v/>
      </c>
      <c r="AJ59" s="122">
        <f>IF(AI59="","",$AJ$2)</f>
        <v/>
      </c>
      <c r="AK59" s="122" t="inlineStr">
        <is>
          <t>A</t>
        </is>
      </c>
      <c r="AL59" s="122" t="inlineStr">
        <is>
          <t>A+</t>
        </is>
      </c>
      <c r="AM59" s="122" t="inlineStr">
        <is>
          <t>B+</t>
        </is>
      </c>
      <c r="AN59" s="122">
        <f>IF(AI59="","",$AN$2)</f>
        <v/>
      </c>
      <c r="AO59" s="122">
        <f>IF(N59="","",IF(N59&gt;=$AO$1/100,"O","X"))</f>
        <v/>
      </c>
      <c r="AP59" s="122">
        <f>IF(I59="","",IF(I59&lt;=$AP$1,"O","X"))</f>
        <v/>
      </c>
      <c r="AQ59" s="122">
        <f>IF(O59="","",IF(O59&lt;=$AQ$1,"O","X"))</f>
        <v/>
      </c>
      <c r="AR59" s="122">
        <f>IF(M59="","",IF(M59&lt;=$AR$1,"O","X"))</f>
        <v/>
      </c>
      <c r="AS59" s="122" t="inlineStr">
        <is>
          <t>X</t>
        </is>
      </c>
      <c r="AT59" s="122">
        <f>IF(OR(F59="",AI59=""),"",IF(AND((F59&lt;=85),(AI59&gt;=15)),"O","X"))</f>
        <v/>
      </c>
      <c r="AU59" s="122">
        <f>IF(C59="","",IF(C59&gt;=$AU$1,"O","X"))</f>
        <v/>
      </c>
      <c r="AV59" s="122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1" t="n">
        <v>996</v>
      </c>
      <c r="D60" s="132" t="n">
        <v>98.59999999999999</v>
      </c>
      <c r="E60" s="133" t="n">
        <v>30</v>
      </c>
      <c r="F60" s="132" t="n">
        <v>72.90000000000001</v>
      </c>
      <c r="G60" s="17" t="n">
        <v>22</v>
      </c>
      <c r="H60" s="134" t="n">
        <v>323</v>
      </c>
      <c r="I60" s="135" t="n">
        <v>35000</v>
      </c>
      <c r="J60" s="135" t="inlineStr">
        <is>
          <t>10</t>
        </is>
      </c>
      <c r="K60" s="135" t="n">
        <v>27000</v>
      </c>
      <c r="L60" s="135" t="inlineStr">
        <is>
          <t>중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1</v>
      </c>
      <c r="S60" s="122" t="inlineStr">
        <is>
          <t>계</t>
        </is>
      </c>
      <c r="T60" s="5" t="inlineStr">
        <is>
          <t>77A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2">
        <f>S60</f>
        <v/>
      </c>
      <c r="AF60" s="122">
        <f>Q60&amp;"/"&amp;R60</f>
        <v/>
      </c>
      <c r="AH60" s="20">
        <f>IF(A60="","",A60)</f>
        <v/>
      </c>
      <c r="AI60" s="133">
        <f>IF(E60="","",E60)</f>
        <v/>
      </c>
      <c r="AJ60" s="122">
        <f>IF(AI60="","",$AJ$2)</f>
        <v/>
      </c>
      <c r="AK60" s="122" t="inlineStr">
        <is>
          <t>A</t>
        </is>
      </c>
      <c r="AL60" s="122" t="inlineStr">
        <is>
          <t>A+</t>
        </is>
      </c>
      <c r="AM60" s="122" t="inlineStr">
        <is>
          <t>B+</t>
        </is>
      </c>
      <c r="AN60" s="122">
        <f>IF(AI60="","",$AN$2)</f>
        <v/>
      </c>
      <c r="AO60" s="122">
        <f>IF(N60="","",IF(N60&gt;=$AO$1/100,"O","X"))</f>
        <v/>
      </c>
      <c r="AP60" s="122">
        <f>IF(I60="","",IF(I60&lt;=$AP$1,"O","X"))</f>
        <v/>
      </c>
      <c r="AQ60" s="122">
        <f>IF(O60="","",IF(O60&lt;=$AQ$1,"O","X"))</f>
        <v/>
      </c>
      <c r="AR60" s="122">
        <f>IF(M60="","",IF(M60&lt;=$AR$1,"O","X"))</f>
        <v/>
      </c>
      <c r="AS60" s="122" t="inlineStr">
        <is>
          <t>X</t>
        </is>
      </c>
      <c r="AT60" s="122">
        <f>IF(OR(F60="",AI60=""),"",IF(AND((F60&lt;=85),(AI60&gt;=15)),"O","X"))</f>
        <v/>
      </c>
      <c r="AU60" s="122">
        <f>IF(C60="","",IF(C60&gt;=$AU$1,"O","X"))</f>
        <v/>
      </c>
      <c r="AV60" s="122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1" t="n">
        <v>499</v>
      </c>
      <c r="D61" s="132" t="n">
        <v>83.09999999999999</v>
      </c>
      <c r="E61" s="133" t="n">
        <v>25</v>
      </c>
      <c r="F61" s="132" t="n">
        <v>59.9</v>
      </c>
      <c r="G61" s="17" t="n">
        <v>18</v>
      </c>
      <c r="H61" s="134" t="n">
        <v>126</v>
      </c>
      <c r="I61" s="135" t="n">
        <v>30000</v>
      </c>
      <c r="J61" s="135" t="inlineStr">
        <is>
          <t>16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4</v>
      </c>
      <c r="R61" s="122" t="n">
        <v>2</v>
      </c>
      <c r="S61" s="122" t="inlineStr">
        <is>
          <t>계</t>
        </is>
      </c>
      <c r="T61" s="5" t="inlineStr">
        <is>
          <t>163B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2">
        <f>S61</f>
        <v/>
      </c>
      <c r="AF61" s="122">
        <f>Q61&amp;"/"&amp;R61</f>
        <v/>
      </c>
      <c r="AH61" s="20">
        <f>IF(A61="","",A61)</f>
        <v/>
      </c>
      <c r="AI61" s="133">
        <f>IF(E61="","",E61)</f>
        <v/>
      </c>
      <c r="AJ61" s="122">
        <f>IF(AI61="","",$AJ$2)</f>
        <v/>
      </c>
      <c r="AK61" s="122" t="inlineStr">
        <is>
          <t>A</t>
        </is>
      </c>
      <c r="AL61" s="122" t="inlineStr">
        <is>
          <t>A+</t>
        </is>
      </c>
      <c r="AM61" s="122" t="inlineStr">
        <is>
          <t>B+</t>
        </is>
      </c>
      <c r="AN61" s="122">
        <f>IF(AI61="","",$AN$2)</f>
        <v/>
      </c>
      <c r="AO61" s="122">
        <f>IF(N61="","",IF(N61&gt;=$AO$1/100,"O","X"))</f>
        <v/>
      </c>
      <c r="AP61" s="122">
        <f>IF(I61="","",IF(I61&lt;=$AP$1,"O","X"))</f>
        <v/>
      </c>
      <c r="AQ61" s="122">
        <f>IF(O61="","",IF(O61&lt;=$AQ$1,"O","X"))</f>
        <v/>
      </c>
      <c r="AR61" s="122">
        <f>IF(M61="","",IF(M61&lt;=$AR$1,"O","X"))</f>
        <v/>
      </c>
      <c r="AS61" s="122" t="inlineStr">
        <is>
          <t>X</t>
        </is>
      </c>
      <c r="AT61" s="122">
        <f>IF(OR(F61="",AI61=""),"",IF(AND((F61&lt;=85),(AI61&gt;=15)),"O","X"))</f>
        <v/>
      </c>
      <c r="AU61" s="122">
        <f>IF(C61="","",IF(C61&gt;=$AU$1,"O","X"))</f>
        <v/>
      </c>
      <c r="AV61" s="122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1" t="n">
        <v>839</v>
      </c>
      <c r="D62" s="132" t="n">
        <v>83.8</v>
      </c>
      <c r="E62" s="133" t="n">
        <v>25</v>
      </c>
      <c r="F62" s="132" t="n">
        <v>60</v>
      </c>
      <c r="G62" s="17" t="n">
        <v>18</v>
      </c>
      <c r="H62" s="134" t="n">
        <v>74</v>
      </c>
      <c r="I62" s="135" t="n">
        <v>32000</v>
      </c>
      <c r="J62" s="135" t="inlineStr">
        <is>
          <t>중</t>
        </is>
      </c>
      <c r="K62" s="135" t="n">
        <v>26000</v>
      </c>
      <c r="L62" s="135" t="inlineStr">
        <is>
          <t>고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2" t="n">
        <v>3</v>
      </c>
      <c r="R62" s="122" t="n">
        <v>1</v>
      </c>
      <c r="S62" s="122" t="inlineStr">
        <is>
          <t>계</t>
        </is>
      </c>
      <c r="T62" s="5" t="n">
        <v>78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2">
        <f>S62</f>
        <v/>
      </c>
      <c r="AF62" s="122">
        <f>Q62&amp;"/"&amp;R62</f>
        <v/>
      </c>
      <c r="AH62" s="20">
        <f>IF(A62="","",A62)</f>
        <v/>
      </c>
      <c r="AI62" s="133">
        <f>IF(E62="","",E62)</f>
        <v/>
      </c>
      <c r="AJ62" s="122">
        <f>IF(AI62="","",$AJ$2)</f>
        <v/>
      </c>
      <c r="AK62" s="122" t="inlineStr">
        <is>
          <t>A</t>
        </is>
      </c>
      <c r="AL62" s="122" t="inlineStr">
        <is>
          <t>A+</t>
        </is>
      </c>
      <c r="AM62" s="122" t="inlineStr">
        <is>
          <t>B+</t>
        </is>
      </c>
      <c r="AN62" s="122">
        <f>IF(AI62="","",$AN$2)</f>
        <v/>
      </c>
      <c r="AO62" s="122">
        <f>IF(N62="","",IF(N62&gt;=$AO$1/100,"O","X"))</f>
        <v/>
      </c>
      <c r="AP62" s="122">
        <f>IF(I62="","",IF(I62&lt;=$AP$1,"O","X"))</f>
        <v/>
      </c>
      <c r="AQ62" s="122">
        <f>IF(O62="","",IF(O62&lt;=$AQ$1,"O","X"))</f>
        <v/>
      </c>
      <c r="AR62" s="122">
        <f>IF(M62="","",IF(M62&lt;=$AR$1,"O","X"))</f>
        <v/>
      </c>
      <c r="AS62" s="122" t="inlineStr">
        <is>
          <t>X</t>
        </is>
      </c>
      <c r="AT62" s="122">
        <f>IF(OR(F62="",AI62=""),"",IF(AND((F62&lt;=85),(AI62&gt;=15)),"O","X"))</f>
        <v/>
      </c>
      <c r="AU62" s="122">
        <f>IF(C62="","",IF(C62&gt;=$AU$1,"O","X"))</f>
        <v/>
      </c>
      <c r="AV62" s="122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1" t="n">
        <v>996</v>
      </c>
      <c r="D63" s="132" t="n">
        <v>85</v>
      </c>
      <c r="E63" s="133" t="n">
        <v>26</v>
      </c>
      <c r="F63" s="132" t="n">
        <v>60.8</v>
      </c>
      <c r="G63" s="17" t="n">
        <v>18</v>
      </c>
      <c r="H63" s="134" t="n">
        <v>337</v>
      </c>
      <c r="I63" s="135" t="n">
        <v>30000</v>
      </c>
      <c r="J63" s="135" t="inlineStr">
        <is>
          <t>11</t>
        </is>
      </c>
      <c r="K63" s="135" t="n">
        <v>24000</v>
      </c>
      <c r="L63" s="135" t="inlineStr">
        <is>
          <t>26</t>
        </is>
      </c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2" t="n">
        <v>2</v>
      </c>
      <c r="R63" s="122" t="n">
        <v>1</v>
      </c>
      <c r="S63" s="122" t="inlineStr">
        <is>
          <t>계</t>
        </is>
      </c>
      <c r="T63" s="5" t="inlineStr">
        <is>
          <t>78A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2">
        <f>S63</f>
        <v/>
      </c>
      <c r="AF63" s="122">
        <f>Q63&amp;"/"&amp;R63</f>
        <v/>
      </c>
      <c r="AH63" s="20">
        <f>IF(A63="","",A63)</f>
        <v/>
      </c>
      <c r="AI63" s="133">
        <f>IF(E63="","",E63)</f>
        <v/>
      </c>
      <c r="AJ63" s="122">
        <f>IF(AI63="","",$AJ$2)</f>
        <v/>
      </c>
      <c r="AK63" s="122" t="inlineStr">
        <is>
          <t>A</t>
        </is>
      </c>
      <c r="AL63" s="122" t="inlineStr">
        <is>
          <t>A+</t>
        </is>
      </c>
      <c r="AM63" s="122" t="inlineStr">
        <is>
          <t>B+</t>
        </is>
      </c>
      <c r="AN63" s="122">
        <f>IF(AI63="","",$AN$2)</f>
        <v/>
      </c>
      <c r="AO63" s="122">
        <f>IF(N63="","",IF(N63&gt;=$AO$1/100,"O","X"))</f>
        <v/>
      </c>
      <c r="AP63" s="122">
        <f>IF(I63="","",IF(I63&lt;=$AP$1,"O","X"))</f>
        <v/>
      </c>
      <c r="AQ63" s="122">
        <f>IF(O63="","",IF(O63&lt;=$AQ$1,"O","X"))</f>
        <v/>
      </c>
      <c r="AR63" s="122">
        <f>IF(M63="","",IF(M63&lt;=$AR$1,"O","X"))</f>
        <v/>
      </c>
      <c r="AS63" s="122" t="inlineStr">
        <is>
          <t>X</t>
        </is>
      </c>
      <c r="AT63" s="122">
        <f>IF(OR(F63="",AI63=""),"",IF(AND((F63&lt;=85),(AI63&gt;=15)),"O","X"))</f>
        <v/>
      </c>
      <c r="AU63" s="122">
        <f>IF(C63="","",IF(C63&gt;=$AU$1,"O","X"))</f>
        <v/>
      </c>
      <c r="AV63" s="122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1" t="n">
        <v>566</v>
      </c>
      <c r="D64" s="132" t="n">
        <v>87.90000000000001</v>
      </c>
      <c r="E64" s="133" t="n">
        <v>27</v>
      </c>
      <c r="F64" s="132" t="n">
        <v>59.9</v>
      </c>
      <c r="G64" s="17" t="n">
        <v>18</v>
      </c>
      <c r="H64" s="134" t="n">
        <v>164</v>
      </c>
      <c r="I64" s="135" t="n">
        <v>28000</v>
      </c>
      <c r="J64" s="135" t="inlineStr">
        <is>
          <t>중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2" t="n">
        <v>3</v>
      </c>
      <c r="R64" s="122" t="n">
        <v>2</v>
      </c>
      <c r="S64" s="122" t="inlineStr">
        <is>
          <t>복</t>
        </is>
      </c>
      <c r="T64" s="5" t="inlineStr">
        <is>
          <t>115A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2">
        <f>S64</f>
        <v/>
      </c>
      <c r="AF64" s="122">
        <f>Q64&amp;"/"&amp;R64</f>
        <v/>
      </c>
      <c r="AH64" s="20">
        <f>IF(A64="","",A64)</f>
        <v/>
      </c>
      <c r="AI64" s="133">
        <f>IF(E64="","",E64)</f>
        <v/>
      </c>
      <c r="AJ64" s="122">
        <f>IF(AI64="","",$AJ$2)</f>
        <v/>
      </c>
      <c r="AK64" s="122" t="inlineStr">
        <is>
          <t>A</t>
        </is>
      </c>
      <c r="AL64" s="122" t="inlineStr">
        <is>
          <t>A+</t>
        </is>
      </c>
      <c r="AM64" s="122" t="inlineStr">
        <is>
          <t>B+</t>
        </is>
      </c>
      <c r="AN64" s="122">
        <f>IF(AI64="","",$AN$2)</f>
        <v/>
      </c>
      <c r="AO64" s="122">
        <f>IF(N64="","",IF(N64&gt;=$AO$1/100,"O","X"))</f>
        <v/>
      </c>
      <c r="AP64" s="122">
        <f>IF(I64="","",IF(I64&lt;=$AP$1,"O","X"))</f>
        <v/>
      </c>
      <c r="AQ64" s="122">
        <f>IF(O64="","",IF(O64&lt;=$AQ$1,"O","X"))</f>
        <v/>
      </c>
      <c r="AR64" s="122">
        <f>IF(M64="","",IF(M64&lt;=$AR$1,"O","X"))</f>
        <v/>
      </c>
      <c r="AS64" s="122" t="inlineStr">
        <is>
          <t>X</t>
        </is>
      </c>
      <c r="AT64" s="122">
        <f>IF(OR(F64="",AI64=""),"",IF(AND((F64&lt;=85),(AI64&gt;=15)),"O","X"))</f>
        <v/>
      </c>
      <c r="AU64" s="122">
        <f>IF(C64="","",IF(C64&gt;=$AU$1,"O","X"))</f>
        <v/>
      </c>
      <c r="AV64" s="122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9" t="n">
        <v>2005</v>
      </c>
      <c r="AY65" s="139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9" t="n">
        <v>2005</v>
      </c>
      <c r="AY66" s="139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9" t="n">
        <v>2005</v>
      </c>
      <c r="AY67" s="139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9" t="n">
        <v>1994</v>
      </c>
      <c r="AY68" s="139" t="n">
        <v>5</v>
      </c>
      <c r="AZ68" s="139" t="n"/>
      <c r="BA68" s="122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9" t="n">
        <v>1994</v>
      </c>
      <c r="AY69" s="139" t="n">
        <v>5</v>
      </c>
      <c r="AZ69" s="139" t="n"/>
      <c r="BA69" s="122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9" t="n">
        <v>1994</v>
      </c>
      <c r="AY70" s="139" t="n">
        <v>5</v>
      </c>
      <c r="AZ70" s="139" t="n"/>
      <c r="BA70" s="73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9" t="n">
        <v>1995</v>
      </c>
      <c r="AY71" s="139" t="n">
        <v>8</v>
      </c>
      <c r="AZ71" s="139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9" t="n">
        <v>1995</v>
      </c>
      <c r="AY72" s="139" t="n">
        <v>8</v>
      </c>
      <c r="AZ72" s="139" t="n"/>
      <c r="BA72" s="122" t="n"/>
      <c r="BB72" s="122" t="inlineStr">
        <is>
          <t>10년 이하</t>
        </is>
      </c>
      <c r="BC72" s="122" t="inlineStr">
        <is>
          <t>10~20년</t>
        </is>
      </c>
      <c r="BD72" s="122" t="inlineStr">
        <is>
          <t>20~30년</t>
        </is>
      </c>
      <c r="BE72" s="122" t="inlineStr">
        <is>
          <t>30년 이상</t>
        </is>
      </c>
      <c r="BF72" s="122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9" t="n">
        <v>1994</v>
      </c>
      <c r="AY73" s="139" t="n">
        <v>12</v>
      </c>
      <c r="BA73" s="122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9" t="n">
        <v>1993</v>
      </c>
      <c r="AY74" s="139" t="n">
        <v>6</v>
      </c>
      <c r="BA74" s="73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9" t="n">
        <v>1993</v>
      </c>
      <c r="AY75" s="139" t="n">
        <v>6</v>
      </c>
      <c r="BA75" s="122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9" t="n">
        <v>2019</v>
      </c>
      <c r="AY76" s="139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9" t="n">
        <v>2019</v>
      </c>
      <c r="AY77" s="139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9" t="n">
        <v>2019</v>
      </c>
      <c r="AY78" s="139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9" t="n">
        <v>2019</v>
      </c>
      <c r="AY79" s="139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9" t="n">
        <v>1993</v>
      </c>
      <c r="AY80" s="139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9" t="n">
        <v>1993</v>
      </c>
      <c r="AY81" s="139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9" t="n">
        <v>1995</v>
      </c>
      <c r="AY82" s="139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9" t="n">
        <v>1995</v>
      </c>
      <c r="AY83" s="139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9" t="n">
        <v>1993</v>
      </c>
      <c r="AY84" s="139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9" t="n">
        <v>1993</v>
      </c>
      <c r="AY85" s="139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9" t="n">
        <v>1993</v>
      </c>
      <c r="AY86" s="139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9" t="n">
        <v>2017</v>
      </c>
      <c r="AY87" s="139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9" t="n">
        <v>2017</v>
      </c>
      <c r="AY88" s="139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9" t="n">
        <v>1993</v>
      </c>
      <c r="AY89" s="139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9" t="n">
        <v>2019</v>
      </c>
      <c r="AY90" s="139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9" t="n">
        <v>2019</v>
      </c>
      <c r="AY91" s="139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9" t="n">
        <v>2019</v>
      </c>
      <c r="AY92" s="139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9" t="n">
        <v>1994</v>
      </c>
      <c r="AY93" s="139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9" t="n">
        <v>1994</v>
      </c>
      <c r="AY94" s="139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9" t="n">
        <v>1994</v>
      </c>
      <c r="AY95" s="139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9" t="n">
        <v>1994</v>
      </c>
      <c r="AY96" s="139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9" t="n">
        <v>1994</v>
      </c>
      <c r="AY97" s="139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9" t="n">
        <v>1994</v>
      </c>
      <c r="AY98" s="139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9" t="n">
        <v>1994</v>
      </c>
      <c r="AY99" s="139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9" t="n">
        <v>1994</v>
      </c>
      <c r="AY100" s="139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9" t="n">
        <v>1994</v>
      </c>
      <c r="AY101" s="139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9" t="n">
        <v>1993</v>
      </c>
      <c r="AY102" s="139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9" t="n">
        <v>1993</v>
      </c>
      <c r="AY103" s="139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9" t="n">
        <v>1994</v>
      </c>
      <c r="AY104" s="139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9" t="n">
        <v>1993</v>
      </c>
      <c r="AY105" s="139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9" t="n">
        <v>1993</v>
      </c>
      <c r="AY106" s="139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9" t="n">
        <v>1994</v>
      </c>
      <c r="AY107" s="139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9" t="n">
        <v>2019</v>
      </c>
      <c r="AY108" s="139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9" t="n">
        <v>1993</v>
      </c>
      <c r="AY109" s="139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9" t="n">
        <v>1993</v>
      </c>
      <c r="AY110" s="139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9" t="n">
        <v>2019</v>
      </c>
      <c r="AY111" s="139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9" t="n">
        <v>2019</v>
      </c>
      <c r="AY112" s="139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9" t="n">
        <v>1994</v>
      </c>
      <c r="AY113" s="139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9" t="n">
        <v>1994</v>
      </c>
      <c r="AY114" s="139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9" t="n">
        <v>2019</v>
      </c>
      <c r="AY115" s="139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9" t="n">
        <v>1992</v>
      </c>
      <c r="AY116" s="139" t="n">
        <v>1</v>
      </c>
      <c r="AZ116" s="139" t="n"/>
      <c r="BA116" s="122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9" t="n">
        <v>1992</v>
      </c>
      <c r="AY117" s="139" t="n">
        <v>1</v>
      </c>
      <c r="AZ117" s="139" t="n"/>
      <c r="BA117" s="122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9" t="n">
        <v>1993</v>
      </c>
      <c r="AY118" s="139" t="n">
        <v>1</v>
      </c>
      <c r="AZ118" s="139" t="n"/>
      <c r="BA118" s="122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9" t="n">
        <v>1993</v>
      </c>
      <c r="AY119" s="139" t="n">
        <v>1</v>
      </c>
      <c r="AZ119" s="139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9" t="n">
        <v>1993</v>
      </c>
      <c r="AY120" s="139" t="n">
        <v>1</v>
      </c>
      <c r="AZ120" s="139" t="n"/>
      <c r="BA120" s="122" t="n"/>
      <c r="BB120" s="122" t="inlineStr">
        <is>
          <t>10년 이하</t>
        </is>
      </c>
      <c r="BC120" s="122" t="inlineStr">
        <is>
          <t>10~20년</t>
        </is>
      </c>
      <c r="BD120" s="122" t="inlineStr">
        <is>
          <t>20~30년</t>
        </is>
      </c>
      <c r="BE120" s="122" t="inlineStr">
        <is>
          <t>30년 이상</t>
        </is>
      </c>
      <c r="BF120" s="122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9" t="n">
        <v>1995</v>
      </c>
      <c r="AY121" s="139" t="n">
        <v>8</v>
      </c>
      <c r="BA121" s="122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9" t="n">
        <v>1995</v>
      </c>
      <c r="AY122" s="139" t="n">
        <v>8</v>
      </c>
      <c r="BA122" s="122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9" t="n">
        <v>1992</v>
      </c>
      <c r="AY123" s="139" t="n">
        <v>5</v>
      </c>
      <c r="BA123" s="122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9" t="n">
        <v>1992</v>
      </c>
      <c r="AY124" s="139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9" t="n">
        <v>1992</v>
      </c>
      <c r="AY125" s="139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9" t="n">
        <v>1991</v>
      </c>
      <c r="AY126" s="139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9" t="n">
        <v>1991</v>
      </c>
      <c r="AY127" s="139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9" t="n">
        <v>1991</v>
      </c>
      <c r="AY128" s="139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9" t="n">
        <v>1991</v>
      </c>
      <c r="AY129" s="139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9" t="n">
        <v>1991</v>
      </c>
      <c r="AY130" s="139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9" t="n">
        <v>1991</v>
      </c>
      <c r="AY131" s="139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9" t="n">
        <v>1995</v>
      </c>
      <c r="AY132" s="139" t="n">
        <v>4</v>
      </c>
      <c r="AZ132" s="139" t="n"/>
      <c r="BA132" s="122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9" t="n">
        <v>1995</v>
      </c>
      <c r="AY133" s="139" t="n">
        <v>4</v>
      </c>
      <c r="AZ133" s="139" t="n"/>
      <c r="BA133" s="122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9" t="n">
        <v>1995</v>
      </c>
      <c r="AY134" s="139" t="n">
        <v>4</v>
      </c>
      <c r="AZ134" s="139" t="n"/>
      <c r="BA134" s="73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9" t="n">
        <v>1993</v>
      </c>
      <c r="AY135" s="139" t="n">
        <v>5</v>
      </c>
      <c r="AZ135" s="139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9" t="n">
        <v>1993</v>
      </c>
      <c r="AY136" s="139" t="n">
        <v>11</v>
      </c>
      <c r="AZ136" s="139" t="n"/>
      <c r="BA136" s="122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9" t="n">
        <v>1994</v>
      </c>
      <c r="AY137" s="139" t="n">
        <v>9</v>
      </c>
      <c r="BA137" s="122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9" t="n">
        <v>1994</v>
      </c>
      <c r="AY138" s="139" t="n">
        <v>9</v>
      </c>
      <c r="BA138" s="122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9" t="n">
        <v>1994</v>
      </c>
      <c r="AY139" s="139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9" t="n">
        <v>1992</v>
      </c>
      <c r="AY140" s="139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9" t="n">
        <v>1992</v>
      </c>
      <c r="AY141" s="139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9" t="n">
        <v>1992</v>
      </c>
      <c r="AY142" s="139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9" t="n">
        <v>1993</v>
      </c>
      <c r="AY143" s="139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9" t="n">
        <v>1993</v>
      </c>
      <c r="AY144" s="139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9" t="n">
        <v>1992</v>
      </c>
      <c r="AY145" s="139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9" t="n">
        <v>1992</v>
      </c>
      <c r="AY146" s="139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9" t="n">
        <v>1993</v>
      </c>
      <c r="AY147" s="139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9" t="n">
        <v>1993</v>
      </c>
      <c r="AY148" s="139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9" t="n">
        <v>1993</v>
      </c>
      <c r="AY149" s="139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9" t="n">
        <v>1993</v>
      </c>
      <c r="AY150" s="139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9" t="n">
        <v>1992</v>
      </c>
      <c r="AY151" s="139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9" t="n">
        <v>1993</v>
      </c>
      <c r="AY152" s="139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9" t="n">
        <v>1993</v>
      </c>
      <c r="AY153" s="139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9" t="n">
        <v>1997</v>
      </c>
      <c r="AY154" s="139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9" t="n">
        <v>1997</v>
      </c>
      <c r="AY155" s="139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9" t="n">
        <v>1994</v>
      </c>
      <c r="AY156" s="139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9" t="n">
        <v>1994</v>
      </c>
      <c r="AY157" s="139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9" t="n">
        <v>1994</v>
      </c>
      <c r="AY158" s="139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9" t="n">
        <v>1994</v>
      </c>
      <c r="AY159" s="139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9" t="n">
        <v>1994</v>
      </c>
      <c r="AY160" s="139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9" t="n">
        <v>1994</v>
      </c>
      <c r="AY161" s="139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9" t="n">
        <v>1994</v>
      </c>
      <c r="AY162" s="139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9" t="n">
        <v>1992</v>
      </c>
      <c r="AY163" s="139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9" t="n">
        <v>1992</v>
      </c>
      <c r="AY164" s="139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9" t="n">
        <v>1992</v>
      </c>
      <c r="AY165" s="139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9" t="n">
        <v>1992</v>
      </c>
      <c r="AY166" s="139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9" t="n">
        <v>1994</v>
      </c>
      <c r="AY167" s="139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9" t="n">
        <v>1992</v>
      </c>
      <c r="AY168" s="139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9" t="n">
        <v>1992</v>
      </c>
      <c r="AY169" s="139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9" t="n">
        <v>1992</v>
      </c>
      <c r="AY170" s="139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9" t="n">
        <v>1993</v>
      </c>
      <c r="AY171" s="139" t="n">
        <v>11</v>
      </c>
      <c r="AZ171" s="139" t="n"/>
      <c r="BA171" s="122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9" t="n">
        <v>1993</v>
      </c>
      <c r="AY172" s="139" t="n">
        <v>11</v>
      </c>
      <c r="AZ172" s="139" t="n"/>
      <c r="BA172" s="122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9" t="n">
        <v>1993</v>
      </c>
      <c r="AY173" s="139" t="n">
        <v>11</v>
      </c>
      <c r="AZ173" s="139" t="n"/>
      <c r="BA173" s="73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9" t="n">
        <v>1993</v>
      </c>
      <c r="AY174" s="139" t="n">
        <v>11</v>
      </c>
      <c r="AZ174" s="139" t="n"/>
      <c r="BA174" s="122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9" t="n">
        <v>1995</v>
      </c>
      <c r="AY175" s="139" t="n">
        <v>12</v>
      </c>
      <c r="AZ175" s="139" t="n"/>
      <c r="BA175" s="122" t="n"/>
      <c r="BB175" s="122" t="inlineStr">
        <is>
          <t>10년 이하</t>
        </is>
      </c>
      <c r="BC175" s="122" t="inlineStr">
        <is>
          <t>10~20년</t>
        </is>
      </c>
      <c r="BD175" s="122" t="inlineStr">
        <is>
          <t>20~30년</t>
        </is>
      </c>
      <c r="BE175" s="122" t="inlineStr">
        <is>
          <t>30년 이상</t>
        </is>
      </c>
      <c r="BF175" s="122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9" t="n">
        <v>1995</v>
      </c>
      <c r="AY176" s="139" t="n">
        <v>12</v>
      </c>
      <c r="BA176" s="122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9" t="n">
        <v>1997</v>
      </c>
      <c r="AY177" s="139" t="n">
        <v>5</v>
      </c>
      <c r="BA177" s="73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9" t="n">
        <v>1997</v>
      </c>
      <c r="AY178" s="139" t="n">
        <v>5</v>
      </c>
      <c r="BA178" s="122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9" t="n">
        <v>1994</v>
      </c>
      <c r="AY179" s="139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9" t="n">
        <v>1994</v>
      </c>
      <c r="AY180" s="139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9" t="n">
        <v>1994</v>
      </c>
      <c r="AY181" s="139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9" t="n">
        <v>1994</v>
      </c>
      <c r="AY182" s="139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9" t="n">
        <v>1997</v>
      </c>
      <c r="AY183" s="139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9" t="n">
        <v>1997</v>
      </c>
      <c r="AY184" s="139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9" t="n">
        <v>1996</v>
      </c>
      <c r="AY185" s="139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9" t="n">
        <v>1996</v>
      </c>
      <c r="AY186" s="139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9" t="n">
        <v>1995</v>
      </c>
      <c r="AY187" s="139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9" t="n">
        <v>1995</v>
      </c>
      <c r="AY188" s="139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9" t="n">
        <v>1995</v>
      </c>
      <c r="AY189" s="139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9" t="n">
        <v>1998</v>
      </c>
      <c r="AY190" s="139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9" t="n">
        <v>1998</v>
      </c>
      <c r="AY191" s="139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9" t="n">
        <v>1998</v>
      </c>
      <c r="AY192" s="139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9" t="n">
        <v>1996</v>
      </c>
      <c r="AY193" s="139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9" t="n">
        <v>1996</v>
      </c>
      <c r="AY194" s="139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9" t="n">
        <v>1996</v>
      </c>
      <c r="AY195" s="139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9" t="n">
        <v>1997</v>
      </c>
      <c r="AY196" s="139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9" t="n">
        <v>1997</v>
      </c>
      <c r="AY197" s="139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9" t="n">
        <v>1998</v>
      </c>
      <c r="AY198" s="139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9" t="n">
        <v>1998</v>
      </c>
      <c r="AY199" s="139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9" t="n">
        <v>1998</v>
      </c>
      <c r="AY200" s="139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9" t="n">
        <v>1998</v>
      </c>
      <c r="AY201" s="139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9" t="n">
        <v>1997</v>
      </c>
      <c r="AY202" s="139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9" t="n">
        <v>1997</v>
      </c>
      <c r="AY203" s="139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9" t="n">
        <v>1997</v>
      </c>
      <c r="AY204" s="139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9" t="n">
        <v>1996</v>
      </c>
      <c r="AY205" s="139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9" t="n">
        <v>1996</v>
      </c>
      <c r="AY206" s="139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9" t="n">
        <v>1994</v>
      </c>
      <c r="AY207" s="139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9" t="n">
        <v>1994</v>
      </c>
      <c r="AY208" s="139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9" t="n">
        <v>1984</v>
      </c>
      <c r="AY209" s="139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9" t="n">
        <v>1984</v>
      </c>
      <c r="AY210" s="139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9" t="n">
        <v>1994</v>
      </c>
      <c r="AY211" s="139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9" t="n">
        <v>1994</v>
      </c>
      <c r="AY212" s="139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9" t="n">
        <v>1997</v>
      </c>
      <c r="AY213" s="139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9" t="n">
        <v>1997</v>
      </c>
      <c r="AY214" s="139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9" t="n">
        <v>1997</v>
      </c>
      <c r="AY215" s="139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9" t="n">
        <v>1997</v>
      </c>
      <c r="AY216" s="139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9" t="n">
        <v>1997</v>
      </c>
      <c r="AY217" s="139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9" t="n">
        <v>1997</v>
      </c>
      <c r="AY218" s="139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9" t="n">
        <v>2002</v>
      </c>
      <c r="AY219" s="139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9" t="n">
        <v>2002</v>
      </c>
      <c r="AY220" s="139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9" t="n">
        <v>1990</v>
      </c>
      <c r="AY221" s="139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9" t="n">
        <v>1990</v>
      </c>
      <c r="AY222" s="139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9" t="n">
        <v>1994</v>
      </c>
      <c r="AY223" s="139" t="n">
        <v>1</v>
      </c>
      <c r="AZ223" s="139" t="n"/>
      <c r="BA223" s="122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9" t="n">
        <v>1994</v>
      </c>
      <c r="AY224" s="139" t="n">
        <v>1</v>
      </c>
      <c r="AZ224" s="139" t="n"/>
      <c r="BA224" s="122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9" t="n">
        <v>1995</v>
      </c>
      <c r="AY225" s="139" t="n">
        <v>3</v>
      </c>
      <c r="AZ225" s="139" t="n"/>
      <c r="BA225" s="122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9" t="n">
        <v>1995</v>
      </c>
      <c r="AY226" s="139" t="n">
        <v>3</v>
      </c>
      <c r="AZ226" s="139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9" t="n">
        <v>1995</v>
      </c>
      <c r="AY227" s="139" t="n">
        <v>3</v>
      </c>
      <c r="AZ227" s="139" t="n"/>
      <c r="BA227" s="122" t="n"/>
      <c r="BB227" s="122" t="inlineStr">
        <is>
          <t>10년 이하</t>
        </is>
      </c>
      <c r="BC227" s="122" t="inlineStr">
        <is>
          <t>10~20년</t>
        </is>
      </c>
      <c r="BD227" s="122" t="inlineStr">
        <is>
          <t>20~30년</t>
        </is>
      </c>
      <c r="BE227" s="122" t="inlineStr">
        <is>
          <t>30년 이상</t>
        </is>
      </c>
      <c r="BF227" s="122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9" t="n">
        <v>1994</v>
      </c>
      <c r="AY228" s="139" t="n">
        <v>9</v>
      </c>
      <c r="BA228" s="122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9" t="n">
        <v>1993</v>
      </c>
      <c r="AY229" s="139" t="n">
        <v>11</v>
      </c>
      <c r="BA229" s="122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9" t="n">
        <v>2000</v>
      </c>
      <c r="AY230" s="139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9" t="n">
        <v>2000</v>
      </c>
      <c r="AY231" s="139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9" t="n">
        <v>1994</v>
      </c>
      <c r="AY232" s="139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9" t="n">
        <v>1993</v>
      </c>
      <c r="AY233" s="139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9" t="n"/>
      <c r="AY234" s="139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9" t="n"/>
      <c r="AY235" s="139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9" t="n"/>
      <c r="AY236" s="139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9" t="n"/>
      <c r="AY237" s="139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9" t="n"/>
      <c r="AY238" s="139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9" t="n"/>
      <c r="AY239" s="139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9" t="n"/>
      <c r="AY240" s="139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9" t="n"/>
      <c r="AY241" s="139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9" t="n"/>
      <c r="AY242" s="139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9" t="n"/>
      <c r="AY243" s="139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2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2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2" t="n"/>
      <c r="BB340" s="122" t="inlineStr">
        <is>
          <t>10년 이하</t>
        </is>
      </c>
      <c r="BC340" s="122" t="inlineStr">
        <is>
          <t>10~20년</t>
        </is>
      </c>
      <c r="BD340" s="122" t="inlineStr">
        <is>
          <t>20~30년</t>
        </is>
      </c>
      <c r="BE340" s="122" t="inlineStr">
        <is>
          <t>30년 이상</t>
        </is>
      </c>
      <c r="BF340" s="122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2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2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2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2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2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2" t="n"/>
      <c r="BB408" s="122" t="inlineStr">
        <is>
          <t>10년 이하</t>
        </is>
      </c>
      <c r="BC408" s="122" t="inlineStr">
        <is>
          <t>10~20년</t>
        </is>
      </c>
      <c r="BD408" s="122" t="inlineStr">
        <is>
          <t>20~30년</t>
        </is>
      </c>
      <c r="BE408" s="122" t="inlineStr">
        <is>
          <t>30년 이상</t>
        </is>
      </c>
      <c r="BF408" s="122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2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2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2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2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2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2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2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2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2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2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2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2" t="n"/>
      <c r="BB468" s="122" t="inlineStr">
        <is>
          <t>10년 이하</t>
        </is>
      </c>
      <c r="BC468" s="122" t="inlineStr">
        <is>
          <t>10~20년</t>
        </is>
      </c>
      <c r="BD468" s="122" t="inlineStr">
        <is>
          <t>20~30년</t>
        </is>
      </c>
      <c r="BE468" s="122" t="inlineStr">
        <is>
          <t>30년 이상</t>
        </is>
      </c>
      <c r="BF468" s="122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2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2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2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2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2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2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2" t="n"/>
      <c r="BB532" s="122" t="inlineStr">
        <is>
          <t>10년 이하</t>
        </is>
      </c>
      <c r="BC532" s="122" t="inlineStr">
        <is>
          <t>10~20년</t>
        </is>
      </c>
      <c r="BD532" s="122" t="inlineStr">
        <is>
          <t>20~30년</t>
        </is>
      </c>
      <c r="BE532" s="122" t="inlineStr">
        <is>
          <t>30년 이상</t>
        </is>
      </c>
      <c r="BF532" s="122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2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2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2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420" operator="lessThan" dxfId="2">
      <formula>15.1</formula>
    </cfRule>
    <cfRule type="cellIs" priority="76421" operator="lessThan" dxfId="2760">
      <formula>18.1</formula>
    </cfRule>
    <cfRule type="cellIs" priority="76422" operator="lessThan" dxfId="2759">
      <formula>21.1</formula>
    </cfRule>
    <cfRule type="cellIs" priority="76423" operator="lessThan" dxfId="2758">
      <formula>24.1</formula>
    </cfRule>
    <cfRule type="cellIs" priority="76424" operator="lessThan" dxfId="1">
      <formula>30</formula>
    </cfRule>
    <cfRule type="cellIs" priority="76425" operator="lessThan" dxfId="2756">
      <formula>34.1</formula>
    </cfRule>
  </conditionalFormatting>
  <conditionalFormatting sqref="Z3">
    <cfRule type="colorScale" priority="764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417" operator="greaterThan" dxfId="13">
      <formula>0.9</formula>
    </cfRule>
    <cfRule type="cellIs" priority="76418" operator="greaterThan" dxfId="12">
      <formula>0.85</formula>
    </cfRule>
  </conditionalFormatting>
  <conditionalFormatting sqref="N2">
    <cfRule type="cellIs" priority="76415" operator="greaterThan" dxfId="13">
      <formula>0.9</formula>
    </cfRule>
    <cfRule type="cellIs" priority="76416" operator="greaterThan" dxfId="12">
      <formula>0.85</formula>
    </cfRule>
  </conditionalFormatting>
  <conditionalFormatting sqref="AV4">
    <cfRule type="expression" priority="1097" dxfId="17">
      <formula>AV4="X"</formula>
    </cfRule>
    <cfRule type="expression" priority="1098" dxfId="16">
      <formula>AV4="후보"</formula>
    </cfRule>
  </conditionalFormatting>
  <conditionalFormatting sqref="AC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17">
      <formula>AV5="X"</formula>
    </cfRule>
    <cfRule type="expression" priority="1080" dxfId="16">
      <formula>AV5="후보"</formula>
    </cfRule>
  </conditionalFormatting>
  <conditionalFormatting sqref="AC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17">
      <formula>AV6="X"</formula>
    </cfRule>
    <cfRule type="expression" priority="1062" dxfId="16">
      <formula>AV6="후보"</formula>
    </cfRule>
  </conditionalFormatting>
  <conditionalFormatting sqref="AC6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17">
      <formula>AV7="X"</formula>
    </cfRule>
    <cfRule type="expression" priority="1044" dxfId="16">
      <formula>AV7="후보"</formula>
    </cfRule>
  </conditionalFormatting>
  <conditionalFormatting sqref="AC7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17">
      <formula>AV8="X"</formula>
    </cfRule>
    <cfRule type="expression" priority="1026" dxfId="16">
      <formula>AV8="후보"</formula>
    </cfRule>
  </conditionalFormatting>
  <conditionalFormatting sqref="AC8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17">
      <formula>AV9="X"</formula>
    </cfRule>
    <cfRule type="expression" priority="1008" dxfId="16">
      <formula>AV9="후보"</formula>
    </cfRule>
  </conditionalFormatting>
  <conditionalFormatting sqref="AC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17">
      <formula>AV10="X"</formula>
    </cfRule>
    <cfRule type="expression" priority="990" dxfId="16">
      <formula>AV10="후보"</formula>
    </cfRule>
  </conditionalFormatting>
  <conditionalFormatting sqref="AC10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17">
      <formula>AV11="X"</formula>
    </cfRule>
    <cfRule type="expression" priority="972" dxfId="16">
      <formula>AV11="후보"</formula>
    </cfRule>
  </conditionalFormatting>
  <conditionalFormatting sqref="AC1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17">
      <formula>AV12="X"</formula>
    </cfRule>
    <cfRule type="expression" priority="954" dxfId="16">
      <formula>AV12="후보"</formula>
    </cfRule>
  </conditionalFormatting>
  <conditionalFormatting sqref="AC12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17">
      <formula>AV13="X"</formula>
    </cfRule>
    <cfRule type="expression" priority="936" dxfId="16">
      <formula>AV13="후보"</formula>
    </cfRule>
  </conditionalFormatting>
  <conditionalFormatting sqref="AC13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17">
      <formula>AV14="X"</formula>
    </cfRule>
    <cfRule type="expression" priority="918" dxfId="16">
      <formula>AV14="후보"</formula>
    </cfRule>
  </conditionalFormatting>
  <conditionalFormatting sqref="AC1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17">
      <formula>AV15="X"</formula>
    </cfRule>
    <cfRule type="expression" priority="900" dxfId="16">
      <formula>AV15="후보"</formula>
    </cfRule>
  </conditionalFormatting>
  <conditionalFormatting sqref="AC15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17">
      <formula>AV16="X"</formula>
    </cfRule>
    <cfRule type="expression" priority="882" dxfId="16">
      <formula>AV16="후보"</formula>
    </cfRule>
  </conditionalFormatting>
  <conditionalFormatting sqref="AC1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17">
      <formula>AV17="X"</formula>
    </cfRule>
    <cfRule type="expression" priority="864" dxfId="16">
      <formula>AV17="후보"</formula>
    </cfRule>
  </conditionalFormatting>
  <conditionalFormatting sqref="AC17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17">
      <formula>AV18="X"</formula>
    </cfRule>
    <cfRule type="expression" priority="846" dxfId="16">
      <formula>AV18="후보"</formula>
    </cfRule>
  </conditionalFormatting>
  <conditionalFormatting sqref="AC1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17">
      <formula>AV19="X"</formula>
    </cfRule>
    <cfRule type="expression" priority="828" dxfId="16">
      <formula>AV19="후보"</formula>
    </cfRule>
  </conditionalFormatting>
  <conditionalFormatting sqref="AC1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17">
      <formula>AV20="X"</formula>
    </cfRule>
    <cfRule type="expression" priority="810" dxfId="16">
      <formula>AV20="후보"</formula>
    </cfRule>
  </conditionalFormatting>
  <conditionalFormatting sqref="AC20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2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17">
      <formula>AV21="X"</formula>
    </cfRule>
    <cfRule type="expression" priority="792" dxfId="16">
      <formula>AV21="후보"</formula>
    </cfRule>
  </conditionalFormatting>
  <conditionalFormatting sqref="AC21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2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17">
      <formula>AV22="X"</formula>
    </cfRule>
    <cfRule type="expression" priority="774" dxfId="16">
      <formula>AV22="후보"</formula>
    </cfRule>
  </conditionalFormatting>
  <conditionalFormatting sqref="AC22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2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17">
      <formula>AV23="X"</formula>
    </cfRule>
    <cfRule type="expression" priority="756" dxfId="16">
      <formula>AV23="후보"</formula>
    </cfRule>
  </conditionalFormatting>
  <conditionalFormatting sqref="AC23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3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17">
      <formula>AV24="X"</formula>
    </cfRule>
    <cfRule type="expression" priority="738" dxfId="16">
      <formula>AV24="후보"</formula>
    </cfRule>
  </conditionalFormatting>
  <conditionalFormatting sqref="AC24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4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17">
      <formula>AV25="X"</formula>
    </cfRule>
    <cfRule type="expression" priority="720" dxfId="16">
      <formula>AV25="후보"</formula>
    </cfRule>
  </conditionalFormatting>
  <conditionalFormatting sqref="AC2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17">
      <formula>AV26="X"</formula>
    </cfRule>
    <cfRule type="expression" priority="702" dxfId="16">
      <formula>AV26="후보"</formula>
    </cfRule>
  </conditionalFormatting>
  <conditionalFormatting sqref="AC2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17">
      <formula>AV27="X"</formula>
    </cfRule>
    <cfRule type="expression" priority="684" dxfId="16">
      <formula>AV27="후보"</formula>
    </cfRule>
  </conditionalFormatting>
  <conditionalFormatting sqref="AC27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7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17">
      <formula>AV28="X"</formula>
    </cfRule>
    <cfRule type="expression" priority="666" dxfId="16">
      <formula>AV28="후보"</formula>
    </cfRule>
  </conditionalFormatting>
  <conditionalFormatting sqref="AC2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17">
      <formula>AV29="X"</formula>
    </cfRule>
    <cfRule type="expression" priority="648" dxfId="16">
      <formula>AV29="후보"</formula>
    </cfRule>
  </conditionalFormatting>
  <conditionalFormatting sqref="AC2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17">
      <formula>AV30="X"</formula>
    </cfRule>
    <cfRule type="expression" priority="630" dxfId="16">
      <formula>AV30="후보"</formula>
    </cfRule>
  </conditionalFormatting>
  <conditionalFormatting sqref="AC3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17">
      <formula>AV31="X"</formula>
    </cfRule>
    <cfRule type="expression" priority="612" dxfId="16">
      <formula>AV31="후보"</formula>
    </cfRule>
  </conditionalFormatting>
  <conditionalFormatting sqref="AC31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1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17">
      <formula>AV32="X"</formula>
    </cfRule>
    <cfRule type="expression" priority="594" dxfId="16">
      <formula>AV32="후보"</formula>
    </cfRule>
  </conditionalFormatting>
  <conditionalFormatting sqref="AC3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17">
      <formula>AV33="X"</formula>
    </cfRule>
    <cfRule type="expression" priority="576" dxfId="16">
      <formula>AV33="후보"</formula>
    </cfRule>
  </conditionalFormatting>
  <conditionalFormatting sqref="AC33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3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17">
      <formula>AV34="X"</formula>
    </cfRule>
    <cfRule type="expression" priority="558" dxfId="16">
      <formula>AV34="후보"</formula>
    </cfRule>
  </conditionalFormatting>
  <conditionalFormatting sqref="AC34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17">
      <formula>AV35="X"</formula>
    </cfRule>
    <cfRule type="expression" priority="540" dxfId="16">
      <formula>AV35="후보"</formula>
    </cfRule>
  </conditionalFormatting>
  <conditionalFormatting sqref="AC3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17">
      <formula>AV36="X"</formula>
    </cfRule>
    <cfRule type="expression" priority="522" dxfId="16">
      <formula>AV36="후보"</formula>
    </cfRule>
  </conditionalFormatting>
  <conditionalFormatting sqref="AC3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17">
      <formula>AV37="X"</formula>
    </cfRule>
    <cfRule type="expression" priority="504" dxfId="16">
      <formula>AV37="후보"</formula>
    </cfRule>
  </conditionalFormatting>
  <conditionalFormatting sqref="AC3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17">
      <formula>AV38="X"</formula>
    </cfRule>
    <cfRule type="expression" priority="486" dxfId="16">
      <formula>AV38="후보"</formula>
    </cfRule>
  </conditionalFormatting>
  <conditionalFormatting sqref="AC3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17">
      <formula>AV39="X"</formula>
    </cfRule>
    <cfRule type="expression" priority="468" dxfId="16">
      <formula>AV39="후보"</formula>
    </cfRule>
  </conditionalFormatting>
  <conditionalFormatting sqref="AC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17">
      <formula>AV40="X"</formula>
    </cfRule>
    <cfRule type="expression" priority="450" dxfId="16">
      <formula>AV40="후보"</formula>
    </cfRule>
  </conditionalFormatting>
  <conditionalFormatting sqref="AC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4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17">
      <formula>AV41="X"</formula>
    </cfRule>
    <cfRule type="expression" priority="432" dxfId="16">
      <formula>AV41="후보"</formula>
    </cfRule>
  </conditionalFormatting>
  <conditionalFormatting sqref="AC41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17">
      <formula>AV42="X"</formula>
    </cfRule>
    <cfRule type="expression" priority="414" dxfId="16">
      <formula>AV42="후보"</formula>
    </cfRule>
  </conditionalFormatting>
  <conditionalFormatting sqref="AC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17">
      <formula>AV43="X"</formula>
    </cfRule>
    <cfRule type="expression" priority="396" dxfId="16">
      <formula>AV43="후보"</formula>
    </cfRule>
  </conditionalFormatting>
  <conditionalFormatting sqref="AC4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17">
      <formula>AV44="X"</formula>
    </cfRule>
    <cfRule type="expression" priority="378" dxfId="16">
      <formula>AV44="후보"</formula>
    </cfRule>
  </conditionalFormatting>
  <conditionalFormatting sqref="AC4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17">
      <formula>AV45="X"</formula>
    </cfRule>
    <cfRule type="expression" priority="360" dxfId="16">
      <formula>AV45="후보"</formula>
    </cfRule>
  </conditionalFormatting>
  <conditionalFormatting sqref="AC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4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17">
      <formula>AV46="X"</formula>
    </cfRule>
    <cfRule type="expression" priority="342" dxfId="16">
      <formula>AV46="후보"</formula>
    </cfRule>
  </conditionalFormatting>
  <conditionalFormatting sqref="AC4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17">
      <formula>AV47="X"</formula>
    </cfRule>
    <cfRule type="expression" priority="324" dxfId="16">
      <formula>AV47="후보"</formula>
    </cfRule>
  </conditionalFormatting>
  <conditionalFormatting sqref="AC47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17">
      <formula>AV48="X"</formula>
    </cfRule>
    <cfRule type="expression" priority="306" dxfId="16">
      <formula>AV48="후보"</formula>
    </cfRule>
  </conditionalFormatting>
  <conditionalFormatting sqref="AC4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17">
      <formula>AV49="X"</formula>
    </cfRule>
    <cfRule type="expression" priority="288" dxfId="16">
      <formula>AV49="후보"</formula>
    </cfRule>
  </conditionalFormatting>
  <conditionalFormatting sqref="AC4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17">
      <formula>AV50="X"</formula>
    </cfRule>
    <cfRule type="expression" priority="270" dxfId="16">
      <formula>AV50="후보"</formula>
    </cfRule>
  </conditionalFormatting>
  <conditionalFormatting sqref="AC5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17">
      <formula>AV51="X"</formula>
    </cfRule>
    <cfRule type="expression" priority="252" dxfId="16">
      <formula>AV51="후보"</formula>
    </cfRule>
  </conditionalFormatting>
  <conditionalFormatting sqref="AC5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1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17">
      <formula>AV52="X"</formula>
    </cfRule>
    <cfRule type="expression" priority="234" dxfId="16">
      <formula>AV52="후보"</formula>
    </cfRule>
  </conditionalFormatting>
  <conditionalFormatting sqref="AC52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17">
      <formula>AV53="X"</formula>
    </cfRule>
    <cfRule type="expression" priority="216" dxfId="16">
      <formula>AV53="후보"</formula>
    </cfRule>
  </conditionalFormatting>
  <conditionalFormatting sqref="AC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17">
      <formula>AV54="X"</formula>
    </cfRule>
    <cfRule type="expression" priority="198" dxfId="16">
      <formula>AV54="후보"</formula>
    </cfRule>
  </conditionalFormatting>
  <conditionalFormatting sqref="AC54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17">
      <formula>AV55="X"</formula>
    </cfRule>
    <cfRule type="expression" priority="180" dxfId="16">
      <formula>AV55="후보"</formula>
    </cfRule>
  </conditionalFormatting>
  <conditionalFormatting sqref="AC5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17">
      <formula>AV56="X"</formula>
    </cfRule>
    <cfRule type="expression" priority="162" dxfId="16">
      <formula>AV56="후보"</formula>
    </cfRule>
  </conditionalFormatting>
  <conditionalFormatting sqref="AC56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6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17">
      <formula>AV57="X"</formula>
    </cfRule>
    <cfRule type="expression" priority="144" dxfId="16">
      <formula>AV57="후보"</formula>
    </cfRule>
  </conditionalFormatting>
  <conditionalFormatting sqref="AC57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17">
      <formula>AV58="X"</formula>
    </cfRule>
    <cfRule type="expression" priority="126" dxfId="16">
      <formula>AV58="후보"</formula>
    </cfRule>
  </conditionalFormatting>
  <conditionalFormatting sqref="AC58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8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17">
      <formula>AV59="X"</formula>
    </cfRule>
    <cfRule type="expression" priority="108" dxfId="16">
      <formula>AV59="후보"</formula>
    </cfRule>
  </conditionalFormatting>
  <conditionalFormatting sqref="AC59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9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17">
      <formula>AV60="X"</formula>
    </cfRule>
    <cfRule type="expression" priority="90" dxfId="16">
      <formula>AV60="후보"</formula>
    </cfRule>
  </conditionalFormatting>
  <conditionalFormatting sqref="AC6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17">
      <formula>AV61="X"</formula>
    </cfRule>
    <cfRule type="expression" priority="72" dxfId="16">
      <formula>AV61="후보"</formula>
    </cfRule>
  </conditionalFormatting>
  <conditionalFormatting sqref="AC6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17">
      <formula>AV62="X"</formula>
    </cfRule>
    <cfRule type="expression" priority="54" dxfId="16">
      <formula>AV62="후보"</formula>
    </cfRule>
  </conditionalFormatting>
  <conditionalFormatting sqref="AC6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17">
      <formula>AV63="X"</formula>
    </cfRule>
    <cfRule type="expression" priority="36" dxfId="16">
      <formula>AV63="후보"</formula>
    </cfRule>
  </conditionalFormatting>
  <conditionalFormatting sqref="AC6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17">
      <formula>AV64="X"</formula>
    </cfRule>
    <cfRule type="expression" priority="18" dxfId="16">
      <formula>AV64="후보"</formula>
    </cfRule>
  </conditionalFormatting>
  <conditionalFormatting sqref="AC6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A45" sqref="A45:P4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6" t="inlineStr">
        <is>
          <t>유사평형제거</t>
        </is>
      </c>
      <c r="K1" s="115" t="n"/>
      <c r="L1" s="43" t="inlineStr">
        <is>
          <t>O</t>
        </is>
      </c>
      <c r="M1" s="0" t="n"/>
      <c r="N1" s="116" t="inlineStr">
        <is>
          <t>추출기준세대수</t>
        </is>
      </c>
      <c r="O1" s="115" t="n"/>
      <c r="P1" s="126" t="n">
        <v>30</v>
      </c>
      <c r="Q1" s="117" t="inlineStr">
        <is>
          <t>세대이상</t>
        </is>
      </c>
      <c r="R1" s="118" t="n"/>
      <c r="S1" s="115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4" t="inlineStr">
        <is>
          <t>단지명</t>
        </is>
      </c>
      <c r="B3" s="114" t="inlineStr">
        <is>
          <t>입주
연도</t>
        </is>
      </c>
      <c r="C3" s="114" t="inlineStr">
        <is>
          <t>총세
대수</t>
        </is>
      </c>
      <c r="D3" s="114" t="inlineStr">
        <is>
          <t>공급
(m2)</t>
        </is>
      </c>
      <c r="E3" s="114" t="inlineStr">
        <is>
          <t>공급
면적</t>
        </is>
      </c>
      <c r="F3" s="114" t="inlineStr">
        <is>
          <t>전용
(m2)</t>
        </is>
      </c>
      <c r="G3" s="114" t="inlineStr">
        <is>
          <t>전용
면적</t>
        </is>
      </c>
      <c r="H3" s="116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6" t="inlineStr">
        <is>
          <t>갭</t>
        </is>
      </c>
      <c r="N3" s="114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4" t="inlineStr">
        <is>
          <t>구
조</t>
        </is>
      </c>
      <c r="T3" s="35" t="inlineStr">
        <is>
          <t>매/전/월
Type</t>
        </is>
      </c>
      <c r="U3" s="116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1" t="n">
        <v>936</v>
      </c>
      <c r="D4" s="132" t="n">
        <v>111.6</v>
      </c>
      <c r="E4" s="133" t="n">
        <v>34</v>
      </c>
      <c r="F4" s="132" t="n">
        <v>85</v>
      </c>
      <c r="G4" s="17" t="n">
        <v>26</v>
      </c>
      <c r="H4" s="134" t="n">
        <v>272</v>
      </c>
      <c r="I4" s="135" t="n">
        <v>60000</v>
      </c>
      <c r="J4" s="135" t="inlineStr">
        <is>
          <t>고</t>
        </is>
      </c>
      <c r="K4" s="135" t="n">
        <v>25000</v>
      </c>
      <c r="L4" s="135" t="inlineStr">
        <is>
          <t>고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2" t="n">
        <v>3</v>
      </c>
      <c r="R4" s="122" t="n">
        <v>2</v>
      </c>
      <c r="S4" s="122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지정면 원주롯데캐슬골드파크1차</t>
        </is>
      </c>
      <c r="B5" s="76" t="inlineStr">
        <is>
          <t>19.12.</t>
        </is>
      </c>
      <c r="C5" s="131" t="n">
        <v>624</v>
      </c>
      <c r="D5" s="132" t="n">
        <v>110.3</v>
      </c>
      <c r="E5" s="133" t="n">
        <v>33</v>
      </c>
      <c r="F5" s="132" t="n">
        <v>85</v>
      </c>
      <c r="G5" s="17" t="n">
        <v>26</v>
      </c>
      <c r="H5" s="134" t="n">
        <v>266</v>
      </c>
      <c r="I5" s="135" t="n">
        <v>51000</v>
      </c>
      <c r="J5" s="135" t="inlineStr">
        <is>
          <t>6</t>
        </is>
      </c>
      <c r="K5" s="135" t="n">
        <v>30000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2" t="n">
        <v>3</v>
      </c>
      <c r="R5" s="122" t="n">
        <v>2</v>
      </c>
      <c r="S5" s="122" t="inlineStr">
        <is>
          <t>계</t>
        </is>
      </c>
      <c r="T5" s="5" t="inlineStr">
        <is>
          <t>127A</t>
        </is>
      </c>
      <c r="U5" s="9" t="n"/>
    </row>
    <row r="6" ht="12" customFormat="1" customHeight="1" s="37">
      <c r="A6" s="75" t="inlineStr">
        <is>
          <t>명륜동 원주더샵센트럴파크2단지</t>
        </is>
      </c>
      <c r="B6" s="76" t="inlineStr">
        <is>
          <t>22.01.</t>
        </is>
      </c>
      <c r="C6" s="131" t="n">
        <v>838</v>
      </c>
      <c r="D6" s="132" t="n">
        <v>109</v>
      </c>
      <c r="E6" s="133" t="n">
        <v>33</v>
      </c>
      <c r="F6" s="132" t="n">
        <v>85</v>
      </c>
      <c r="G6" s="17" t="n">
        <v>26</v>
      </c>
      <c r="H6" s="134" t="n">
        <v>483</v>
      </c>
      <c r="I6" s="135" t="n">
        <v>49750</v>
      </c>
      <c r="J6" s="135" t="inlineStr">
        <is>
          <t>고</t>
        </is>
      </c>
      <c r="K6" s="135" t="n">
        <v>29000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51</v>
      </c>
      <c r="U6" s="9" t="n"/>
    </row>
    <row r="7" ht="12" customFormat="1" customHeight="1" s="37">
      <c r="A7" s="75" t="inlineStr">
        <is>
          <t>지정면 원주롯데캐슬골드파크2차</t>
        </is>
      </c>
      <c r="B7" s="76" t="inlineStr">
        <is>
          <t>19.12.</t>
        </is>
      </c>
      <c r="C7" s="131" t="n">
        <v>536</v>
      </c>
      <c r="D7" s="132" t="n">
        <v>111</v>
      </c>
      <c r="E7" s="133" t="n">
        <v>34</v>
      </c>
      <c r="F7" s="132" t="n">
        <v>85</v>
      </c>
      <c r="G7" s="17" t="n">
        <v>26</v>
      </c>
      <c r="H7" s="134" t="n">
        <v>243</v>
      </c>
      <c r="I7" s="135" t="n">
        <v>48000</v>
      </c>
      <c r="J7" s="135" t="inlineStr">
        <is>
          <t>10</t>
        </is>
      </c>
      <c r="K7" s="135" t="n">
        <v>30000</v>
      </c>
      <c r="L7" s="135" t="inlineStr">
        <is>
          <t>고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3</v>
      </c>
      <c r="R7" s="122" t="n">
        <v>2</v>
      </c>
      <c r="S7" s="122" t="inlineStr">
        <is>
          <t>계</t>
        </is>
      </c>
      <c r="T7" s="5" t="n">
        <v>113</v>
      </c>
      <c r="U7" s="9" t="n"/>
    </row>
    <row r="8" ht="12" customFormat="1" customHeight="1" s="37">
      <c r="A8" s="75" t="inlineStr">
        <is>
          <t>반곡동 힐데스하임5단지</t>
        </is>
      </c>
      <c r="B8" s="76" t="inlineStr">
        <is>
          <t>15.05.</t>
        </is>
      </c>
      <c r="C8" s="131" t="n">
        <v>682</v>
      </c>
      <c r="D8" s="132" t="n">
        <v>114.8</v>
      </c>
      <c r="E8" s="133" t="n">
        <v>35</v>
      </c>
      <c r="F8" s="132" t="n">
        <v>85</v>
      </c>
      <c r="G8" s="17" t="n">
        <v>26</v>
      </c>
      <c r="H8" s="134" t="n">
        <v>216</v>
      </c>
      <c r="I8" s="135" t="n">
        <v>48000</v>
      </c>
      <c r="J8" s="135" t="inlineStr">
        <is>
          <t>중</t>
        </is>
      </c>
      <c r="K8" s="135" t="n">
        <v>35000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95</v>
      </c>
      <c r="U8" s="9" t="n"/>
    </row>
    <row r="9" ht="12" customFormat="1" customHeight="1" s="37">
      <c r="A9" s="75" t="inlineStr">
        <is>
          <t>무실동 원주무실세영리첼1차</t>
        </is>
      </c>
      <c r="B9" s="76" t="inlineStr">
        <is>
          <t>14.06.</t>
        </is>
      </c>
      <c r="C9" s="131" t="n">
        <v>482</v>
      </c>
      <c r="D9" s="132" t="n">
        <v>108.4</v>
      </c>
      <c r="E9" s="133" t="n">
        <v>33</v>
      </c>
      <c r="F9" s="132" t="n">
        <v>84.90000000000001</v>
      </c>
      <c r="G9" s="17" t="n">
        <v>26</v>
      </c>
      <c r="H9" s="134" t="n">
        <v>72</v>
      </c>
      <c r="I9" s="135" t="n">
        <v>48000</v>
      </c>
      <c r="J9" s="135" t="inlineStr">
        <is>
          <t>중</t>
        </is>
      </c>
      <c r="K9" s="135" t="n">
        <v>33000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4</v>
      </c>
      <c r="R9" s="122" t="n">
        <v>2</v>
      </c>
      <c r="S9" s="122" t="inlineStr">
        <is>
          <t>계</t>
        </is>
      </c>
      <c r="T9" s="5" t="inlineStr">
        <is>
          <t>194A</t>
        </is>
      </c>
      <c r="U9" s="9" t="n"/>
    </row>
    <row r="10" ht="12" customFormat="1" customHeight="1" s="37">
      <c r="A10" s="75" t="inlineStr">
        <is>
          <t>반곡동 중흥에스-클래스프라디움</t>
        </is>
      </c>
      <c r="B10" s="76" t="inlineStr">
        <is>
          <t>16.10.</t>
        </is>
      </c>
      <c r="C10" s="131" t="n">
        <v>850</v>
      </c>
      <c r="D10" s="132" t="n">
        <v>112.6</v>
      </c>
      <c r="E10" s="133" t="n">
        <v>34</v>
      </c>
      <c r="F10" s="132" t="n">
        <v>85</v>
      </c>
      <c r="G10" s="17" t="n">
        <v>26</v>
      </c>
      <c r="H10" s="134" t="n">
        <v>246</v>
      </c>
      <c r="I10" s="135" t="n">
        <v>47000</v>
      </c>
      <c r="J10" s="135" t="inlineStr">
        <is>
          <t>중</t>
        </is>
      </c>
      <c r="K10" s="135" t="n">
        <v>32000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2</v>
      </c>
      <c r="R10" s="122" t="n">
        <v>1</v>
      </c>
      <c r="S10" s="122" t="inlineStr">
        <is>
          <t>계</t>
        </is>
      </c>
      <c r="T10" s="5" t="n">
        <v>57</v>
      </c>
      <c r="U10" s="9" t="n"/>
    </row>
    <row r="11" ht="12" customFormat="1" customHeight="1" s="37">
      <c r="A11" s="75" t="inlineStr">
        <is>
          <t>무실동 무실우미린</t>
        </is>
      </c>
      <c r="B11" s="76" t="inlineStr">
        <is>
          <t>14.09.</t>
        </is>
      </c>
      <c r="C11" s="131" t="n">
        <v>653</v>
      </c>
      <c r="D11" s="132" t="n">
        <v>111.5</v>
      </c>
      <c r="E11" s="133" t="n">
        <v>34</v>
      </c>
      <c r="F11" s="132" t="n">
        <v>85</v>
      </c>
      <c r="G11" s="17" t="n">
        <v>26</v>
      </c>
      <c r="H11" s="134" t="n">
        <v>245</v>
      </c>
      <c r="I11" s="135" t="n">
        <v>47000</v>
      </c>
      <c r="J11" s="135" t="inlineStr">
        <is>
          <t>5</t>
        </is>
      </c>
      <c r="K11" s="135" t="n">
        <v>32000</v>
      </c>
      <c r="L11" s="135" t="inlineStr">
        <is>
          <t>10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3</v>
      </c>
      <c r="R11" s="122" t="n">
        <v>1</v>
      </c>
      <c r="S11" s="122" t="inlineStr">
        <is>
          <t>복</t>
        </is>
      </c>
      <c r="T11" s="5" t="n">
        <v>94</v>
      </c>
      <c r="U11" s="9" t="n"/>
    </row>
    <row r="12" ht="24" customFormat="1" customHeight="1" s="37">
      <c r="A12" s="75" t="inlineStr">
        <is>
          <t>무실동 원주무실세영리첼2차</t>
        </is>
      </c>
      <c r="B12" s="76" t="inlineStr">
        <is>
          <t>15.04.</t>
        </is>
      </c>
      <c r="C12" s="131" t="n">
        <v>526</v>
      </c>
      <c r="D12" s="132" t="n">
        <v>110.4</v>
      </c>
      <c r="E12" s="133" t="n">
        <v>33</v>
      </c>
      <c r="F12" s="132" t="n">
        <v>85</v>
      </c>
      <c r="G12" s="17" t="n">
        <v>26</v>
      </c>
      <c r="H12" s="134" t="n">
        <v>129</v>
      </c>
      <c r="I12" s="135" t="n">
        <v>47000</v>
      </c>
      <c r="J12" s="135" t="inlineStr">
        <is>
          <t>7</t>
        </is>
      </c>
      <c r="K12" s="135" t="n">
        <v>34000</v>
      </c>
      <c r="L12" s="135" t="inlineStr">
        <is>
          <t>6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116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1" t="n">
        <v>1116</v>
      </c>
      <c r="D13" s="132" t="n">
        <v>113.4</v>
      </c>
      <c r="E13" s="133" t="n">
        <v>34</v>
      </c>
      <c r="F13" s="132" t="n">
        <v>85</v>
      </c>
      <c r="G13" s="17" t="n">
        <v>26</v>
      </c>
      <c r="H13" s="134" t="n">
        <v>472</v>
      </c>
      <c r="I13" s="135" t="n">
        <v>44000</v>
      </c>
      <c r="J13" s="135" t="inlineStr">
        <is>
          <t>중</t>
        </is>
      </c>
      <c r="K13" s="135" t="n">
        <v>25000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2" t="n">
        <v>1</v>
      </c>
      <c r="R13" s="122" t="n">
        <v>1</v>
      </c>
      <c r="S13" s="122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단계동 원주봉화산푸르지오</t>
        </is>
      </c>
      <c r="B14" s="76" t="inlineStr">
        <is>
          <t>17.11.</t>
        </is>
      </c>
      <c r="C14" s="131" t="n">
        <v>996</v>
      </c>
      <c r="D14" s="132" t="n">
        <v>109.8</v>
      </c>
      <c r="E14" s="133" t="n">
        <v>33</v>
      </c>
      <c r="F14" s="132" t="n">
        <v>84.90000000000001</v>
      </c>
      <c r="G14" s="17" t="n">
        <v>26</v>
      </c>
      <c r="H14" s="134" t="n">
        <v>169</v>
      </c>
      <c r="I14" s="135" t="n">
        <v>42000</v>
      </c>
      <c r="J14" s="135" t="inlineStr">
        <is>
          <t>5</t>
        </is>
      </c>
      <c r="K14" s="135" t="n">
        <v>30000</v>
      </c>
      <c r="L14" s="135" t="inlineStr">
        <is>
          <t>18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inlineStr">
        <is>
          <t>77B</t>
        </is>
      </c>
      <c r="U14" s="9" t="n"/>
    </row>
    <row r="15" ht="24" customFormat="1" customHeight="1" s="37">
      <c r="A15" s="75" t="inlineStr">
        <is>
          <t>지정면 이지더원더그레이스</t>
        </is>
      </c>
      <c r="B15" s="76" t="inlineStr">
        <is>
          <t>20.06.</t>
        </is>
      </c>
      <c r="C15" s="131" t="n">
        <v>776</v>
      </c>
      <c r="D15" s="132" t="n">
        <v>114.7</v>
      </c>
      <c r="E15" s="133" t="n">
        <v>35</v>
      </c>
      <c r="F15" s="132" t="n">
        <v>85</v>
      </c>
      <c r="G15" s="17" t="n">
        <v>26</v>
      </c>
      <c r="H15" s="134" t="n">
        <v>428</v>
      </c>
      <c r="I15" s="135" t="n">
        <v>40000</v>
      </c>
      <c r="J15" s="135" t="inlineStr">
        <is>
          <t>중</t>
        </is>
      </c>
      <c r="K15" s="135" t="n">
        <v>23000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2" t="n">
        <v>3</v>
      </c>
      <c r="R15" s="122" t="n">
        <v>2</v>
      </c>
      <c r="S15" s="122" t="inlineStr">
        <is>
          <t>계</t>
        </is>
      </c>
      <c r="T15" s="5" t="inlineStr">
        <is>
          <t>107B</t>
        </is>
      </c>
      <c r="U15" s="9" t="n"/>
    </row>
    <row r="16" ht="24" customFormat="1" customHeight="1" s="37">
      <c r="A16" s="75" t="inlineStr">
        <is>
          <t>지정면 원주기업도시라온프라이빗</t>
        </is>
      </c>
      <c r="B16" s="76" t="inlineStr">
        <is>
          <t>18.12.</t>
        </is>
      </c>
      <c r="C16" s="131" t="n">
        <v>713</v>
      </c>
      <c r="D16" s="132" t="n">
        <v>113.4</v>
      </c>
      <c r="E16" s="133" t="n">
        <v>34</v>
      </c>
      <c r="F16" s="132" t="n">
        <v>84.7</v>
      </c>
      <c r="G16" s="17" t="n">
        <v>26</v>
      </c>
      <c r="H16" s="134" t="n">
        <v>178</v>
      </c>
      <c r="I16" s="135" t="n">
        <v>40000</v>
      </c>
      <c r="J16" s="135" t="inlineStr">
        <is>
          <t>5</t>
        </is>
      </c>
      <c r="K16" s="135" t="n">
        <v>27000</v>
      </c>
      <c r="L16" s="135" t="inlineStr">
        <is>
          <t>5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n">
        <v>137</v>
      </c>
      <c r="U16" s="9" t="n"/>
    </row>
    <row r="17" ht="12" customFormat="1" customHeight="1" s="37">
      <c r="A17" s="75" t="inlineStr">
        <is>
          <t>반곡동 반곡모아엘가</t>
        </is>
      </c>
      <c r="B17" s="76" t="inlineStr">
        <is>
          <t>17.07.</t>
        </is>
      </c>
      <c r="C17" s="131" t="n">
        <v>418</v>
      </c>
      <c r="D17" s="132" t="n">
        <v>109.6</v>
      </c>
      <c r="E17" s="133" t="n">
        <v>33</v>
      </c>
      <c r="F17" s="132" t="n">
        <v>84.90000000000001</v>
      </c>
      <c r="G17" s="17" t="n">
        <v>26</v>
      </c>
      <c r="H17" s="134" t="n">
        <v>258</v>
      </c>
      <c r="I17" s="135" t="n">
        <v>40000</v>
      </c>
      <c r="J17" s="135" t="inlineStr">
        <is>
          <t>고</t>
        </is>
      </c>
      <c r="K17" s="135" t="n">
        <v>32000</v>
      </c>
      <c r="L17" s="135" t="inlineStr">
        <is>
          <t>15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2" t="n">
        <v>3</v>
      </c>
      <c r="R17" s="122" t="n">
        <v>1</v>
      </c>
      <c r="S17" s="122" t="inlineStr">
        <is>
          <t>계</t>
        </is>
      </c>
      <c r="T17" s="5" t="n">
        <v>79</v>
      </c>
      <c r="U17" s="9" t="n"/>
    </row>
    <row r="18" ht="12" customFormat="1" customHeight="1" s="37">
      <c r="A18" s="75" t="inlineStr">
        <is>
          <t>무실동 무실우미린</t>
        </is>
      </c>
      <c r="B18" s="76" t="inlineStr">
        <is>
          <t>14.09.</t>
        </is>
      </c>
      <c r="C18" s="131" t="n">
        <v>653</v>
      </c>
      <c r="D18" s="132" t="n">
        <v>98.2</v>
      </c>
      <c r="E18" s="133" t="n">
        <v>30</v>
      </c>
      <c r="F18" s="132" t="n">
        <v>75.3</v>
      </c>
      <c r="G18" s="17" t="n">
        <v>23</v>
      </c>
      <c r="H18" s="134" t="n">
        <v>221</v>
      </c>
      <c r="I18" s="135" t="n">
        <v>40000</v>
      </c>
      <c r="J18" s="135" t="inlineStr">
        <is>
          <t>12</t>
        </is>
      </c>
      <c r="K18" s="135" t="n">
        <v>28000</v>
      </c>
      <c r="L18" s="135" t="inlineStr">
        <is>
          <t>12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2</v>
      </c>
      <c r="R18" s="122" t="n">
        <v>1</v>
      </c>
      <c r="S18" s="122" t="inlineStr">
        <is>
          <t>복</t>
        </is>
      </c>
      <c r="T18" s="5" t="inlineStr">
        <is>
          <t>79B</t>
        </is>
      </c>
      <c r="U18" s="9" t="n"/>
    </row>
    <row r="19" ht="12" customFormat="1" customHeight="1" s="37">
      <c r="A19" s="75" t="inlineStr">
        <is>
          <t>지정면 원주기업도시호반베르디움8단지</t>
        </is>
      </c>
      <c r="B19" s="76" t="inlineStr">
        <is>
          <t>18.08.</t>
        </is>
      </c>
      <c r="C19" s="131" t="n">
        <v>882</v>
      </c>
      <c r="D19" s="132" t="n">
        <v>113.5</v>
      </c>
      <c r="E19" s="133" t="n">
        <v>34</v>
      </c>
      <c r="F19" s="132" t="n">
        <v>85</v>
      </c>
      <c r="G19" s="17" t="n">
        <v>26</v>
      </c>
      <c r="H19" s="134" t="n">
        <v>407</v>
      </c>
      <c r="I19" s="135" t="n">
        <v>39500</v>
      </c>
      <c r="J19" s="135" t="inlineStr">
        <is>
          <t>8</t>
        </is>
      </c>
      <c r="K19" s="135" t="n">
        <v>26000</v>
      </c>
      <c r="L19" s="135" t="inlineStr">
        <is>
          <t>고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2" t="n">
        <v>1</v>
      </c>
      <c r="R19" s="122" t="n">
        <v>1</v>
      </c>
      <c r="S19" s="122" t="inlineStr">
        <is>
          <t>계</t>
        </is>
      </c>
      <c r="T19" s="5" t="inlineStr">
        <is>
          <t>34C</t>
        </is>
      </c>
      <c r="U19" s="9" t="n"/>
    </row>
    <row r="20" ht="12" customFormat="1" customHeight="1" s="37">
      <c r="A20" s="75" t="inlineStr">
        <is>
          <t>반곡동 e편한세상반곡</t>
        </is>
      </c>
      <c r="B20" s="76" t="inlineStr">
        <is>
          <t>18.11.</t>
        </is>
      </c>
      <c r="C20" s="131" t="n">
        <v>508</v>
      </c>
      <c r="D20" s="132" t="n">
        <v>111.3</v>
      </c>
      <c r="E20" s="133" t="n">
        <v>34</v>
      </c>
      <c r="F20" s="132" t="n">
        <v>85</v>
      </c>
      <c r="G20" s="17" t="n">
        <v>26</v>
      </c>
      <c r="H20" s="134" t="n">
        <v>84</v>
      </c>
      <c r="I20" s="135" t="n">
        <v>39500</v>
      </c>
      <c r="J20" s="135" t="inlineStr">
        <is>
          <t>고</t>
        </is>
      </c>
      <c r="K20" s="135" t="n">
        <v>29000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1</v>
      </c>
      <c r="R20" s="122" t="n">
        <v>1</v>
      </c>
      <c r="S20" s="122" t="inlineStr">
        <is>
          <t>계</t>
        </is>
      </c>
      <c r="T20" s="5" t="inlineStr">
        <is>
          <t>33A</t>
        </is>
      </c>
      <c r="U20" s="9" t="n"/>
    </row>
    <row r="21" ht="12" customFormat="1" customHeight="1" s="37">
      <c r="A21" s="75" t="inlineStr">
        <is>
          <t>단계동 원주봉화산벨라시티2차</t>
        </is>
      </c>
      <c r="B21" s="76" t="inlineStr">
        <is>
          <t>18.12.</t>
        </is>
      </c>
      <c r="C21" s="131" t="n">
        <v>839</v>
      </c>
      <c r="D21" s="132" t="n">
        <v>115.8</v>
      </c>
      <c r="E21" s="133" t="n">
        <v>35</v>
      </c>
      <c r="F21" s="132" t="n">
        <v>85</v>
      </c>
      <c r="G21" s="17" t="n">
        <v>26</v>
      </c>
      <c r="H21" s="134" t="n">
        <v>322</v>
      </c>
      <c r="I21" s="135" t="n">
        <v>39500</v>
      </c>
      <c r="J21" s="135" t="inlineStr">
        <is>
          <t>중</t>
        </is>
      </c>
      <c r="K21" s="135" t="n">
        <v>32000</v>
      </c>
      <c r="L21" s="135" t="inlineStr">
        <is>
          <t>14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2" t="n">
        <v>3</v>
      </c>
      <c r="R21" s="122" t="n">
        <v>2</v>
      </c>
      <c r="S21" s="122" t="inlineStr">
        <is>
          <t>계</t>
        </is>
      </c>
      <c r="T21" s="5" t="n">
        <v>115</v>
      </c>
      <c r="U21" s="9" t="n"/>
    </row>
    <row r="22" ht="24" customFormat="1" customHeight="1" s="37">
      <c r="A22" s="75" t="inlineStr">
        <is>
          <t>지정면 원주기업도시호반베르디움(3-1블록)</t>
        </is>
      </c>
      <c r="B22" s="76" t="inlineStr">
        <is>
          <t>19.05.</t>
        </is>
      </c>
      <c r="C22" s="131" t="n">
        <v>892</v>
      </c>
      <c r="D22" s="132" t="n">
        <v>111</v>
      </c>
      <c r="E22" s="133" t="n">
        <v>34</v>
      </c>
      <c r="F22" s="132" t="n">
        <v>84.90000000000001</v>
      </c>
      <c r="G22" s="17" t="n">
        <v>26</v>
      </c>
      <c r="H22" s="134" t="n">
        <v>532</v>
      </c>
      <c r="I22" s="135" t="n">
        <v>39000</v>
      </c>
      <c r="J22" s="135" t="inlineStr">
        <is>
          <t>5</t>
        </is>
      </c>
      <c r="K22" s="135" t="n">
        <v>27000</v>
      </c>
      <c r="L22" s="135" t="inlineStr">
        <is>
          <t>18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146</v>
      </c>
      <c r="U22" s="9" t="n"/>
    </row>
    <row r="23" ht="24" customFormat="1" customHeight="1" s="37">
      <c r="A23" s="75" t="inlineStr">
        <is>
          <t>지정면 원주기업도시호반베르디움(3-2블록)</t>
        </is>
      </c>
      <c r="B23" s="76" t="inlineStr">
        <is>
          <t>19.05.</t>
        </is>
      </c>
      <c r="C23" s="131" t="n">
        <v>824</v>
      </c>
      <c r="D23" s="132" t="n">
        <v>110.9</v>
      </c>
      <c r="E23" s="133" t="n">
        <v>34</v>
      </c>
      <c r="F23" s="132" t="n">
        <v>84.90000000000001</v>
      </c>
      <c r="G23" s="17" t="n">
        <v>26</v>
      </c>
      <c r="H23" s="134" t="n">
        <v>494</v>
      </c>
      <c r="I23" s="135" t="n">
        <v>39000</v>
      </c>
      <c r="J23" s="135" t="inlineStr">
        <is>
          <t>10</t>
        </is>
      </c>
      <c r="K23" s="135" t="n">
        <v>25000</v>
      </c>
      <c r="L23" s="135" t="inlineStr">
        <is>
          <t>19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2" t="n">
        <v>3</v>
      </c>
      <c r="R23" s="122" t="n">
        <v>2</v>
      </c>
      <c r="S23" s="122" t="inlineStr">
        <is>
          <t>계</t>
        </is>
      </c>
      <c r="T23" s="5" t="inlineStr">
        <is>
          <t>87B</t>
        </is>
      </c>
      <c r="U23" s="9" t="n"/>
    </row>
    <row r="24" ht="12" customFormat="1" customHeight="1" s="37">
      <c r="A24" s="75" t="inlineStr">
        <is>
          <t>단구동 원주단구내안애카운티에듀파크2단지</t>
        </is>
      </c>
      <c r="B24" s="76" t="inlineStr">
        <is>
          <t>20.06.</t>
        </is>
      </c>
      <c r="C24" s="131" t="n">
        <v>348</v>
      </c>
      <c r="D24" s="132" t="n">
        <v>108.3</v>
      </c>
      <c r="E24" s="133" t="n">
        <v>33</v>
      </c>
      <c r="F24" s="132" t="n">
        <v>84.90000000000001</v>
      </c>
      <c r="G24" s="17" t="n">
        <v>26</v>
      </c>
      <c r="H24" s="134" t="n">
        <v>203</v>
      </c>
      <c r="I24" s="135" t="n">
        <v>39000</v>
      </c>
      <c r="J24" s="135" t="inlineStr">
        <is>
          <t>5</t>
        </is>
      </c>
      <c r="K24" s="135" t="n">
        <v>35000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1</v>
      </c>
      <c r="S24" s="122" t="inlineStr">
        <is>
          <t>계</t>
        </is>
      </c>
      <c r="T24" s="5" t="n">
        <v>61</v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1" t="n">
        <v>794</v>
      </c>
      <c r="D25" s="132" t="n">
        <v>111.9</v>
      </c>
      <c r="E25" s="133" t="n">
        <v>34</v>
      </c>
      <c r="F25" s="132" t="n">
        <v>85</v>
      </c>
      <c r="G25" s="17" t="n">
        <v>26</v>
      </c>
      <c r="H25" s="134" t="n">
        <v>263</v>
      </c>
      <c r="I25" s="135" t="n">
        <v>38500</v>
      </c>
      <c r="J25" s="135" t="inlineStr">
        <is>
          <t>중</t>
        </is>
      </c>
      <c r="K25" s="135" t="n">
        <v>25000</v>
      </c>
      <c r="L25" s="135" t="inlineStr">
        <is>
          <t>11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2" t="n">
        <v>3</v>
      </c>
      <c r="R25" s="122" t="n">
        <v>1</v>
      </c>
      <c r="S25" s="122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반곡동 푸른숨LH3단지</t>
        </is>
      </c>
      <c r="B26" s="76" t="inlineStr">
        <is>
          <t>15.06.</t>
        </is>
      </c>
      <c r="C26" s="131" t="n">
        <v>728</v>
      </c>
      <c r="D26" s="132" t="n">
        <v>109.6</v>
      </c>
      <c r="E26" s="133" t="n">
        <v>33</v>
      </c>
      <c r="F26" s="132" t="n">
        <v>84.90000000000001</v>
      </c>
      <c r="G26" s="17" t="n">
        <v>26</v>
      </c>
      <c r="H26" s="134" t="n">
        <v>191</v>
      </c>
      <c r="I26" s="135" t="n">
        <v>38000</v>
      </c>
      <c r="J26" s="135" t="inlineStr">
        <is>
          <t>11</t>
        </is>
      </c>
      <c r="K26" s="135" t="n">
        <v>30000</v>
      </c>
      <c r="L26" s="135" t="inlineStr">
        <is>
          <t>중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3</v>
      </c>
      <c r="R26" s="122" t="n">
        <v>2</v>
      </c>
      <c r="S26" s="122" t="inlineStr">
        <is>
          <t>계</t>
        </is>
      </c>
      <c r="T26" s="5" t="inlineStr">
        <is>
          <t>108C</t>
        </is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1" t="n">
        <v>548</v>
      </c>
      <c r="D27" s="132" t="n">
        <v>109.7</v>
      </c>
      <c r="E27" s="133" t="n">
        <v>33</v>
      </c>
      <c r="F27" s="132" t="n">
        <v>85</v>
      </c>
      <c r="G27" s="17" t="n">
        <v>26</v>
      </c>
      <c r="H27" s="134" t="n">
        <v>180</v>
      </c>
      <c r="I27" s="135" t="n">
        <v>37000</v>
      </c>
      <c r="J27" s="135" t="inlineStr">
        <is>
          <t>중</t>
        </is>
      </c>
      <c r="K27" s="135" t="n">
        <v>22000</v>
      </c>
      <c r="L27" s="135" t="inlineStr">
        <is>
          <t>고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2" t="n">
        <v>3</v>
      </c>
      <c r="R27" s="122" t="n">
        <v>2</v>
      </c>
      <c r="S27" s="122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반곡동 LH센트럴파크</t>
        </is>
      </c>
      <c r="B28" s="76" t="inlineStr">
        <is>
          <t>19.02.</t>
        </is>
      </c>
      <c r="C28" s="131" t="n">
        <v>855</v>
      </c>
      <c r="D28" s="132" t="n">
        <v>110.9</v>
      </c>
      <c r="E28" s="133" t="n">
        <v>34</v>
      </c>
      <c r="F28" s="132" t="n">
        <v>85</v>
      </c>
      <c r="G28" s="17" t="n">
        <v>26</v>
      </c>
      <c r="H28" s="134" t="n">
        <v>601</v>
      </c>
      <c r="I28" s="135" t="n">
        <v>37000</v>
      </c>
      <c r="J28" s="135" t="inlineStr">
        <is>
          <t>중</t>
        </is>
      </c>
      <c r="K28" s="135" t="n">
        <v>30000</v>
      </c>
      <c r="L28" s="135" t="inlineStr">
        <is>
          <t>10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1</v>
      </c>
      <c r="S28" s="122" t="inlineStr">
        <is>
          <t>계</t>
        </is>
      </c>
      <c r="T28" s="5" t="n">
        <v>80</v>
      </c>
      <c r="U28" s="9" t="n"/>
    </row>
    <row r="29" ht="12" customFormat="1" customHeight="1" s="37">
      <c r="A29" s="75" t="inlineStr">
        <is>
          <t>반곡동 푸른숨휴브레스</t>
        </is>
      </c>
      <c r="B29" s="76" t="inlineStr">
        <is>
          <t>13.12.</t>
        </is>
      </c>
      <c r="C29" s="131" t="n">
        <v>1110</v>
      </c>
      <c r="D29" s="132" t="n">
        <v>109.1</v>
      </c>
      <c r="E29" s="133" t="n">
        <v>33</v>
      </c>
      <c r="F29" s="132" t="n">
        <v>84.90000000000001</v>
      </c>
      <c r="G29" s="17" t="n">
        <v>26</v>
      </c>
      <c r="H29" s="134" t="n">
        <v>770</v>
      </c>
      <c r="I29" s="135" t="n">
        <v>37000</v>
      </c>
      <c r="J29" s="135" t="inlineStr">
        <is>
          <t>고</t>
        </is>
      </c>
      <c r="K29" s="135" t="n">
        <v>27000</v>
      </c>
      <c r="L29" s="135" t="inlineStr">
        <is>
          <t>5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2" t="n">
        <v>3</v>
      </c>
      <c r="R29" s="122" t="n">
        <v>1</v>
      </c>
      <c r="S29" s="122" t="inlineStr">
        <is>
          <t>복</t>
        </is>
      </c>
      <c r="T29" s="5" t="n">
        <v>79</v>
      </c>
      <c r="U29" s="9" t="n"/>
    </row>
    <row r="30" ht="12" customFormat="1" customHeight="1" s="37">
      <c r="A30" s="75" t="inlineStr">
        <is>
          <t>단구동 단구한신더휴</t>
        </is>
      </c>
      <c r="B30" s="76" t="inlineStr">
        <is>
          <t>17.11.</t>
        </is>
      </c>
      <c r="C30" s="131" t="n">
        <v>724</v>
      </c>
      <c r="D30" s="132" t="n">
        <v>114.2</v>
      </c>
      <c r="E30" s="133" t="n">
        <v>35</v>
      </c>
      <c r="F30" s="132" t="n">
        <v>84.90000000000001</v>
      </c>
      <c r="G30" s="17" t="n">
        <v>26</v>
      </c>
      <c r="H30" s="134" t="n">
        <v>217</v>
      </c>
      <c r="I30" s="135" t="n">
        <v>37000</v>
      </c>
      <c r="J30" s="135" t="inlineStr">
        <is>
          <t>5</t>
        </is>
      </c>
      <c r="K30" s="135" t="n">
        <v>28000</v>
      </c>
      <c r="L30" s="135" t="inlineStr">
        <is>
          <t>6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5" t="inlineStr">
        <is>
          <t>단계동 봉화산벨라시티</t>
        </is>
      </c>
      <c r="B31" s="76" t="inlineStr">
        <is>
          <t>16.10.</t>
        </is>
      </c>
      <c r="C31" s="131" t="n">
        <v>566</v>
      </c>
      <c r="D31" s="132" t="n">
        <v>110.9</v>
      </c>
      <c r="E31" s="133" t="n">
        <v>34</v>
      </c>
      <c r="F31" s="132" t="n">
        <v>85</v>
      </c>
      <c r="G31" s="17" t="n">
        <v>26</v>
      </c>
      <c r="H31" s="134" t="n">
        <v>92</v>
      </c>
      <c r="I31" s="135" t="n">
        <v>35500</v>
      </c>
      <c r="J31" s="135" t="inlineStr">
        <is>
          <t>8</t>
        </is>
      </c>
      <c r="K31" s="135" t="n">
        <v>29000</v>
      </c>
      <c r="L31" s="135" t="inlineStr">
        <is>
          <t>고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2" t="n">
        <v>3</v>
      </c>
      <c r="R31" s="122" t="n">
        <v>1</v>
      </c>
      <c r="S31" s="122" t="inlineStr">
        <is>
          <t>계</t>
        </is>
      </c>
      <c r="T31" s="5" t="n">
        <v>77</v>
      </c>
      <c r="U31" s="9" t="n"/>
    </row>
    <row r="32" ht="12" customFormat="1" customHeight="1" s="37">
      <c r="A32" s="75" t="inlineStr">
        <is>
          <t>지정면 원주롯데캐슬골드파크2차</t>
        </is>
      </c>
      <c r="B32" s="76" t="inlineStr">
        <is>
          <t>19.12.</t>
        </is>
      </c>
      <c r="C32" s="131" t="n">
        <v>536</v>
      </c>
      <c r="D32" s="132" t="n">
        <v>81.2</v>
      </c>
      <c r="E32" s="133" t="n">
        <v>25</v>
      </c>
      <c r="F32" s="132" t="n">
        <v>60</v>
      </c>
      <c r="G32" s="17" t="n">
        <v>18</v>
      </c>
      <c r="H32" s="134" t="n">
        <v>128</v>
      </c>
      <c r="I32" s="135" t="n">
        <v>35000</v>
      </c>
      <c r="J32" s="135" t="inlineStr">
        <is>
          <t>중</t>
        </is>
      </c>
      <c r="K32" s="135" t="n">
        <v>23000</v>
      </c>
      <c r="L32" s="135" t="inlineStr">
        <is>
          <t>고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2</v>
      </c>
      <c r="S32" s="122" t="inlineStr">
        <is>
          <t>계</t>
        </is>
      </c>
      <c r="T32" s="5" t="n">
        <v>104</v>
      </c>
      <c r="U32" s="9" t="n"/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1" t="n">
        <v>1430</v>
      </c>
      <c r="D33" s="132" t="n">
        <v>110.8</v>
      </c>
      <c r="E33" s="133" t="n">
        <v>34</v>
      </c>
      <c r="F33" s="132" t="n">
        <v>85</v>
      </c>
      <c r="G33" s="17" t="n">
        <v>26</v>
      </c>
      <c r="H33" s="134" t="n">
        <v>880</v>
      </c>
      <c r="I33" s="135" t="n">
        <v>35000</v>
      </c>
      <c r="J33" s="135" t="inlineStr">
        <is>
          <t>중</t>
        </is>
      </c>
      <c r="K33" s="135" t="n">
        <v>24000</v>
      </c>
      <c r="L33" s="135" t="inlineStr">
        <is>
          <t>14</t>
        </is>
      </c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2" t="n">
        <v>3</v>
      </c>
      <c r="R33" s="122" t="n">
        <v>1</v>
      </c>
      <c r="S33" s="122" t="inlineStr">
        <is>
          <t>계</t>
        </is>
      </c>
      <c r="T33" s="5" t="n">
        <v>73</v>
      </c>
      <c r="U33" s="9" t="n"/>
    </row>
    <row r="34" ht="12" customFormat="1" customHeight="1" s="37">
      <c r="A34" s="75" t="inlineStr">
        <is>
          <t>단계동 원주봉화산푸르지오</t>
        </is>
      </c>
      <c r="B34" s="76" t="inlineStr">
        <is>
          <t>17.11.</t>
        </is>
      </c>
      <c r="C34" s="131" t="n">
        <v>996</v>
      </c>
      <c r="D34" s="132" t="n">
        <v>98.59999999999999</v>
      </c>
      <c r="E34" s="133" t="n">
        <v>30</v>
      </c>
      <c r="F34" s="132" t="n">
        <v>72.90000000000001</v>
      </c>
      <c r="G34" s="17" t="n">
        <v>22</v>
      </c>
      <c r="H34" s="134" t="n">
        <v>323</v>
      </c>
      <c r="I34" s="135" t="n">
        <v>35000</v>
      </c>
      <c r="J34" s="135" t="inlineStr">
        <is>
          <t>10</t>
        </is>
      </c>
      <c r="K34" s="135" t="n">
        <v>27000</v>
      </c>
      <c r="L34" s="135" t="inlineStr">
        <is>
          <t>중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1</v>
      </c>
      <c r="S34" s="122" t="inlineStr">
        <is>
          <t>계</t>
        </is>
      </c>
      <c r="T34" s="5" t="inlineStr">
        <is>
          <t>77A</t>
        </is>
      </c>
      <c r="U34" s="9" t="n"/>
    </row>
    <row r="35" ht="12" customFormat="1" customHeight="1" s="37">
      <c r="A35" s="75" t="inlineStr">
        <is>
          <t>단구동 원주단구내안애카운티에듀파크1단지</t>
        </is>
      </c>
      <c r="B35" s="76" t="inlineStr">
        <is>
          <t>20.06.</t>
        </is>
      </c>
      <c r="C35" s="131" t="n">
        <v>571</v>
      </c>
      <c r="D35" s="132" t="n">
        <v>107.3</v>
      </c>
      <c r="E35" s="133" t="n">
        <v>32</v>
      </c>
      <c r="F35" s="132" t="n">
        <v>84.90000000000001</v>
      </c>
      <c r="G35" s="17" t="n">
        <v>26</v>
      </c>
      <c r="H35" s="134" t="n">
        <v>421</v>
      </c>
      <c r="I35" s="135" t="n">
        <v>33500</v>
      </c>
      <c r="J35" s="135" t="inlineStr">
        <is>
          <t>중</t>
        </is>
      </c>
      <c r="K35" s="135" t="n">
        <v>28000</v>
      </c>
      <c r="L35" s="135" t="inlineStr">
        <is>
          <t>14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2" t="n">
        <v>3</v>
      </c>
      <c r="R35" s="122" t="n">
        <v>2</v>
      </c>
      <c r="S35" s="122" t="inlineStr">
        <is>
          <t>계</t>
        </is>
      </c>
      <c r="T35" s="5" t="n">
        <v>158</v>
      </c>
      <c r="U35" s="9" t="n"/>
    </row>
    <row r="36" ht="12" customFormat="1" customHeight="1" s="37">
      <c r="A36" s="75" t="inlineStr">
        <is>
          <t>판부면 남원주코아루미소지움</t>
        </is>
      </c>
      <c r="B36" s="76" t="inlineStr">
        <is>
          <t>18.03.</t>
        </is>
      </c>
      <c r="C36" s="131" t="n">
        <v>359</v>
      </c>
      <c r="D36" s="132" t="n">
        <v>110</v>
      </c>
      <c r="E36" s="133" t="n">
        <v>33</v>
      </c>
      <c r="F36" s="132" t="n">
        <v>80</v>
      </c>
      <c r="G36" s="17" t="n">
        <v>24</v>
      </c>
      <c r="H36" s="134" t="n">
        <v>157</v>
      </c>
      <c r="I36" s="135" t="n">
        <v>33000</v>
      </c>
      <c r="J36" s="135" t="inlineStr">
        <is>
          <t>9</t>
        </is>
      </c>
      <c r="K36" s="135" t="n">
        <v>26000</v>
      </c>
      <c r="L36" s="135" t="inlineStr">
        <is>
          <t>13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2</v>
      </c>
      <c r="R36" s="122" t="n">
        <v>1</v>
      </c>
      <c r="S36" s="122" t="inlineStr">
        <is>
          <t>계</t>
        </is>
      </c>
      <c r="T36" s="5" t="inlineStr">
        <is>
          <t>77B</t>
        </is>
      </c>
      <c r="U36" s="9" t="n"/>
    </row>
    <row r="37" ht="12" customFormat="1" customHeight="1" s="37">
      <c r="A37" s="75" t="inlineStr">
        <is>
          <t>지정면 원주롯데캐슬골드파크1차</t>
        </is>
      </c>
      <c r="B37" s="76" t="inlineStr">
        <is>
          <t>19.12.</t>
        </is>
      </c>
      <c r="C37" s="131" t="n">
        <v>624</v>
      </c>
      <c r="D37" s="132" t="n">
        <v>81.59999999999999</v>
      </c>
      <c r="E37" s="133" t="n">
        <v>25</v>
      </c>
      <c r="F37" s="132" t="n">
        <v>60</v>
      </c>
      <c r="G37" s="17" t="n">
        <v>18</v>
      </c>
      <c r="H37" s="134" t="n">
        <v>157</v>
      </c>
      <c r="I37" s="135" t="n">
        <v>32700</v>
      </c>
      <c r="J37" s="135" t="inlineStr">
        <is>
          <t>5</t>
        </is>
      </c>
      <c r="K37" s="135" t="n">
        <v>22000</v>
      </c>
      <c r="L37" s="135" t="inlineStr">
        <is>
          <t>18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2" t="n">
        <v>3</v>
      </c>
      <c r="R37" s="122" t="n">
        <v>2</v>
      </c>
      <c r="S37" s="122" t="inlineStr">
        <is>
          <t>계</t>
        </is>
      </c>
      <c r="T37" s="5" t="inlineStr">
        <is>
          <t>111B</t>
        </is>
      </c>
      <c r="U37" s="9" t="n"/>
    </row>
    <row r="38" ht="12" customFormat="1" customHeight="1" s="37">
      <c r="A38" s="75" t="inlineStr">
        <is>
          <t>태장동 이안원주태장</t>
        </is>
      </c>
      <c r="B38" s="76" t="inlineStr">
        <is>
          <t>19.08.</t>
        </is>
      </c>
      <c r="C38" s="131" t="n">
        <v>920</v>
      </c>
      <c r="D38" s="132" t="n">
        <v>116.9</v>
      </c>
      <c r="E38" s="133" t="n">
        <v>35</v>
      </c>
      <c r="F38" s="132" t="n">
        <v>84.90000000000001</v>
      </c>
      <c r="G38" s="17" t="n">
        <v>26</v>
      </c>
      <c r="H38" s="134" t="n">
        <v>62</v>
      </c>
      <c r="I38" s="135" t="n">
        <v>32000</v>
      </c>
      <c r="J38" s="135" t="inlineStr">
        <is>
          <t>중</t>
        </is>
      </c>
      <c r="K38" s="135" t="n">
        <v>27000</v>
      </c>
      <c r="L38" s="135" t="inlineStr">
        <is>
          <t>20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115C</t>
        </is>
      </c>
      <c r="U38" s="9" t="n"/>
    </row>
    <row r="39" ht="12" customFormat="1" customHeight="1" s="37">
      <c r="A39" s="75" t="inlineStr">
        <is>
          <t>반곡동 반곡퍼스트힐</t>
        </is>
      </c>
      <c r="B39" s="76" t="inlineStr">
        <is>
          <t>14.10.</t>
        </is>
      </c>
      <c r="C39" s="131" t="n">
        <v>424</v>
      </c>
      <c r="D39" s="132" t="n">
        <v>109.7</v>
      </c>
      <c r="E39" s="133" t="n">
        <v>33</v>
      </c>
      <c r="F39" s="132" t="n">
        <v>85</v>
      </c>
      <c r="G39" s="17" t="n">
        <v>26</v>
      </c>
      <c r="H39" s="134" t="n">
        <v>251</v>
      </c>
      <c r="I39" s="135" t="n">
        <v>32000</v>
      </c>
      <c r="J39" s="135" t="inlineStr">
        <is>
          <t>17</t>
        </is>
      </c>
      <c r="K39" s="135" t="n">
        <v>27000</v>
      </c>
      <c r="L39" s="135" t="inlineStr">
        <is>
          <t>18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2" t="n">
        <v>4</v>
      </c>
      <c r="R39" s="122" t="n">
        <v>2</v>
      </c>
      <c r="S39" s="122" t="inlineStr">
        <is>
          <t>계</t>
        </is>
      </c>
      <c r="T39" s="5" t="inlineStr">
        <is>
          <t>161A</t>
        </is>
      </c>
      <c r="U39" s="9" t="n"/>
    </row>
    <row r="40" ht="12" customFormat="1" customHeight="1" s="37">
      <c r="A40" s="75" t="inlineStr">
        <is>
          <t>단계동 원주봉화산벨라시티2차</t>
        </is>
      </c>
      <c r="B40" s="76" t="inlineStr">
        <is>
          <t>18.12.</t>
        </is>
      </c>
      <c r="C40" s="131" t="n">
        <v>839</v>
      </c>
      <c r="D40" s="132" t="n">
        <v>83.8</v>
      </c>
      <c r="E40" s="133" t="n">
        <v>25</v>
      </c>
      <c r="F40" s="132" t="n">
        <v>60</v>
      </c>
      <c r="G40" s="17" t="n">
        <v>18</v>
      </c>
      <c r="H40" s="134" t="n">
        <v>74</v>
      </c>
      <c r="I40" s="135" t="n">
        <v>32000</v>
      </c>
      <c r="J40" s="135" t="inlineStr">
        <is>
          <t>중</t>
        </is>
      </c>
      <c r="K40" s="135" t="n">
        <v>26000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3</v>
      </c>
      <c r="R40" s="122" t="n">
        <v>1</v>
      </c>
      <c r="S40" s="122" t="inlineStr">
        <is>
          <t>계</t>
        </is>
      </c>
      <c r="T40" s="5" t="n">
        <v>78</v>
      </c>
      <c r="U40" s="9" t="n"/>
    </row>
    <row r="41" ht="12" customFormat="1" customHeight="1" s="37">
      <c r="A41" s="75" t="inlineStr">
        <is>
          <t>태장동 e편한세상원주태장</t>
        </is>
      </c>
      <c r="B41" s="76" t="inlineStr">
        <is>
          <t>18.12.</t>
        </is>
      </c>
      <c r="C41" s="131" t="n">
        <v>703</v>
      </c>
      <c r="D41" s="132" t="n">
        <v>103.5</v>
      </c>
      <c r="E41" s="133" t="n">
        <v>31</v>
      </c>
      <c r="F41" s="132" t="n">
        <v>75</v>
      </c>
      <c r="G41" s="17" t="n">
        <v>23</v>
      </c>
      <c r="H41" s="134" t="n">
        <v>308</v>
      </c>
      <c r="I41" s="135" t="n">
        <v>30000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2" t="n">
        <v>3</v>
      </c>
      <c r="R41" s="122" t="n">
        <v>2</v>
      </c>
      <c r="S41" s="122" t="inlineStr">
        <is>
          <t>계</t>
        </is>
      </c>
      <c r="T41" s="5" t="inlineStr">
        <is>
          <t>106B</t>
        </is>
      </c>
      <c r="U41" s="9" t="n"/>
    </row>
    <row r="42" ht="12" customFormat="1" customHeight="1" s="37">
      <c r="A42" s="75" t="inlineStr">
        <is>
          <t>지정면 원주기업도시호반베르디움8단지</t>
        </is>
      </c>
      <c r="B42" s="76" t="inlineStr">
        <is>
          <t>18.08.</t>
        </is>
      </c>
      <c r="C42" s="131" t="n">
        <v>882</v>
      </c>
      <c r="D42" s="132" t="n">
        <v>85.7</v>
      </c>
      <c r="E42" s="133" t="n">
        <v>26</v>
      </c>
      <c r="F42" s="132" t="n">
        <v>59.9</v>
      </c>
      <c r="G42" s="17" t="n">
        <v>18</v>
      </c>
      <c r="H42" s="134" t="n">
        <v>337</v>
      </c>
      <c r="I42" s="135" t="n">
        <v>30000</v>
      </c>
      <c r="J42" s="135" t="inlineStr">
        <is>
          <t>고</t>
        </is>
      </c>
      <c r="K42" s="135" t="n">
        <v>20000</v>
      </c>
      <c r="L42" s="135" t="inlineStr">
        <is>
          <t>중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1</v>
      </c>
      <c r="R42" s="122" t="n">
        <v>1</v>
      </c>
      <c r="S42" s="122" t="inlineStr">
        <is>
          <t>계</t>
        </is>
      </c>
      <c r="T42" s="5" t="inlineStr">
        <is>
          <t>34B</t>
        </is>
      </c>
      <c r="U42" s="9" t="n"/>
    </row>
    <row r="43" ht="12" customFormat="1" customHeight="1" s="37">
      <c r="A43" s="75" t="inlineStr">
        <is>
          <t>우산동 한라비발디2차</t>
        </is>
      </c>
      <c r="B43" s="76" t="inlineStr">
        <is>
          <t>14.09.</t>
        </is>
      </c>
      <c r="C43" s="131" t="n">
        <v>717</v>
      </c>
      <c r="D43" s="132" t="n">
        <v>110.4</v>
      </c>
      <c r="E43" s="133" t="n">
        <v>33</v>
      </c>
      <c r="F43" s="132" t="n">
        <v>84.5</v>
      </c>
      <c r="G43" s="17" t="n">
        <v>26</v>
      </c>
      <c r="H43" s="134" t="n">
        <v>236</v>
      </c>
      <c r="I43" s="135" t="n">
        <v>30000</v>
      </c>
      <c r="J43" s="135" t="inlineStr">
        <is>
          <t>10</t>
        </is>
      </c>
      <c r="K43" s="135" t="n">
        <v>25000</v>
      </c>
      <c r="L43" s="135" t="inlineStr">
        <is>
          <t>6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2" t="n">
        <v>3</v>
      </c>
      <c r="R43" s="122" t="n">
        <v>2</v>
      </c>
      <c r="S43" s="122" t="inlineStr">
        <is>
          <t>계</t>
        </is>
      </c>
      <c r="T43" s="5" t="n">
        <v>126</v>
      </c>
      <c r="U43" s="9" t="n"/>
    </row>
    <row r="44" ht="12" customFormat="1" customHeight="1" s="37">
      <c r="A44" s="75" t="inlineStr">
        <is>
          <t>반곡동 e편한세상반곡</t>
        </is>
      </c>
      <c r="B44" s="76" t="inlineStr">
        <is>
          <t>18.11.</t>
        </is>
      </c>
      <c r="C44" s="131" t="n">
        <v>508</v>
      </c>
      <c r="D44" s="132" t="n">
        <v>84.5</v>
      </c>
      <c r="E44" s="133" t="n">
        <v>26</v>
      </c>
      <c r="F44" s="132" t="n">
        <v>59.8</v>
      </c>
      <c r="G44" s="17" t="n">
        <v>18</v>
      </c>
      <c r="H44" s="134" t="n">
        <v>164</v>
      </c>
      <c r="I44" s="135" t="n">
        <v>30000</v>
      </c>
      <c r="J44" s="135" t="inlineStr">
        <is>
          <t>중</t>
        </is>
      </c>
      <c r="K44" s="135" t="n">
        <v>23000</v>
      </c>
      <c r="L44" s="135" t="inlineStr">
        <is>
          <t>10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3</v>
      </c>
      <c r="R44" s="122" t="n">
        <v>2</v>
      </c>
      <c r="S44" s="122" t="inlineStr">
        <is>
          <t>계</t>
        </is>
      </c>
      <c r="T44" s="5" t="inlineStr">
        <is>
          <t>107A</t>
        </is>
      </c>
      <c r="U44" s="9" t="n"/>
    </row>
    <row r="45" ht="12" customFormat="1" customHeight="1" s="37">
      <c r="A45" s="75" t="inlineStr">
        <is>
          <t>무실동 사랑으로부영</t>
        </is>
      </c>
      <c r="B45" s="76" t="inlineStr">
        <is>
          <t>12.07.</t>
        </is>
      </c>
      <c r="C45" s="131" t="n">
        <v>639</v>
      </c>
      <c r="D45" s="132" t="n">
        <v>88.59999999999999</v>
      </c>
      <c r="E45" s="133" t="n">
        <v>27</v>
      </c>
      <c r="F45" s="132" t="n">
        <v>59.9</v>
      </c>
      <c r="G45" s="17" t="n">
        <v>18</v>
      </c>
      <c r="H45" s="134" t="n">
        <v>337</v>
      </c>
      <c r="I45" s="135" t="n">
        <v>30000</v>
      </c>
      <c r="J45" s="135" t="inlineStr">
        <is>
          <t>14</t>
        </is>
      </c>
      <c r="K45" s="135" t="n">
        <v>25000</v>
      </c>
      <c r="L45" s="135" t="inlineStr">
        <is>
          <t>6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2" t="n">
        <v>3</v>
      </c>
      <c r="R45" s="122" t="n">
        <v>2</v>
      </c>
      <c r="S45" s="122" t="inlineStr">
        <is>
          <t>계</t>
        </is>
      </c>
      <c r="T45" s="5" t="inlineStr">
        <is>
          <t>107C</t>
        </is>
      </c>
      <c r="U45" s="9" t="n"/>
    </row>
    <row r="46" ht="12" customFormat="1" customHeight="1" s="37">
      <c r="A46" s="75" t="inlineStr">
        <is>
          <t>단계동 원주봉화산벨라시티3차</t>
        </is>
      </c>
      <c r="B46" s="76" t="inlineStr">
        <is>
          <t>20.11.</t>
        </is>
      </c>
      <c r="C46" s="131" t="n">
        <v>499</v>
      </c>
      <c r="D46" s="132" t="n">
        <v>83.09999999999999</v>
      </c>
      <c r="E46" s="133" t="n">
        <v>25</v>
      </c>
      <c r="F46" s="132" t="n">
        <v>59.9</v>
      </c>
      <c r="G46" s="17" t="n">
        <v>18</v>
      </c>
      <c r="H46" s="134" t="n">
        <v>126</v>
      </c>
      <c r="I46" s="135" t="n">
        <v>30000</v>
      </c>
      <c r="J46" s="135" t="inlineStr">
        <is>
          <t>16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4</v>
      </c>
      <c r="R46" s="122" t="n">
        <v>2</v>
      </c>
      <c r="S46" s="122" t="inlineStr">
        <is>
          <t>계</t>
        </is>
      </c>
      <c r="T46" s="5" t="inlineStr">
        <is>
          <t>163B</t>
        </is>
      </c>
      <c r="U46" s="9" t="n"/>
    </row>
    <row r="47" ht="12" customFormat="1" customHeight="1" s="37">
      <c r="A47" s="75" t="inlineStr">
        <is>
          <t>단계동 원주봉화산푸르지오</t>
        </is>
      </c>
      <c r="B47" s="76" t="inlineStr">
        <is>
          <t>17.11.</t>
        </is>
      </c>
      <c r="C47" s="131" t="n">
        <v>996</v>
      </c>
      <c r="D47" s="132" t="n">
        <v>85</v>
      </c>
      <c r="E47" s="133" t="n">
        <v>26</v>
      </c>
      <c r="F47" s="132" t="n">
        <v>60.8</v>
      </c>
      <c r="G47" s="17" t="n">
        <v>18</v>
      </c>
      <c r="H47" s="134" t="n">
        <v>337</v>
      </c>
      <c r="I47" s="135" t="n">
        <v>30000</v>
      </c>
      <c r="J47" s="135" t="inlineStr">
        <is>
          <t>11</t>
        </is>
      </c>
      <c r="K47" s="135" t="n">
        <v>24000</v>
      </c>
      <c r="L47" s="135" t="inlineStr">
        <is>
          <t>26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2" t="n">
        <v>2</v>
      </c>
      <c r="R47" s="122" t="n">
        <v>1</v>
      </c>
      <c r="S47" s="122" t="inlineStr">
        <is>
          <t>계</t>
        </is>
      </c>
      <c r="T47" s="5" t="inlineStr">
        <is>
          <t>78A</t>
        </is>
      </c>
      <c r="U47" s="9" t="n"/>
    </row>
    <row r="48" ht="12" customFormat="1" customHeight="1" s="37">
      <c r="A48" s="75" t="inlineStr">
        <is>
          <t>지정면 원주기업도시유보라아이비파크2단지</t>
        </is>
      </c>
      <c r="B48" s="76" t="inlineStr">
        <is>
          <t>20.01.</t>
        </is>
      </c>
      <c r="C48" s="131" t="n">
        <v>794</v>
      </c>
      <c r="D48" s="132" t="n">
        <v>80.5</v>
      </c>
      <c r="E48" s="133" t="n">
        <v>24</v>
      </c>
      <c r="F48" s="132" t="n">
        <v>60</v>
      </c>
      <c r="G48" s="17" t="n">
        <v>18</v>
      </c>
      <c r="H48" s="134" t="n">
        <v>34</v>
      </c>
      <c r="I48" s="135" t="n">
        <v>29000</v>
      </c>
      <c r="J48" s="135" t="inlineStr">
        <is>
          <t>16</t>
        </is>
      </c>
      <c r="K48" s="135" t="n">
        <v>20000</v>
      </c>
      <c r="L48" s="135" t="inlineStr">
        <is>
          <t>중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4</v>
      </c>
      <c r="R48" s="122" t="n">
        <v>2</v>
      </c>
      <c r="S48" s="122" t="inlineStr">
        <is>
          <t>계</t>
        </is>
      </c>
      <c r="T48" s="5" t="n">
        <v>135</v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1" t="n">
        <v>1116</v>
      </c>
      <c r="D49" s="132" t="n">
        <v>84.59999999999999</v>
      </c>
      <c r="E49" s="133" t="n">
        <v>26</v>
      </c>
      <c r="F49" s="132" t="n">
        <v>60</v>
      </c>
      <c r="G49" s="17" t="n">
        <v>18</v>
      </c>
      <c r="H49" s="134" t="n">
        <v>571</v>
      </c>
      <c r="I49" s="135" t="n">
        <v>29000</v>
      </c>
      <c r="J49" s="135" t="inlineStr">
        <is>
          <t>중</t>
        </is>
      </c>
      <c r="K49" s="135" t="n">
        <v>20000</v>
      </c>
      <c r="L49" s="135" t="inlineStr">
        <is>
          <t>7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2" t="n">
        <v>1</v>
      </c>
      <c r="R49" s="122" t="n">
        <v>1</v>
      </c>
      <c r="S49" s="122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지정면 원주롯데캐슬더퍼스트</t>
        </is>
      </c>
      <c r="B50" s="76" t="inlineStr">
        <is>
          <t>18.06.</t>
        </is>
      </c>
      <c r="C50" s="131" t="n">
        <v>1243</v>
      </c>
      <c r="D50" s="132" t="n">
        <v>85.09999999999999</v>
      </c>
      <c r="E50" s="133" t="n">
        <v>26</v>
      </c>
      <c r="F50" s="132" t="n">
        <v>60</v>
      </c>
      <c r="G50" s="17" t="n">
        <v>18</v>
      </c>
      <c r="H50" s="134" t="n">
        <v>532</v>
      </c>
      <c r="I50" s="135" t="n">
        <v>29000</v>
      </c>
      <c r="J50" s="135" t="inlineStr">
        <is>
          <t>15</t>
        </is>
      </c>
      <c r="K50" s="135" t="n">
        <v>18500</v>
      </c>
      <c r="L50" s="135" t="inlineStr">
        <is>
          <t>6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4</v>
      </c>
      <c r="R50" s="122" t="n">
        <v>2</v>
      </c>
      <c r="S50" s="122" t="inlineStr">
        <is>
          <t>계</t>
        </is>
      </c>
      <c r="T50" s="5" t="n">
        <v>156</v>
      </c>
      <c r="U50" s="9" t="n"/>
    </row>
    <row r="51" ht="24" customFormat="1" customHeight="1" s="37">
      <c r="A51" s="75" t="inlineStr">
        <is>
          <t>지정면 이지더원더그레이스</t>
        </is>
      </c>
      <c r="B51" s="76" t="inlineStr">
        <is>
          <t>20.06.</t>
        </is>
      </c>
      <c r="C51" s="131" t="n">
        <v>776</v>
      </c>
      <c r="D51" s="132" t="n">
        <v>82</v>
      </c>
      <c r="E51" s="133" t="n">
        <v>25</v>
      </c>
      <c r="F51" s="132" t="n">
        <v>60</v>
      </c>
      <c r="G51" s="17" t="n">
        <v>18</v>
      </c>
      <c r="H51" s="134" t="n">
        <v>172</v>
      </c>
      <c r="I51" s="135" t="n">
        <v>28000</v>
      </c>
      <c r="J51" s="135" t="inlineStr">
        <is>
          <t>19</t>
        </is>
      </c>
      <c r="K51" s="135" t="n">
        <v>20000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2" t="n">
        <v>3</v>
      </c>
      <c r="R51" s="122" t="n">
        <v>2</v>
      </c>
      <c r="S51" s="122" t="inlineStr">
        <is>
          <t>계</t>
        </is>
      </c>
      <c r="T51" s="5" t="n">
        <v>102</v>
      </c>
      <c r="U51" s="9" t="n"/>
    </row>
    <row r="52" ht="12" customFormat="1" customHeight="1" s="37">
      <c r="A52" s="75" t="inlineStr">
        <is>
          <t>지정면 원주기업도시호반베르디움(3-2블록)</t>
        </is>
      </c>
      <c r="B52" s="76" t="inlineStr">
        <is>
          <t>19.05.</t>
        </is>
      </c>
      <c r="C52" s="131" t="n">
        <v>824</v>
      </c>
      <c r="D52" s="132" t="n">
        <v>83.09999999999999</v>
      </c>
      <c r="E52" s="133" t="n">
        <v>25</v>
      </c>
      <c r="F52" s="132" t="n">
        <v>60</v>
      </c>
      <c r="G52" s="17" t="n">
        <v>18</v>
      </c>
      <c r="H52" s="134" t="n">
        <v>244</v>
      </c>
      <c r="I52" s="135" t="n">
        <v>28000</v>
      </c>
      <c r="J52" s="135" t="inlineStr">
        <is>
          <t>중</t>
        </is>
      </c>
      <c r="K52" s="135" t="n">
        <v>21000</v>
      </c>
      <c r="L52" s="135" t="inlineStr">
        <is>
          <t>9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3</v>
      </c>
      <c r="R52" s="122" t="n">
        <v>2</v>
      </c>
      <c r="S52" s="122" t="inlineStr">
        <is>
          <t>계</t>
        </is>
      </c>
      <c r="T52" s="5" t="inlineStr">
        <is>
          <t>87A</t>
        </is>
      </c>
      <c r="U52" s="9" t="n"/>
    </row>
    <row r="53" ht="12" customFormat="1" customHeight="1" s="37">
      <c r="A53" s="75" t="inlineStr">
        <is>
          <t>단계동 봉화산벨라시티</t>
        </is>
      </c>
      <c r="B53" s="76" t="inlineStr">
        <is>
          <t>16.10.</t>
        </is>
      </c>
      <c r="C53" s="131" t="n">
        <v>566</v>
      </c>
      <c r="D53" s="132" t="n">
        <v>87.90000000000001</v>
      </c>
      <c r="E53" s="133" t="n">
        <v>27</v>
      </c>
      <c r="F53" s="132" t="n">
        <v>59.9</v>
      </c>
      <c r="G53" s="17" t="n">
        <v>18</v>
      </c>
      <c r="H53" s="134" t="n">
        <v>164</v>
      </c>
      <c r="I53" s="135" t="n">
        <v>28000</v>
      </c>
      <c r="J53" s="135" t="inlineStr">
        <is>
          <t>중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2" t="n">
        <v>3</v>
      </c>
      <c r="R53" s="122" t="n">
        <v>2</v>
      </c>
      <c r="S53" s="122" t="inlineStr">
        <is>
          <t>복</t>
        </is>
      </c>
      <c r="T53" s="5" t="inlineStr">
        <is>
          <t>115A</t>
        </is>
      </c>
      <c r="U53" s="9" t="n"/>
    </row>
    <row r="54" ht="12" customFormat="1" customHeight="1" s="37">
      <c r="A54" s="75" t="inlineStr">
        <is>
          <t>지정면 원주기업도시유보라아이비파크1단지</t>
        </is>
      </c>
      <c r="B54" s="76" t="inlineStr">
        <is>
          <t>20.01.</t>
        </is>
      </c>
      <c r="C54" s="131" t="n">
        <v>548</v>
      </c>
      <c r="D54" s="132" t="n">
        <v>81.3</v>
      </c>
      <c r="E54" s="133" t="n">
        <v>25</v>
      </c>
      <c r="F54" s="132" t="n">
        <v>60</v>
      </c>
      <c r="G54" s="17" t="n">
        <v>18</v>
      </c>
      <c r="H54" s="134" t="n">
        <v>178</v>
      </c>
      <c r="I54" s="135" t="n">
        <v>27000</v>
      </c>
      <c r="J54" s="135" t="inlineStr">
        <is>
          <t>중</t>
        </is>
      </c>
      <c r="K54" s="135" t="n">
        <v>20000</v>
      </c>
      <c r="L54" s="135" t="inlineStr">
        <is>
          <t>8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2" t="n">
        <v>3</v>
      </c>
      <c r="R54" s="122" t="n">
        <v>2</v>
      </c>
      <c r="S54" s="122" t="inlineStr">
        <is>
          <t>계</t>
        </is>
      </c>
      <c r="T54" s="5" t="inlineStr">
        <is>
          <t>107D</t>
        </is>
      </c>
      <c r="U54" s="9" t="n"/>
    </row>
    <row r="55" ht="12" customFormat="1" customHeight="1" s="37">
      <c r="A55" s="75" t="inlineStr">
        <is>
          <t>지정면 원주기업도시호반베르디움(3-1블록)</t>
        </is>
      </c>
      <c r="B55" s="76" t="inlineStr">
        <is>
          <t>19.05.</t>
        </is>
      </c>
      <c r="C55" s="131" t="n">
        <v>892</v>
      </c>
      <c r="D55" s="132" t="n">
        <v>83.09999999999999</v>
      </c>
      <c r="E55" s="133" t="n">
        <v>25</v>
      </c>
      <c r="F55" s="132" t="n">
        <v>60</v>
      </c>
      <c r="G55" s="17" t="n">
        <v>18</v>
      </c>
      <c r="H55" s="134" t="n">
        <v>270</v>
      </c>
      <c r="I55" s="135" t="n">
        <v>26500</v>
      </c>
      <c r="J55" s="135" t="inlineStr">
        <is>
          <t>7</t>
        </is>
      </c>
      <c r="K55" s="135" t="n">
        <v>22000</v>
      </c>
      <c r="L55" s="135" t="inlineStr">
        <is>
          <t>중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2" t="n">
        <v>3</v>
      </c>
      <c r="R55" s="122" t="n">
        <v>2</v>
      </c>
      <c r="S55" s="122" t="inlineStr">
        <is>
          <t>계</t>
        </is>
      </c>
      <c r="T55" s="5" t="n">
        <v>126</v>
      </c>
      <c r="U55" s="9" t="n"/>
    </row>
    <row r="56" ht="12" customFormat="1" customHeight="1" s="37">
      <c r="A56" s="75" t="inlineStr">
        <is>
          <t>지정면 원주기업도시라온프라이빗</t>
        </is>
      </c>
      <c r="B56" s="76" t="inlineStr">
        <is>
          <t>18.12.</t>
        </is>
      </c>
      <c r="C56" s="131" t="n">
        <v>713</v>
      </c>
      <c r="D56" s="132" t="n">
        <v>81.40000000000001</v>
      </c>
      <c r="E56" s="133" t="n">
        <v>25</v>
      </c>
      <c r="F56" s="132" t="n">
        <v>59.8</v>
      </c>
      <c r="G56" s="17" t="n">
        <v>18</v>
      </c>
      <c r="H56" s="134" t="n">
        <v>280</v>
      </c>
      <c r="I56" s="135" t="n">
        <v>26000</v>
      </c>
      <c r="J56" s="135" t="inlineStr">
        <is>
          <t>23</t>
        </is>
      </c>
      <c r="K56" s="135" t="n">
        <v>20000</v>
      </c>
      <c r="L56" s="135" t="inlineStr">
        <is>
          <t>11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2" t="n">
        <v>3</v>
      </c>
      <c r="R56" s="122" t="n">
        <v>2</v>
      </c>
      <c r="S56" s="122" t="inlineStr">
        <is>
          <t>계</t>
        </is>
      </c>
      <c r="T56" s="5" t="n">
        <v>105</v>
      </c>
      <c r="U56" s="9" t="n"/>
    </row>
    <row r="57" ht="12" customFormat="1" customHeight="1" s="37">
      <c r="A57" s="75" t="inlineStr">
        <is>
          <t>지정면 이지더원1차</t>
        </is>
      </c>
      <c r="B57" s="76" t="inlineStr">
        <is>
          <t>19.01.</t>
        </is>
      </c>
      <c r="C57" s="131" t="n">
        <v>1430</v>
      </c>
      <c r="D57" s="132" t="n">
        <v>79.59999999999999</v>
      </c>
      <c r="E57" s="133" t="n">
        <v>24</v>
      </c>
      <c r="F57" s="132" t="n">
        <v>59.9</v>
      </c>
      <c r="G57" s="17" t="n">
        <v>18</v>
      </c>
      <c r="H57" s="134" t="n">
        <v>470</v>
      </c>
      <c r="I57" s="135" t="n">
        <v>26000</v>
      </c>
      <c r="J57" s="135" t="inlineStr">
        <is>
          <t>28</t>
        </is>
      </c>
      <c r="K57" s="135" t="n">
        <v>20000</v>
      </c>
      <c r="L57" s="135" t="inlineStr">
        <is>
          <t>23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2" t="n">
        <v>2</v>
      </c>
      <c r="R57" s="122" t="n">
        <v>1</v>
      </c>
      <c r="S57" s="122" t="inlineStr">
        <is>
          <t>복</t>
        </is>
      </c>
      <c r="T57" s="5" t="n">
        <v>61</v>
      </c>
      <c r="U57" s="9" t="n"/>
    </row>
    <row r="58" ht="12" customFormat="1" customHeight="1" s="37">
      <c r="A58" s="75" t="inlineStr">
        <is>
          <t>태장동 이안원주태장</t>
        </is>
      </c>
      <c r="B58" s="76" t="inlineStr">
        <is>
          <t>19.08.</t>
        </is>
      </c>
      <c r="C58" s="131" t="n">
        <v>920</v>
      </c>
      <c r="D58" s="132" t="n">
        <v>82.40000000000001</v>
      </c>
      <c r="E58" s="133" t="n">
        <v>25</v>
      </c>
      <c r="F58" s="132" t="n">
        <v>60</v>
      </c>
      <c r="G58" s="17" t="n">
        <v>18</v>
      </c>
      <c r="H58" s="134" t="n">
        <v>372</v>
      </c>
      <c r="I58" s="135" t="n">
        <v>21000</v>
      </c>
      <c r="J58" s="135" t="inlineStr">
        <is>
          <t>고</t>
        </is>
      </c>
      <c r="K58" s="135" t="n">
        <v>20000</v>
      </c>
      <c r="L58" s="135" t="inlineStr">
        <is>
          <t>17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2" t="n">
        <v>5</v>
      </c>
      <c r="R58" s="122" t="n">
        <v>3</v>
      </c>
      <c r="S58" s="122" t="inlineStr">
        <is>
          <t>계</t>
        </is>
      </c>
      <c r="T58" s="5" t="inlineStr">
        <is>
          <t>204A</t>
        </is>
      </c>
      <c r="U58" s="9" t="n"/>
    </row>
    <row r="59" ht="12" customFormat="1" customHeight="1" s="37">
      <c r="A59" s="75" t="inlineStr">
        <is>
          <t>문막읍 서원주코아루아너스</t>
        </is>
      </c>
      <c r="B59" s="76" t="inlineStr">
        <is>
          <t>18.04.</t>
        </is>
      </c>
      <c r="C59" s="131" t="n">
        <v>842</v>
      </c>
      <c r="D59" s="132" t="n">
        <v>117.4</v>
      </c>
      <c r="E59" s="133" t="n">
        <v>35</v>
      </c>
      <c r="F59" s="132" t="n">
        <v>84.59999999999999</v>
      </c>
      <c r="G59" s="17" t="n">
        <v>26</v>
      </c>
      <c r="H59" s="134" t="n">
        <v>376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2" t="n">
        <v>3</v>
      </c>
      <c r="R59" s="122" t="n">
        <v>2</v>
      </c>
      <c r="S59" s="122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무실동 더샵원주센트럴파크1단지</t>
        </is>
      </c>
      <c r="B60" s="76" t="inlineStr">
        <is>
          <t>21.11.</t>
        </is>
      </c>
      <c r="C60" s="131" t="n">
        <v>936</v>
      </c>
      <c r="D60" s="132" t="n">
        <v>80</v>
      </c>
      <c r="E60" s="133" t="n">
        <v>24</v>
      </c>
      <c r="F60" s="132" t="n">
        <v>60</v>
      </c>
      <c r="G60" s="17" t="n">
        <v>18</v>
      </c>
      <c r="H60" s="134" t="n">
        <v>312</v>
      </c>
      <c r="I60" s="135" t="n"/>
      <c r="J60" s="135" t="n"/>
      <c r="K60" s="135" t="n">
        <v>25000</v>
      </c>
      <c r="L60" s="135" t="inlineStr">
        <is>
          <t>중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2" t="n">
        <v>3</v>
      </c>
      <c r="R60" s="122" t="n">
        <v>2</v>
      </c>
      <c r="S60" s="122" t="inlineStr">
        <is>
          <t>계</t>
        </is>
      </c>
      <c r="T60" s="5" t="inlineStr">
        <is>
          <t>85B</t>
        </is>
      </c>
      <c r="U60" s="9" t="n"/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1" t="n">
        <v>499</v>
      </c>
      <c r="D61" s="132" t="n">
        <v>115.4</v>
      </c>
      <c r="E61" s="133" t="n">
        <v>35</v>
      </c>
      <c r="F61" s="132" t="n">
        <v>85</v>
      </c>
      <c r="G61" s="17" t="n">
        <v>26</v>
      </c>
      <c r="H61" s="134" t="n">
        <v>121</v>
      </c>
      <c r="I61" s="135" t="n"/>
      <c r="J61" s="135" t="n"/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2" t="n">
        <v>4</v>
      </c>
      <c r="R61" s="122" t="n">
        <v>2</v>
      </c>
      <c r="S61" s="122" t="inlineStr">
        <is>
          <t>계</t>
        </is>
      </c>
      <c r="T61" s="5" t="inlineStr">
        <is>
          <t>164C</t>
        </is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8510" operator="greaterThan" dxfId="13">
      <formula>0.9</formula>
    </cfRule>
    <cfRule type="cellIs" priority="38511" operator="greaterThan" dxfId="12">
      <formula>0.85</formula>
    </cfRule>
  </conditionalFormatting>
  <conditionalFormatting sqref="N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1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1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7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4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52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3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6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:E61">
    <cfRule type="expression" priority="75130" dxfId="3">
      <formula>AND(IF(OR($Q4=1,$Q4=2),1,0),IF(#REF!&lt;=20,1,0))</formula>
    </cfRule>
    <cfRule type="expression" priority="75131" dxfId="2">
      <formula>AND(IF($Q4=2,1,0),IF(#REF!&lt;30,1,0))</formula>
    </cfRule>
    <cfRule type="expression" priority="75132" dxfId="1">
      <formula>AND(IF($Q4=3,1,0),IF(#REF!&lt;30,1,0))</formula>
    </cfRule>
    <cfRule type="expression" priority="7513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3" sqref="E13"/>
    </sheetView>
  </sheetViews>
  <sheetFormatPr baseColWidth="8" defaultColWidth="17.5" defaultRowHeight="13.5"/>
  <cols>
    <col width="4.625" bestFit="1" customWidth="1" style="121" min="1" max="1"/>
    <col width="3.375" customWidth="1" style="121" min="2" max="2"/>
    <col width="4.625" bestFit="1" customWidth="1" style="121" min="3" max="3"/>
    <col width="29.125" customWidth="1" style="50" min="4" max="9"/>
    <col width="25" customWidth="1" style="50" min="10" max="23"/>
    <col width="17.5" customWidth="1" style="50" min="24" max="48"/>
    <col width="17.5" customWidth="1" style="121" min="49" max="52"/>
    <col width="17.5" customWidth="1" style="121" min="53" max="16384"/>
  </cols>
  <sheetData>
    <row r="1">
      <c r="D1" s="121" t="n"/>
      <c r="E1" s="121" t="n"/>
      <c r="F1" s="121" t="n"/>
      <c r="G1" s="121" t="n"/>
      <c r="H1" s="121" t="n"/>
      <c r="I1" s="121" t="n"/>
      <c r="J1" s="121" t="n"/>
      <c r="K1" s="121" t="n"/>
      <c r="L1" s="121" t="n"/>
      <c r="M1" s="121" t="n"/>
      <c r="N1" s="121" t="n"/>
      <c r="O1" s="121" t="n"/>
      <c r="P1" s="121" t="n"/>
      <c r="Q1" s="121" t="n"/>
      <c r="R1" s="121" t="n"/>
      <c r="S1" s="121" t="n"/>
      <c r="T1" s="121" t="n"/>
      <c r="U1" s="121" t="n"/>
      <c r="V1" s="121" t="n"/>
      <c r="W1" s="121" t="n"/>
      <c r="X1" s="121" t="n"/>
      <c r="Y1" s="121" t="n"/>
      <c r="Z1" s="121" t="n"/>
      <c r="AA1" s="121" t="n"/>
      <c r="AB1" s="121" t="n"/>
      <c r="AC1" s="121" t="n"/>
      <c r="AD1" s="121" t="n"/>
      <c r="AE1" s="121" t="n"/>
      <c r="AF1" s="121" t="n"/>
      <c r="AG1" s="121" t="n"/>
      <c r="AH1" s="121" t="n"/>
      <c r="AI1" s="121" t="n"/>
      <c r="AJ1" s="121" t="n"/>
      <c r="AK1" s="121" t="n"/>
      <c r="AL1" s="121" t="n"/>
      <c r="AM1" s="121" t="n"/>
      <c r="AN1" s="121" t="n"/>
      <c r="AO1" s="121" t="n"/>
      <c r="AP1" s="121" t="n"/>
      <c r="AQ1" s="121" t="n"/>
      <c r="AR1" s="121" t="n"/>
      <c r="AS1" s="121" t="n"/>
      <c r="AT1" s="121" t="n"/>
      <c r="AU1" s="121" t="n"/>
      <c r="AV1" s="121" t="n"/>
    </row>
    <row r="2">
      <c r="D2" s="121" t="n"/>
      <c r="E2" s="121" t="n"/>
      <c r="F2" s="121" t="n"/>
      <c r="G2" s="121" t="n"/>
      <c r="H2" s="121" t="n"/>
      <c r="I2" s="121" t="n"/>
      <c r="J2" s="121" t="n"/>
      <c r="K2" s="121" t="n"/>
      <c r="L2" s="121" t="n"/>
      <c r="M2" s="121" t="n"/>
      <c r="N2" s="121" t="n"/>
      <c r="O2" s="121" t="n"/>
      <c r="P2" s="121" t="n"/>
      <c r="Q2" s="121" t="n"/>
      <c r="R2" s="121" t="n"/>
      <c r="S2" s="121" t="n"/>
      <c r="T2" s="121" t="n"/>
      <c r="U2" s="121" t="n"/>
      <c r="V2" s="121" t="n"/>
      <c r="W2" s="121" t="n"/>
      <c r="X2" s="121" t="n"/>
      <c r="Y2" s="121" t="n"/>
      <c r="Z2" s="121" t="n"/>
      <c r="AA2" s="121" t="n"/>
      <c r="AB2" s="121" t="n"/>
      <c r="AC2" s="121" t="n"/>
      <c r="AD2" s="121" t="n"/>
      <c r="AE2" s="121" t="n"/>
      <c r="AF2" s="121" t="n"/>
      <c r="AG2" s="121" t="n"/>
      <c r="AH2" s="121" t="n"/>
      <c r="AI2" s="121" t="n"/>
      <c r="AJ2" s="121" t="n"/>
      <c r="AK2" s="121" t="n"/>
      <c r="AL2" s="121" t="n"/>
      <c r="AM2" s="121" t="n"/>
      <c r="AN2" s="121" t="n"/>
      <c r="AO2" s="121" t="n"/>
      <c r="AP2" s="121" t="n"/>
      <c r="AQ2" s="121" t="n"/>
      <c r="AR2" s="121" t="n"/>
      <c r="AS2" s="121" t="n"/>
      <c r="AT2" s="121" t="n"/>
      <c r="AU2" s="121" t="n"/>
      <c r="AV2" s="121" t="n"/>
    </row>
    <row r="3">
      <c r="D3" s="121" t="n"/>
      <c r="E3" s="121" t="n"/>
      <c r="F3" s="121" t="n"/>
      <c r="G3" s="121" t="n"/>
      <c r="H3" s="121" t="n"/>
      <c r="I3" s="121" t="n"/>
      <c r="J3" s="121" t="n"/>
      <c r="K3" s="121" t="n"/>
      <c r="L3" s="121" t="n"/>
      <c r="M3" s="121" t="n"/>
      <c r="N3" s="121" t="n"/>
      <c r="O3" s="121" t="n"/>
      <c r="P3" s="121" t="n"/>
      <c r="Q3" s="121" t="n"/>
      <c r="R3" s="121" t="n"/>
      <c r="S3" s="121" t="n"/>
      <c r="T3" s="121" t="n"/>
      <c r="U3" s="121" t="n"/>
      <c r="V3" s="121" t="n"/>
      <c r="W3" s="121" t="n"/>
      <c r="X3" s="121" t="n"/>
      <c r="Y3" s="121" t="n"/>
      <c r="Z3" s="121" t="n"/>
      <c r="AA3" s="121" t="n"/>
      <c r="AB3" s="121" t="n"/>
      <c r="AC3" s="121" t="n"/>
      <c r="AD3" s="121" t="n"/>
      <c r="AE3" s="121" t="n"/>
      <c r="AF3" s="121" t="n"/>
      <c r="AG3" s="121" t="n"/>
      <c r="AH3" s="121" t="n"/>
      <c r="AI3" s="121" t="n"/>
      <c r="AJ3" s="121" t="n"/>
      <c r="AK3" s="121" t="n"/>
      <c r="AL3" s="121" t="n"/>
      <c r="AM3" s="121" t="n"/>
      <c r="AN3" s="121" t="n"/>
      <c r="AO3" s="121" t="n"/>
      <c r="AP3" s="121" t="n"/>
      <c r="AQ3" s="121" t="n"/>
      <c r="AR3" s="121" t="n"/>
      <c r="AS3" s="121" t="n"/>
      <c r="AT3" s="121" t="n"/>
      <c r="AU3" s="121" t="n"/>
      <c r="AV3" s="121" t="n"/>
    </row>
    <row r="4">
      <c r="A4" s="120" t="inlineStr">
        <is>
          <t>동1</t>
        </is>
      </c>
      <c r="D4" s="121" t="inlineStr">
        <is>
          <t>무실동</t>
        </is>
      </c>
      <c r="E4" s="121" t="inlineStr">
        <is>
          <t>지정면</t>
        </is>
      </c>
      <c r="F4" s="121" t="inlineStr">
        <is>
          <t>반곡동</t>
        </is>
      </c>
      <c r="G4" s="121" t="inlineStr">
        <is>
          <t>단계동</t>
        </is>
      </c>
      <c r="H4" s="121" t="inlineStr">
        <is>
          <t>단구동</t>
        </is>
      </c>
      <c r="I4" s="121" t="n"/>
      <c r="J4" s="121" t="n"/>
      <c r="K4" s="121" t="n"/>
      <c r="L4" s="121" t="n"/>
      <c r="M4" s="121" t="n"/>
      <c r="N4" s="121" t="n"/>
      <c r="O4" s="121" t="n"/>
      <c r="P4" s="121" t="n"/>
      <c r="Q4" s="121" t="n"/>
      <c r="R4" s="121" t="n"/>
      <c r="S4" s="121" t="n"/>
      <c r="T4" s="121" t="n"/>
      <c r="U4" s="121" t="n"/>
      <c r="V4" s="121" t="n"/>
      <c r="W4" s="121" t="n"/>
      <c r="X4" s="121" t="n"/>
      <c r="Y4" s="121" t="n"/>
      <c r="Z4" s="121" t="n"/>
      <c r="AA4" s="121" t="n"/>
      <c r="AB4" s="121" t="n"/>
      <c r="AC4" s="121" t="n"/>
      <c r="AD4" s="121" t="n"/>
      <c r="AE4" s="121" t="n"/>
      <c r="AF4" s="121" t="n"/>
      <c r="AG4" s="121" t="n"/>
      <c r="AH4" s="121" t="n"/>
      <c r="AI4" s="121" t="n"/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120" t="inlineStr">
        <is>
          <t>동2</t>
        </is>
      </c>
    </row>
    <row r="6">
      <c r="A6" s="120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5">
      <c r="A11" s="148" t="n">
        <v>5</v>
      </c>
      <c r="B11" s="55" t="inlineStr">
        <is>
          <t>~</t>
        </is>
      </c>
      <c r="C11" s="149" t="n">
        <v>6</v>
      </c>
      <c r="D11" s="56" t="inlineStr">
        <is>
          <t>더샵원주센트럴파크1단지(34평/5.6)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원주무실세영리첼1차(33평/4.8)_x000D_
원주무실세영리첼2차(33평/4.7)_x000D_
무실우미린(34평/4.6)_x000D_
무실우미린(30평/4.0)</t>
        </is>
      </c>
      <c r="E12" s="56" t="inlineStr">
        <is>
          <t>원주롯데캐슬골드파크2차(34평/4.8)_x000D_
원주롯데캐슬더퍼스트2차(34평/4.4)_x000D_
이지더원더그레이스(35평/4.2)_x000D_
원주기업도시호반베르디움8단지(34평/4.1)_x000D_
원주기업도시라온프라이빗(34평/4.0)</t>
        </is>
      </c>
      <c r="F12" s="56" t="inlineStr">
        <is>
          <t>힐데스하임5단지(35평/4.8)_x000D_
중흥에스-클래스프라디움(34평/4.7)_x000D_
반곡모아엘가(33평/4.0)</t>
        </is>
      </c>
      <c r="G12" s="56" t="inlineStr">
        <is>
          <t>원주봉화산푸르지오(33평/4.2)_x000D_
원주봉화산벨라시티2차(35평/4.1)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5">
      <c r="A13" s="150" t="n">
        <v>3</v>
      </c>
      <c r="B13" s="60" t="inlineStr">
        <is>
          <t>~</t>
        </is>
      </c>
      <c r="C13" s="151" t="n">
        <v>4</v>
      </c>
      <c r="D13" s="61" t="inlineStr">
        <is>
          <t>사랑으로부영(27평/3.0)</t>
        </is>
      </c>
      <c r="E13" s="61" t="inlineStr">
        <is>
          <t>원주기업도시호반베르디움(3-1블록)(34평/4.0)_x000D_
원주기업도시호반베르디움(3-2블록)(34평/3.9)_x000D_
원주기업도시유보라아이비파크2단지(34평/3.7)_x000D_
원주기업도시유보라아이비파크1단지(33평/3.7)_x000D_
원주롯데캐슬골드파크2차(25평/3.5)_x000D_
이지더원1차(34평/3.5)_x000D_
원주롯데캐슬골드파크1차(25평/3.3)_x000D_
원주기업도시호반베르디움8단지(26평/3.0)</t>
        </is>
      </c>
      <c r="F13" s="61" t="inlineStr">
        <is>
          <t>e편한세상반곡(34평/4.0)_x000D_
푸른숨LH3단지(33평/3.7)_x000D_
LH센트럴파크(34평/3.7)_x000D_
푸른숨휴브레스(33평/3.7)_x000D_
반곡퍼스트힐(33평/3.3)_x000D_
e편한세상반곡(26평/3.0)</t>
        </is>
      </c>
      <c r="G13" s="61" t="inlineStr">
        <is>
          <t>봉화산벨라시티(34평/3.6)_x000D_
원주봉화산푸르지오(30평/3.5)_x000D_
원주봉화산벨라시티3차(25평/3.2)_x000D_
원주봉화산벨라시티2차(25평/3.2)_x000D_
원주봉화산푸르지오(26평/3.0)</t>
        </is>
      </c>
      <c r="H13" s="61" t="inlineStr">
        <is>
          <t>원주단구내안애카운티에듀파크2단지(33평/3.9)_x000D_
단구한신더휴(35평/3.7)_x000D_
원주단구내안애카운티에듀파크1단지(32평/3.4)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원주기업도시유보라아이비파크2단지(24평/2.9)_x000D_
원주롯데캐슬더퍼스트2차(26평/2.9)_x000D_
원주기업도시호반베르디움(3-2블록)(25평/2.9)_x000D_
이지더원더그레이스(25평/2.8)_x000D_
원주롯데캐슬더퍼스트(26평/2.8)_x000D_
원주기업도시유보라아이비파크1단지(25평/2.7)_x000D_
원주기업도시라온프라이빗(25평/2.7)_x000D_
원주기업도시호반베르디움(3-1블록)(25평/2.7)_x000D_
이지더원1차(24평/2.6)</t>
        </is>
      </c>
      <c r="F14" s="61" t="n"/>
      <c r="G14" s="61" t="inlineStr">
        <is>
          <t>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50" t="n">
        <v>2</v>
      </c>
      <c r="B15" s="60" t="inlineStr">
        <is>
          <t>~</t>
        </is>
      </c>
      <c r="C15" s="151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2" t="n">
        <v>1.5</v>
      </c>
      <c r="B16" s="62" t="inlineStr">
        <is>
          <t>~</t>
        </is>
      </c>
      <c r="C16" s="153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2" t="n">
        <v>1</v>
      </c>
      <c r="B17" s="62" t="inlineStr">
        <is>
          <t>~</t>
        </is>
      </c>
      <c r="C17" s="153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5">
      <c r="A24" s="148">
        <f>IF(A11="","",A11)</f>
        <v/>
      </c>
      <c r="B24" s="55">
        <f>IF(B11="","",B11)</f>
        <v/>
      </c>
      <c r="C24" s="149">
        <f>IF(C11="","",C11)</f>
        <v/>
      </c>
      <c r="D24" s="56" t="inlineStr">
        <is>
          <t>더샵원주센트럴파크1단지('21/5.6)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원주무실세영리첼1차('14/4.8)_x000D_
원주무실세영리첼2차('15/4.7)_x000D_
무실우미린('14/4.6)_x000D_
무실우미린('14/4.0)</t>
        </is>
      </c>
      <c r="E25" s="56" t="inlineStr">
        <is>
          <t>원주롯데캐슬골드파크2차('19/4.8)_x000D_
원주롯데캐슬더퍼스트2차('18/4.4)_x000D_
이지더원더그레이스('20/4.2)_x000D_
원주기업도시호반베르디움8단지('18/4.1)_x000D_
원주기업도시라온프라이빗('18/4.0)</t>
        </is>
      </c>
      <c r="F25" s="56" t="inlineStr">
        <is>
          <t>힐데스하임5단지('15/4.8)_x000D_
중흥에스-클래스프라디움('16/4.7)_x000D_
반곡모아엘가('17/4.0)</t>
        </is>
      </c>
      <c r="G25" s="56" t="inlineStr">
        <is>
          <t>원주봉화산푸르지오('17/4.2)_x000D_
원주봉화산벨라시티2차('18/4.1)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n"/>
      <c r="E26" s="61" t="inlineStr">
        <is>
          <t>원주기업도시호반베르디움(3-1블록)('19/4.0)_x000D_
원주기업도시호반베르디움(3-2블록)('19/3.9)_x000D_
원주기업도시유보라아이비파크2단지('20/3.7)_x000D_
원주기업도시유보라아이비파크1단지('20/3.7)_x000D_
이지더원1차('19/3.5)</t>
        </is>
      </c>
      <c r="F26" s="61" t="inlineStr">
        <is>
          <t>e편한세상반곡('18/4.0)_x000D_
푸른숨LH3단지('15/3.7)_x000D_
LH센트럴파크('19/3.7)_x000D_
푸른숨휴브레스('13/3.7)_x000D_
반곡퍼스트힐('14/3.3)</t>
        </is>
      </c>
      <c r="G26" s="61" t="inlineStr">
        <is>
          <t>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원주단구내안애카운티에듀파크1단지('20/3.4)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50">
        <f>IF(A15="","",A15)</f>
        <v/>
      </c>
      <c r="B28" s="60">
        <f>IF(B15="","",B15)</f>
        <v/>
      </c>
      <c r="C28" s="151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5">
      <c r="A39" s="150">
        <f>IF(A26="","",A26)</f>
        <v/>
      </c>
      <c r="B39" s="60">
        <f>IF(B26="","",B26)</f>
        <v/>
      </c>
      <c r="C39" s="151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원주롯데캐슬골드파크1차('19/3.3)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원주기업도시호반베르디움(3-2블록)('19/2.9)_x000D_
이지더원더그레이스('20/2.8)_x000D_
원주기업도시유보라아이비파크1단지('20/2.7)_x000D_
원주기업도시라온프라이빗('18/2.7)_x000D_
원주기업도시호반베르디움(3-1블록)('19/2.7)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0">
        <f>IF(A28="","",A28)</f>
        <v/>
      </c>
      <c r="B41" s="60">
        <f>IF(B28="","",B28)</f>
        <v/>
      </c>
      <c r="C41" s="151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2">
        <f>IF(A29="","",A29)</f>
        <v/>
      </c>
      <c r="B42" s="62">
        <f>IF(B29="","",B29)</f>
        <v/>
      </c>
      <c r="C42" s="153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inlineStr">
        <is>
          <t>원주봉화산푸르지오('17/3.0)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inlineStr">
        <is>
          <t>이지더원1차('19/2.6)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2">
        <f>IF(A56="","",A56)</f>
        <v/>
      </c>
      <c r="B69" s="62">
        <f>IF(B56="","",B56)</f>
        <v/>
      </c>
      <c r="C69" s="153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4" t="n">
        <v>359</v>
      </c>
      <c r="D6" s="132" t="n">
        <v>110</v>
      </c>
      <c r="E6" s="133" t="n">
        <v>33</v>
      </c>
      <c r="F6" s="132" t="n">
        <v>80</v>
      </c>
      <c r="G6" s="17" t="n">
        <v>24</v>
      </c>
      <c r="H6" s="134" t="n">
        <v>157</v>
      </c>
      <c r="I6" s="135" t="n">
        <v>33000</v>
      </c>
      <c r="J6" s="135" t="inlineStr">
        <is>
          <t>5</t>
        </is>
      </c>
      <c r="K6" s="135" t="n">
        <v>26000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계</t>
        </is>
      </c>
      <c r="T6" s="5" t="inlineStr">
        <is>
          <t>77B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4" t="n">
        <v>359</v>
      </c>
      <c r="D7" s="132" t="n">
        <v>82.40000000000001</v>
      </c>
      <c r="E7" s="133" t="n">
        <v>25</v>
      </c>
      <c r="F7" s="132" t="n">
        <v>60</v>
      </c>
      <c r="G7" s="17" t="n">
        <v>18</v>
      </c>
      <c r="H7" s="134" t="n">
        <v>126</v>
      </c>
      <c r="I7" s="135" t="n">
        <v>27500</v>
      </c>
      <c r="J7" s="135" t="inlineStr">
        <is>
          <t>5</t>
        </is>
      </c>
      <c r="K7" s="135" t="n">
        <v>23000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2" t="n">
        <v>2</v>
      </c>
      <c r="R7" s="122" t="n">
        <v>1</v>
      </c>
      <c r="S7" s="122" t="inlineStr">
        <is>
          <t>계</t>
        </is>
      </c>
      <c r="T7" s="5" t="inlineStr">
        <is>
          <t>70C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2">
        <f>S7</f>
        <v/>
      </c>
      <c r="AF7" s="122">
        <f>Q7&amp;"/"&amp;R7</f>
        <v/>
      </c>
      <c r="AH7" s="20">
        <f>IF(A7="","",A7)</f>
        <v/>
      </c>
      <c r="AI7" s="133">
        <f>IF(E7="","",E7)</f>
        <v/>
      </c>
      <c r="AJ7" s="122">
        <f>IF(AI7="","",$AJ$2)</f>
        <v/>
      </c>
      <c r="AK7" s="122" t="inlineStr">
        <is>
          <t>A</t>
        </is>
      </c>
      <c r="AL7" s="122" t="inlineStr">
        <is>
          <t>A+</t>
        </is>
      </c>
      <c r="AM7" s="122" t="inlineStr">
        <is>
          <t>B+</t>
        </is>
      </c>
      <c r="AN7" s="122">
        <f>IF(AI7="","",$AN$2)</f>
        <v/>
      </c>
      <c r="AO7" s="122">
        <f>IF(N7="","",IF(N7&gt;=$AO$1/100,"O","X"))</f>
        <v/>
      </c>
      <c r="AP7" s="122">
        <f>IF(I7="","",IF(I7&lt;=$AP$1,"O","X"))</f>
        <v/>
      </c>
      <c r="AQ7" s="122">
        <f>IF(O7="","",IF(O7&lt;=$AQ$1,"O","X"))</f>
        <v/>
      </c>
      <c r="AR7" s="122">
        <f>IF(M7="","",IF(M7&lt;=$AR$1,"O","X"))</f>
        <v/>
      </c>
      <c r="AS7" s="122" t="inlineStr">
        <is>
          <t>X</t>
        </is>
      </c>
      <c r="AT7" s="122">
        <f>IF(OR(F7="",AI7=""),"",IF(AND((F7&lt;=85),(AI7&gt;=15)),"O","X"))</f>
        <v/>
      </c>
      <c r="AU7" s="122">
        <f>IF(C7="","",IF(C7&gt;=$AU$1,"O","X"))</f>
        <v/>
      </c>
      <c r="AV7" s="12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이안원주태장</t>
        </is>
      </c>
      <c r="B6" s="10" t="inlineStr">
        <is>
          <t>'19.08.</t>
        </is>
      </c>
      <c r="C6" s="134" t="n">
        <v>920</v>
      </c>
      <c r="D6" s="132" t="n">
        <v>116.9</v>
      </c>
      <c r="E6" s="133" t="n">
        <v>35</v>
      </c>
      <c r="F6" s="132" t="n">
        <v>84.90000000000001</v>
      </c>
      <c r="G6" s="17" t="n">
        <v>26</v>
      </c>
      <c r="H6" s="134" t="n">
        <v>62</v>
      </c>
      <c r="I6" s="135" t="n">
        <v>32000</v>
      </c>
      <c r="J6" s="135" t="inlineStr">
        <is>
          <t>중</t>
        </is>
      </c>
      <c r="K6" s="135" t="n">
        <v>27000</v>
      </c>
      <c r="L6" s="135" t="inlineStr">
        <is>
          <t>20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e편한세상원주태장</t>
        </is>
      </c>
      <c r="B8" s="10" t="inlineStr">
        <is>
          <t>'18.12.</t>
        </is>
      </c>
      <c r="C8" s="134" t="n">
        <v>703</v>
      </c>
      <c r="D8" s="132" t="n">
        <v>103.5</v>
      </c>
      <c r="E8" s="133" t="n">
        <v>31</v>
      </c>
      <c r="F8" s="132" t="n">
        <v>75</v>
      </c>
      <c r="G8" s="17" t="n">
        <v>23</v>
      </c>
      <c r="H8" s="134" t="n">
        <v>308</v>
      </c>
      <c r="I8" s="135" t="n">
        <v>31000</v>
      </c>
      <c r="J8" s="135" t="inlineStr">
        <is>
          <t>17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106B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4" t="n">
        <v>703</v>
      </c>
      <c r="D9" s="132" t="n">
        <v>83.8</v>
      </c>
      <c r="E9" s="133" t="n">
        <v>25</v>
      </c>
      <c r="F9" s="132" t="n">
        <v>60</v>
      </c>
      <c r="G9" s="17" t="n">
        <v>18</v>
      </c>
      <c r="H9" s="134" t="n">
        <v>227</v>
      </c>
      <c r="I9" s="135" t="n">
        <v>23000</v>
      </c>
      <c r="J9" s="135" t="inlineStr">
        <is>
          <t>고</t>
        </is>
      </c>
      <c r="K9" s="135" t="n">
        <v>20000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2" t="n">
        <v>3</v>
      </c>
      <c r="R9" s="122" t="n">
        <v>1</v>
      </c>
      <c r="S9" s="122" t="inlineStr">
        <is>
          <t>계</t>
        </is>
      </c>
      <c r="T9" s="5" t="inlineStr">
        <is>
          <t>54S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2">
        <f>S9</f>
        <v/>
      </c>
      <c r="AF9" s="122">
        <f>Q9&amp;"/"&amp;R9</f>
        <v/>
      </c>
      <c r="AH9" s="20">
        <f>IF(A9="","",A9)</f>
        <v/>
      </c>
      <c r="AI9" s="133">
        <f>IF(E9="","",E9)</f>
        <v/>
      </c>
      <c r="AJ9" s="122">
        <f>IF(AI9="","",$AJ$2)</f>
        <v/>
      </c>
      <c r="AK9" s="122" t="inlineStr">
        <is>
          <t>A</t>
        </is>
      </c>
      <c r="AL9" s="122" t="inlineStr">
        <is>
          <t>A+</t>
        </is>
      </c>
      <c r="AM9" s="122" t="inlineStr">
        <is>
          <t>B+</t>
        </is>
      </c>
      <c r="AN9" s="122">
        <f>IF(AI9="","",$AN$2)</f>
        <v/>
      </c>
      <c r="AO9" s="122">
        <f>IF(N9="","",IF(N9&gt;=$AO$1/100,"O","X"))</f>
        <v/>
      </c>
      <c r="AP9" s="122">
        <f>IF(I9="","",IF(I9&lt;=$AP$1,"O","X"))</f>
        <v/>
      </c>
      <c r="AQ9" s="122">
        <f>IF(O9="","",IF(O9&lt;=$AQ$1,"O","X"))</f>
        <v/>
      </c>
      <c r="AR9" s="122">
        <f>IF(M9="","",IF(M9&lt;=$AR$1,"O","X"))</f>
        <v/>
      </c>
      <c r="AS9" s="122" t="inlineStr">
        <is>
          <t>X</t>
        </is>
      </c>
      <c r="AT9" s="122">
        <f>IF(OR(F9="",AI9=""),"",IF(AND((F9&lt;=85),(AI9&gt;=15)),"O","X"))</f>
        <v/>
      </c>
      <c r="AU9" s="122">
        <f>IF(C9="","",IF(C9&gt;=$AU$1,"O","X"))</f>
        <v/>
      </c>
      <c r="AV9" s="122">
        <f>IF(AO9="","",IF(AND(AO9="O",AP9="O",AR9="O",AT9="O",AU9="O"),"후보","X"))</f>
        <v/>
      </c>
    </row>
    <row r="10">
      <c r="A10" s="9" t="n"/>
      <c r="B10" s="122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2" t="n"/>
      <c r="AK10" s="122" t="n"/>
      <c r="AL10" s="122" t="n"/>
      <c r="AM10" s="122" t="n"/>
      <c r="AN10" s="122" t="n"/>
      <c r="AO10" s="122" t="n"/>
      <c r="AP10" s="122" t="n"/>
      <c r="AQ10" s="122" t="n"/>
      <c r="AR10" s="122" t="n"/>
      <c r="AS10" s="122" t="n"/>
      <c r="AT10" s="122" t="n"/>
      <c r="AU10" s="122" t="n"/>
      <c r="AV10" s="122" t="n"/>
    </row>
    <row r="11">
      <c r="A11" s="9" t="inlineStr">
        <is>
          <t>이안원주태장</t>
        </is>
      </c>
      <c r="B11" s="10" t="inlineStr">
        <is>
          <t>'19.08.</t>
        </is>
      </c>
      <c r="C11" s="134" t="n">
        <v>920</v>
      </c>
      <c r="D11" s="132" t="n">
        <v>82.40000000000001</v>
      </c>
      <c r="E11" s="133" t="n">
        <v>25</v>
      </c>
      <c r="F11" s="132" t="n">
        <v>60</v>
      </c>
      <c r="G11" s="17" t="n">
        <v>18</v>
      </c>
      <c r="H11" s="134" t="n">
        <v>372</v>
      </c>
      <c r="I11" s="135" t="n">
        <v>21000</v>
      </c>
      <c r="J11" s="135" t="inlineStr">
        <is>
          <t>고</t>
        </is>
      </c>
      <c r="K11" s="135" t="n">
        <v>20000</v>
      </c>
      <c r="L11" s="135" t="inlineStr">
        <is>
          <t>17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2" t="n">
        <v>5</v>
      </c>
      <c r="R11" s="122" t="n">
        <v>3</v>
      </c>
      <c r="S11" s="122" t="inlineStr">
        <is>
          <t>계</t>
        </is>
      </c>
      <c r="T11" s="5" t="inlineStr">
        <is>
          <t>204A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2">
        <f>S11</f>
        <v/>
      </c>
      <c r="AF11" s="122">
        <f>Q11&amp;"/"&amp;R11</f>
        <v/>
      </c>
      <c r="AH11" s="20">
        <f>IF(A11="","",A11)</f>
        <v/>
      </c>
      <c r="AI11" s="133">
        <f>IF(E11="","",E11)</f>
        <v/>
      </c>
      <c r="AJ11" s="122">
        <f>IF(AI11="","",$AJ$2)</f>
        <v/>
      </c>
      <c r="AK11" s="122" t="inlineStr">
        <is>
          <t>A</t>
        </is>
      </c>
      <c r="AL11" s="122" t="inlineStr">
        <is>
          <t>A+</t>
        </is>
      </c>
      <c r="AM11" s="122" t="inlineStr">
        <is>
          <t>B+</t>
        </is>
      </c>
      <c r="AN11" s="122">
        <f>IF(AI11="","",$AN$2)</f>
        <v/>
      </c>
      <c r="AO11" s="122">
        <f>IF(N11="","",IF(N11&gt;=$AO$1/100,"O","X"))</f>
        <v/>
      </c>
      <c r="AP11" s="122">
        <f>IF(I11="","",IF(I11&lt;=$AP$1,"O","X"))</f>
        <v/>
      </c>
      <c r="AQ11" s="122">
        <f>IF(O11="","",IF(O11&lt;=$AQ$1,"O","X"))</f>
        <v/>
      </c>
      <c r="AR11" s="122">
        <f>IF(M11="","",IF(M11&lt;=$AR$1,"O","X"))</f>
        <v/>
      </c>
      <c r="AS11" s="122" t="inlineStr">
        <is>
          <t>X</t>
        </is>
      </c>
      <c r="AT11" s="122">
        <f>IF(OR(F11="",AI11=""),"",IF(AND((F11&lt;=85),(AI11&gt;=15)),"O","X"))</f>
        <v/>
      </c>
      <c r="AU11" s="122">
        <f>IF(C11="","",IF(C11&gt;=$AU$1,"O","X"))</f>
        <v/>
      </c>
      <c r="AV11" s="122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17">
      <formula>AV10="X"</formula>
    </cfRule>
    <cfRule type="expression" priority="24" dxfId="16">
      <formula>AV10="후보"</formula>
    </cfRule>
  </conditionalFormatting>
  <conditionalFormatting sqref="AC10 N1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4" t="n">
        <v>536</v>
      </c>
      <c r="D6" s="132" t="n">
        <v>111</v>
      </c>
      <c r="E6" s="133" t="n">
        <v>34</v>
      </c>
      <c r="F6" s="132" t="n">
        <v>85</v>
      </c>
      <c r="G6" s="17" t="n">
        <v>26</v>
      </c>
      <c r="H6" s="134" t="n">
        <v>243</v>
      </c>
      <c r="I6" s="135" t="n">
        <v>46000</v>
      </c>
      <c r="J6" s="135" t="inlineStr">
        <is>
          <t>11</t>
        </is>
      </c>
      <c r="K6" s="135" t="n">
        <v>27000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4" t="n">
        <v>624</v>
      </c>
      <c r="D8" s="132" t="n">
        <v>110.3</v>
      </c>
      <c r="E8" s="133" t="n">
        <v>33</v>
      </c>
      <c r="F8" s="132" t="n">
        <v>85</v>
      </c>
      <c r="G8" s="17" t="n">
        <v>26</v>
      </c>
      <c r="H8" s="134" t="n">
        <v>266</v>
      </c>
      <c r="I8" s="135" t="n">
        <v>51000</v>
      </c>
      <c r="J8" s="135" t="inlineStr">
        <is>
          <t>6</t>
        </is>
      </c>
      <c r="K8" s="135" t="n">
        <v>30000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inlineStr">
        <is>
          <t>127A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4" t="n">
        <v>776</v>
      </c>
      <c r="D10" s="132" t="n">
        <v>114.7</v>
      </c>
      <c r="E10" s="133" t="n">
        <v>35</v>
      </c>
      <c r="F10" s="132" t="n">
        <v>85</v>
      </c>
      <c r="G10" s="17" t="n">
        <v>26</v>
      </c>
      <c r="H10" s="134" t="n">
        <v>428</v>
      </c>
      <c r="I10" s="135" t="n">
        <v>38500</v>
      </c>
      <c r="J10" s="135" t="inlineStr">
        <is>
          <t>중</t>
        </is>
      </c>
      <c r="K10" s="135" t="n">
        <v>23000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107B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4" t="n">
        <v>1116</v>
      </c>
      <c r="D12" s="132" t="n">
        <v>113.4</v>
      </c>
      <c r="E12" s="133" t="n">
        <v>34</v>
      </c>
      <c r="F12" s="132" t="n">
        <v>85</v>
      </c>
      <c r="G12" s="17" t="n">
        <v>26</v>
      </c>
      <c r="H12" s="134" t="n">
        <v>472</v>
      </c>
      <c r="I12" s="135" t="n">
        <v>44000</v>
      </c>
      <c r="J12" s="135" t="inlineStr">
        <is>
          <t>중</t>
        </is>
      </c>
      <c r="K12" s="135" t="n">
        <v>24000</v>
      </c>
      <c r="L12" s="135" t="inlineStr">
        <is>
          <t>21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1</v>
      </c>
      <c r="R12" s="122" t="n">
        <v>1</v>
      </c>
      <c r="S12" s="122" t="inlineStr">
        <is>
          <t>계</t>
        </is>
      </c>
      <c r="T12" s="5" t="inlineStr">
        <is>
          <t>45B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 ht="24" customHeight="1" s="125">
      <c r="A14" s="9" t="inlineStr">
        <is>
          <t>원주기업도시유보라아이비파크2단지</t>
        </is>
      </c>
      <c r="B14" s="10" t="inlineStr">
        <is>
          <t>'20.01.</t>
        </is>
      </c>
      <c r="C14" s="134" t="n">
        <v>794</v>
      </c>
      <c r="D14" s="132" t="n">
        <v>111.9</v>
      </c>
      <c r="E14" s="133" t="n">
        <v>34</v>
      </c>
      <c r="F14" s="132" t="n">
        <v>85</v>
      </c>
      <c r="G14" s="17" t="n">
        <v>26</v>
      </c>
      <c r="H14" s="134" t="n">
        <v>263</v>
      </c>
      <c r="I14" s="135" t="n">
        <v>38000</v>
      </c>
      <c r="J14" s="135" t="inlineStr">
        <is>
          <t>15</t>
        </is>
      </c>
      <c r="K14" s="135" t="n">
        <v>23000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n">
        <v>77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4" t="n">
        <v>882</v>
      </c>
      <c r="D16" s="132" t="n">
        <v>113.5</v>
      </c>
      <c r="E16" s="133" t="n">
        <v>34</v>
      </c>
      <c r="F16" s="132" t="n">
        <v>85</v>
      </c>
      <c r="G16" s="17" t="n">
        <v>26</v>
      </c>
      <c r="H16" s="134" t="n">
        <v>407</v>
      </c>
      <c r="I16" s="135" t="n">
        <v>39500</v>
      </c>
      <c r="J16" s="135" t="inlineStr">
        <is>
          <t>8</t>
        </is>
      </c>
      <c r="K16" s="135" t="n">
        <v>26000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1</v>
      </c>
      <c r="R16" s="122" t="n">
        <v>1</v>
      </c>
      <c r="S16" s="122" t="inlineStr">
        <is>
          <t>계</t>
        </is>
      </c>
      <c r="T16" s="5" t="inlineStr">
        <is>
          <t>34C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4" t="n">
        <v>1243</v>
      </c>
      <c r="D18" s="132" t="n">
        <v>113.2</v>
      </c>
      <c r="E18" s="133" t="n">
        <v>34</v>
      </c>
      <c r="F18" s="132" t="n">
        <v>85</v>
      </c>
      <c r="G18" s="17" t="n">
        <v>26</v>
      </c>
      <c r="H18" s="134" t="n">
        <v>24</v>
      </c>
      <c r="I18" s="135" t="n">
        <v>43000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102A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 ht="24" customHeight="1" s="125">
      <c r="A20" s="9" t="inlineStr">
        <is>
          <t>원주기업도시유보라아이비파크1단지</t>
        </is>
      </c>
      <c r="B20" s="10" t="inlineStr">
        <is>
          <t>'20.01.</t>
        </is>
      </c>
      <c r="C20" s="134" t="n">
        <v>548</v>
      </c>
      <c r="D20" s="132" t="n">
        <v>109.7</v>
      </c>
      <c r="E20" s="133" t="n">
        <v>33</v>
      </c>
      <c r="F20" s="132" t="n">
        <v>85</v>
      </c>
      <c r="G20" s="17" t="n">
        <v>26</v>
      </c>
      <c r="H20" s="134" t="n">
        <v>180</v>
      </c>
      <c r="I20" s="135" t="n">
        <v>37000</v>
      </c>
      <c r="J20" s="135" t="inlineStr">
        <is>
          <t>13</t>
        </is>
      </c>
      <c r="K20" s="135" t="n">
        <v>25000</v>
      </c>
      <c r="L20" s="135" t="inlineStr">
        <is>
          <t>7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3</v>
      </c>
      <c r="R20" s="122" t="n">
        <v>2</v>
      </c>
      <c r="S20" s="122" t="inlineStr">
        <is>
          <t>계</t>
        </is>
      </c>
      <c r="T20" s="5" t="inlineStr">
        <is>
          <t>107A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 ht="24" customHeight="1" s="125">
      <c r="A22" s="9" t="inlineStr">
        <is>
          <t>원주기업도시호반베르디움(3-1블록)</t>
        </is>
      </c>
      <c r="B22" s="10" t="inlineStr">
        <is>
          <t>'19.05.</t>
        </is>
      </c>
      <c r="C22" s="134" t="n">
        <v>892</v>
      </c>
      <c r="D22" s="132" t="n">
        <v>111</v>
      </c>
      <c r="E22" s="133" t="n">
        <v>34</v>
      </c>
      <c r="F22" s="132" t="n">
        <v>84.90000000000001</v>
      </c>
      <c r="G22" s="17" t="n">
        <v>26</v>
      </c>
      <c r="H22" s="134" t="n">
        <v>532</v>
      </c>
      <c r="I22" s="135" t="n">
        <v>39000</v>
      </c>
      <c r="J22" s="135" t="inlineStr">
        <is>
          <t>5</t>
        </is>
      </c>
      <c r="K22" s="135" t="n">
        <v>24000</v>
      </c>
      <c r="L22" s="135" t="inlineStr">
        <is>
          <t>중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4</v>
      </c>
      <c r="R22" s="122" t="n">
        <v>2</v>
      </c>
      <c r="S22" s="122" t="inlineStr">
        <is>
          <t>계</t>
        </is>
      </c>
      <c r="T22" s="5" t="n">
        <v>146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  <row r="23">
      <c r="A23" s="9" t="n"/>
      <c r="B23" s="122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2" t="n"/>
      <c r="AK23" s="122" t="n"/>
      <c r="AL23" s="122" t="n"/>
      <c r="AM23" s="122" t="n"/>
      <c r="AN23" s="122" t="n"/>
      <c r="AO23" s="122" t="n"/>
      <c r="AP23" s="122" t="n"/>
      <c r="AQ23" s="122" t="n"/>
      <c r="AR23" s="122" t="n"/>
      <c r="AS23" s="122" t="n"/>
      <c r="AT23" s="122" t="n"/>
      <c r="AU23" s="122" t="n"/>
      <c r="AV23" s="122" t="n"/>
    </row>
    <row r="24" ht="24" customHeight="1" s="125">
      <c r="A24" s="9" t="inlineStr">
        <is>
          <t>원주기업도시호반베르디움(3-2블록)</t>
        </is>
      </c>
      <c r="B24" s="10" t="inlineStr">
        <is>
          <t>'19.05.</t>
        </is>
      </c>
      <c r="C24" s="134" t="n">
        <v>824</v>
      </c>
      <c r="D24" s="132" t="n">
        <v>110.9</v>
      </c>
      <c r="E24" s="133" t="n">
        <v>34</v>
      </c>
      <c r="F24" s="132" t="n">
        <v>84.90000000000001</v>
      </c>
      <c r="G24" s="17" t="n">
        <v>26</v>
      </c>
      <c r="H24" s="134" t="n">
        <v>494</v>
      </c>
      <c r="I24" s="135" t="n">
        <v>39000</v>
      </c>
      <c r="J24" s="135" t="inlineStr">
        <is>
          <t>10</t>
        </is>
      </c>
      <c r="K24" s="135" t="n">
        <v>23000</v>
      </c>
      <c r="L24" s="135" t="inlineStr">
        <is>
          <t>6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2" t="n">
        <v>3</v>
      </c>
      <c r="R24" s="122" t="n">
        <v>2</v>
      </c>
      <c r="S24" s="122" t="inlineStr">
        <is>
          <t>계</t>
        </is>
      </c>
      <c r="T24" s="5" t="inlineStr">
        <is>
          <t>87B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2">
        <f>S24</f>
        <v/>
      </c>
      <c r="AF24" s="122">
        <f>Q24&amp;"/"&amp;R24</f>
        <v/>
      </c>
      <c r="AH24" s="20">
        <f>IF(A24="","",A24)</f>
        <v/>
      </c>
      <c r="AI24" s="133">
        <f>IF(E24="","",E24)</f>
        <v/>
      </c>
      <c r="AJ24" s="122">
        <f>IF(AI24="","",$AJ$2)</f>
        <v/>
      </c>
      <c r="AK24" s="122" t="inlineStr">
        <is>
          <t>A</t>
        </is>
      </c>
      <c r="AL24" s="122" t="inlineStr">
        <is>
          <t>A+</t>
        </is>
      </c>
      <c r="AM24" s="122" t="inlineStr">
        <is>
          <t>B+</t>
        </is>
      </c>
      <c r="AN24" s="122">
        <f>IF(AI24="","",$AN$2)</f>
        <v/>
      </c>
      <c r="AO24" s="122">
        <f>IF(N24="","",IF(N24&gt;=$AO$1/100,"O","X"))</f>
        <v/>
      </c>
      <c r="AP24" s="122">
        <f>IF(I24="","",IF(I24&lt;=$AP$1,"O","X"))</f>
        <v/>
      </c>
      <c r="AQ24" s="122">
        <f>IF(O24="","",IF(O24&lt;=$AQ$1,"O","X"))</f>
        <v/>
      </c>
      <c r="AR24" s="122">
        <f>IF(M24="","",IF(M24&lt;=$AR$1,"O","X"))</f>
        <v/>
      </c>
      <c r="AS24" s="122" t="inlineStr">
        <is>
          <t>X</t>
        </is>
      </c>
      <c r="AT24" s="122">
        <f>IF(OR(F24="",AI24=""),"",IF(AND((F24&lt;=85),(AI24&gt;=15)),"O","X"))</f>
        <v/>
      </c>
      <c r="AU24" s="122">
        <f>IF(C24="","",IF(C24&gt;=$AU$1,"O","X"))</f>
        <v/>
      </c>
      <c r="AV24" s="122">
        <f>IF(AO24="","",IF(AND(AO24="O",AP24="O",AR24="O",AT24="O",AU24="O"),"후보","X"))</f>
        <v/>
      </c>
    </row>
    <row r="25">
      <c r="A25" s="9" t="n"/>
      <c r="B25" s="122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2" t="n"/>
      <c r="AK25" s="122" t="n"/>
      <c r="AL25" s="122" t="n"/>
      <c r="AM25" s="122" t="n"/>
      <c r="AN25" s="122" t="n"/>
      <c r="AO25" s="122" t="n"/>
      <c r="AP25" s="122" t="n"/>
      <c r="AQ25" s="122" t="n"/>
      <c r="AR25" s="122" t="n"/>
      <c r="AS25" s="122" t="n"/>
      <c r="AT25" s="122" t="n"/>
      <c r="AU25" s="122" t="n"/>
      <c r="AV25" s="122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4" t="n">
        <v>713</v>
      </c>
      <c r="D26" s="132" t="n">
        <v>113.4</v>
      </c>
      <c r="E26" s="133" t="n">
        <v>34</v>
      </c>
      <c r="F26" s="132" t="n">
        <v>84.7</v>
      </c>
      <c r="G26" s="17" t="n">
        <v>26</v>
      </c>
      <c r="H26" s="134" t="n">
        <v>178</v>
      </c>
      <c r="I26" s="135" t="n">
        <v>40000</v>
      </c>
      <c r="J26" s="135" t="inlineStr">
        <is>
          <t>5</t>
        </is>
      </c>
      <c r="K26" s="135" t="n">
        <v>27000</v>
      </c>
      <c r="L26" s="135" t="inlineStr">
        <is>
          <t>5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2" t="n">
        <v>4</v>
      </c>
      <c r="R26" s="122" t="n">
        <v>2</v>
      </c>
      <c r="S26" s="122" t="inlineStr">
        <is>
          <t>계</t>
        </is>
      </c>
      <c r="T26" s="5" t="n">
        <v>137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2">
        <f>S26</f>
        <v/>
      </c>
      <c r="AF26" s="122">
        <f>Q26&amp;"/"&amp;R26</f>
        <v/>
      </c>
      <c r="AH26" s="20">
        <f>IF(A26="","",A26)</f>
        <v/>
      </c>
      <c r="AI26" s="133">
        <f>IF(E26="","",E26)</f>
        <v/>
      </c>
      <c r="AJ26" s="122">
        <f>IF(AI26="","",$AJ$2)</f>
        <v/>
      </c>
      <c r="AK26" s="122" t="inlineStr">
        <is>
          <t>A</t>
        </is>
      </c>
      <c r="AL26" s="122" t="inlineStr">
        <is>
          <t>A+</t>
        </is>
      </c>
      <c r="AM26" s="122" t="inlineStr">
        <is>
          <t>B+</t>
        </is>
      </c>
      <c r="AN26" s="122">
        <f>IF(AI26="","",$AN$2)</f>
        <v/>
      </c>
      <c r="AO26" s="122">
        <f>IF(N26="","",IF(N26&gt;=$AO$1/100,"O","X"))</f>
        <v/>
      </c>
      <c r="AP26" s="122">
        <f>IF(I26="","",IF(I26&lt;=$AP$1,"O","X"))</f>
        <v/>
      </c>
      <c r="AQ26" s="122">
        <f>IF(O26="","",IF(O26&lt;=$AQ$1,"O","X"))</f>
        <v/>
      </c>
      <c r="AR26" s="122">
        <f>IF(M26="","",IF(M26&lt;=$AR$1,"O","X"))</f>
        <v/>
      </c>
      <c r="AS26" s="122" t="inlineStr">
        <is>
          <t>X</t>
        </is>
      </c>
      <c r="AT26" s="122">
        <f>IF(OR(F26="",AI26=""),"",IF(AND((F26&lt;=85),(AI26&gt;=15)),"O","X"))</f>
        <v/>
      </c>
      <c r="AU26" s="122">
        <f>IF(C26="","",IF(C26&gt;=$AU$1,"O","X"))</f>
        <v/>
      </c>
      <c r="AV26" s="122">
        <f>IF(AO26="","",IF(AND(AO26="O",AP26="O",AR26="O",AT26="O",AU26="O"),"후보","X"))</f>
        <v/>
      </c>
    </row>
    <row r="27">
      <c r="A27" s="9" t="n"/>
      <c r="B27" s="122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2" t="n"/>
      <c r="AK27" s="122" t="n"/>
      <c r="AL27" s="122" t="n"/>
      <c r="AM27" s="122" t="n"/>
      <c r="AN27" s="122" t="n"/>
      <c r="AO27" s="122" t="n"/>
      <c r="AP27" s="122" t="n"/>
      <c r="AQ27" s="122" t="n"/>
      <c r="AR27" s="122" t="n"/>
      <c r="AS27" s="122" t="n"/>
      <c r="AT27" s="122" t="n"/>
      <c r="AU27" s="122" t="n"/>
      <c r="AV27" s="122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4" t="n">
        <v>776</v>
      </c>
      <c r="D28" s="132" t="n">
        <v>82</v>
      </c>
      <c r="E28" s="133" t="n">
        <v>25</v>
      </c>
      <c r="F28" s="132" t="n">
        <v>60</v>
      </c>
      <c r="G28" s="17" t="n">
        <v>18</v>
      </c>
      <c r="H28" s="134" t="n">
        <v>172</v>
      </c>
      <c r="I28" s="135" t="n">
        <v>28000</v>
      </c>
      <c r="J28" s="135" t="inlineStr">
        <is>
          <t>중</t>
        </is>
      </c>
      <c r="K28" s="135" t="n">
        <v>20000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2" t="n">
        <v>3</v>
      </c>
      <c r="R28" s="122" t="n">
        <v>2</v>
      </c>
      <c r="S28" s="122" t="inlineStr">
        <is>
          <t>계</t>
        </is>
      </c>
      <c r="T28" s="5" t="n">
        <v>102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2">
        <f>S28</f>
        <v/>
      </c>
      <c r="AF28" s="122">
        <f>Q28&amp;"/"&amp;R28</f>
        <v/>
      </c>
      <c r="AH28" s="20">
        <f>IF(A28="","",A28)</f>
        <v/>
      </c>
      <c r="AI28" s="133">
        <f>IF(E28="","",E28)</f>
        <v/>
      </c>
      <c r="AJ28" s="122">
        <f>IF(AI28="","",$AJ$2)</f>
        <v/>
      </c>
      <c r="AK28" s="122" t="inlineStr">
        <is>
          <t>A</t>
        </is>
      </c>
      <c r="AL28" s="122" t="inlineStr">
        <is>
          <t>A+</t>
        </is>
      </c>
      <c r="AM28" s="122" t="inlineStr">
        <is>
          <t>B+</t>
        </is>
      </c>
      <c r="AN28" s="122">
        <f>IF(AI28="","",$AN$2)</f>
        <v/>
      </c>
      <c r="AO28" s="122">
        <f>IF(N28="","",IF(N28&gt;=$AO$1/100,"O","X"))</f>
        <v/>
      </c>
      <c r="AP28" s="122">
        <f>IF(I28="","",IF(I28&lt;=$AP$1,"O","X"))</f>
        <v/>
      </c>
      <c r="AQ28" s="122">
        <f>IF(O28="","",IF(O28&lt;=$AQ$1,"O","X"))</f>
        <v/>
      </c>
      <c r="AR28" s="122">
        <f>IF(M28="","",IF(M28&lt;=$AR$1,"O","X"))</f>
        <v/>
      </c>
      <c r="AS28" s="122" t="inlineStr">
        <is>
          <t>X</t>
        </is>
      </c>
      <c r="AT28" s="122">
        <f>IF(OR(F28="",AI28=""),"",IF(AND((F28&lt;=85),(AI28&gt;=15)),"O","X"))</f>
        <v/>
      </c>
      <c r="AU28" s="122">
        <f>IF(C28="","",IF(C28&gt;=$AU$1,"O","X"))</f>
        <v/>
      </c>
      <c r="AV28" s="122">
        <f>IF(AO28="","",IF(AND(AO28="O",AP28="O",AR28="O",AT28="O",AU28="O"),"후보","X"))</f>
        <v/>
      </c>
    </row>
    <row r="29">
      <c r="A29" s="9" t="n"/>
      <c r="B29" s="122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7">
        <f>IF(E29="","",E29)</f>
        <v/>
      </c>
      <c r="AJ29" s="122" t="n"/>
      <c r="AK29" s="122" t="n"/>
      <c r="AL29" s="122" t="n"/>
      <c r="AM29" s="122" t="n"/>
      <c r="AN29" s="122" t="n"/>
      <c r="AO29" s="122" t="n"/>
      <c r="AP29" s="122" t="n"/>
      <c r="AQ29" s="122" t="n"/>
      <c r="AR29" s="122" t="n"/>
      <c r="AS29" s="122" t="n"/>
      <c r="AT29" s="122" t="n"/>
      <c r="AU29" s="122" t="n"/>
      <c r="AV29" s="122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4" t="n">
        <v>536</v>
      </c>
      <c r="D30" s="132" t="n">
        <v>81.2</v>
      </c>
      <c r="E30" s="133" t="n">
        <v>25</v>
      </c>
      <c r="F30" s="132" t="n">
        <v>60</v>
      </c>
      <c r="G30" s="17" t="n">
        <v>18</v>
      </c>
      <c r="H30" s="134" t="n">
        <v>128</v>
      </c>
      <c r="I30" s="135" t="n">
        <v>35500</v>
      </c>
      <c r="J30" s="135" t="inlineStr">
        <is>
          <t>중</t>
        </is>
      </c>
      <c r="K30" s="135" t="n">
        <v>23000</v>
      </c>
      <c r="L30" s="135" t="inlineStr">
        <is>
          <t>고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2" t="n">
        <v>3</v>
      </c>
      <c r="R30" s="122" t="n">
        <v>2</v>
      </c>
      <c r="S30" s="122" t="inlineStr">
        <is>
          <t>계</t>
        </is>
      </c>
      <c r="T30" s="5" t="n">
        <v>104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2">
        <f>S30</f>
        <v/>
      </c>
      <c r="AF30" s="122">
        <f>Q30&amp;"/"&amp;R30</f>
        <v/>
      </c>
      <c r="AH30" s="20">
        <f>IF(A30="","",A30)</f>
        <v/>
      </c>
      <c r="AI30" s="133">
        <f>IF(E30="","",E30)</f>
        <v/>
      </c>
      <c r="AJ30" s="122">
        <f>IF(AI30="","",$AJ$2)</f>
        <v/>
      </c>
      <c r="AK30" s="122" t="inlineStr">
        <is>
          <t>A</t>
        </is>
      </c>
      <c r="AL30" s="122" t="inlineStr">
        <is>
          <t>A+</t>
        </is>
      </c>
      <c r="AM30" s="122" t="inlineStr">
        <is>
          <t>B+</t>
        </is>
      </c>
      <c r="AN30" s="122">
        <f>IF(AI30="","",$AN$2)</f>
        <v/>
      </c>
      <c r="AO30" s="122">
        <f>IF(N30="","",IF(N30&gt;=$AO$1/100,"O","X"))</f>
        <v/>
      </c>
      <c r="AP30" s="122">
        <f>IF(I30="","",IF(I30&lt;=$AP$1,"O","X"))</f>
        <v/>
      </c>
      <c r="AQ30" s="122">
        <f>IF(O30="","",IF(O30&lt;=$AQ$1,"O","X"))</f>
        <v/>
      </c>
      <c r="AR30" s="122">
        <f>IF(M30="","",IF(M30&lt;=$AR$1,"O","X"))</f>
        <v/>
      </c>
      <c r="AS30" s="122" t="inlineStr">
        <is>
          <t>X</t>
        </is>
      </c>
      <c r="AT30" s="122">
        <f>IF(OR(F30="",AI30=""),"",IF(AND((F30&lt;=85),(AI30&gt;=15)),"O","X"))</f>
        <v/>
      </c>
      <c r="AU30" s="122">
        <f>IF(C30="","",IF(C30&gt;=$AU$1,"O","X"))</f>
        <v/>
      </c>
      <c r="AV30" s="122">
        <f>IF(AO30="","",IF(AND(AO30="O",AP30="O",AR30="O",AT30="O",AU30="O"),"후보","X"))</f>
        <v/>
      </c>
    </row>
    <row r="31">
      <c r="A31" s="9" t="n"/>
      <c r="B31" s="122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7">
        <f>IF(E31="","",E31)</f>
        <v/>
      </c>
      <c r="AJ31" s="122" t="n"/>
      <c r="AK31" s="122" t="n"/>
      <c r="AL31" s="122" t="n"/>
      <c r="AM31" s="122" t="n"/>
      <c r="AN31" s="122" t="n"/>
      <c r="AO31" s="122" t="n"/>
      <c r="AP31" s="122" t="n"/>
      <c r="AQ31" s="122" t="n"/>
      <c r="AR31" s="122" t="n"/>
      <c r="AS31" s="122" t="n"/>
      <c r="AT31" s="122" t="n"/>
      <c r="AU31" s="122" t="n"/>
      <c r="AV31" s="122" t="n"/>
    </row>
    <row r="32">
      <c r="A32" s="9" t="inlineStr">
        <is>
          <t>이지더원1차</t>
        </is>
      </c>
      <c r="B32" s="10" t="inlineStr">
        <is>
          <t>'19.01.</t>
        </is>
      </c>
      <c r="C32" s="134" t="n">
        <v>1430</v>
      </c>
      <c r="D32" s="132" t="n">
        <v>110.8</v>
      </c>
      <c r="E32" s="133" t="n">
        <v>34</v>
      </c>
      <c r="F32" s="132" t="n">
        <v>85</v>
      </c>
      <c r="G32" s="17" t="n">
        <v>26</v>
      </c>
      <c r="H32" s="134" t="n">
        <v>880</v>
      </c>
      <c r="I32" s="135" t="n">
        <v>35000</v>
      </c>
      <c r="J32" s="135" t="inlineStr">
        <is>
          <t>중</t>
        </is>
      </c>
      <c r="K32" s="135" t="n">
        <v>24000</v>
      </c>
      <c r="L32" s="135" t="inlineStr">
        <is>
          <t>14</t>
        </is>
      </c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2" t="n">
        <v>3</v>
      </c>
      <c r="R32" s="122" t="n">
        <v>1</v>
      </c>
      <c r="S32" s="122" t="inlineStr">
        <is>
          <t>계</t>
        </is>
      </c>
      <c r="T32" s="5" t="n">
        <v>73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2">
        <f>S32</f>
        <v/>
      </c>
      <c r="AF32" s="122">
        <f>Q32&amp;"/"&amp;R32</f>
        <v/>
      </c>
      <c r="AH32" s="20">
        <f>IF(A32="","",A32)</f>
        <v/>
      </c>
      <c r="AI32" s="133">
        <f>IF(E32="","",E32)</f>
        <v/>
      </c>
      <c r="AJ32" s="122">
        <f>IF(AI32="","",$AJ$2)</f>
        <v/>
      </c>
      <c r="AK32" s="122" t="inlineStr">
        <is>
          <t>A</t>
        </is>
      </c>
      <c r="AL32" s="122" t="inlineStr">
        <is>
          <t>A+</t>
        </is>
      </c>
      <c r="AM32" s="122" t="inlineStr">
        <is>
          <t>B+</t>
        </is>
      </c>
      <c r="AN32" s="122">
        <f>IF(AI32="","",$AN$2)</f>
        <v/>
      </c>
      <c r="AO32" s="122">
        <f>IF(N32="","",IF(N32&gt;=$AO$1/100,"O","X"))</f>
        <v/>
      </c>
      <c r="AP32" s="122">
        <f>IF(I32="","",IF(I32&lt;=$AP$1,"O","X"))</f>
        <v/>
      </c>
      <c r="AQ32" s="122">
        <f>IF(O32="","",IF(O32&lt;=$AQ$1,"O","X"))</f>
        <v/>
      </c>
      <c r="AR32" s="122">
        <f>IF(M32="","",IF(M32&lt;=$AR$1,"O","X"))</f>
        <v/>
      </c>
      <c r="AS32" s="122" t="inlineStr">
        <is>
          <t>X</t>
        </is>
      </c>
      <c r="AT32" s="122">
        <f>IF(OR(F32="",AI32=""),"",IF(AND((F32&lt;=85),(AI32&gt;=15)),"O","X"))</f>
        <v/>
      </c>
      <c r="AU32" s="122">
        <f>IF(C32="","",IF(C32&gt;=$AU$1,"O","X"))</f>
        <v/>
      </c>
      <c r="AV32" s="122">
        <f>IF(AO32="","",IF(AND(AO32="O",AP32="O",AR32="O",AT32="O",AU32="O"),"후보","X"))</f>
        <v/>
      </c>
    </row>
    <row r="33">
      <c r="A33" s="9" t="n"/>
      <c r="B33" s="122" t="n"/>
      <c r="C33" s="6" t="n"/>
      <c r="D33" s="9" t="n"/>
      <c r="E33" s="14" t="n"/>
      <c r="F33" s="132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7" t="n"/>
      <c r="P33" s="137" t="n"/>
      <c r="Q33" s="133" t="n"/>
      <c r="R33" s="133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7">
        <f>IF(E33="","",E33)</f>
        <v/>
      </c>
      <c r="AJ33" s="122" t="n"/>
      <c r="AK33" s="122" t="n"/>
      <c r="AL33" s="122" t="n"/>
      <c r="AM33" s="122" t="n"/>
      <c r="AN33" s="122" t="n"/>
      <c r="AO33" s="122" t="n"/>
      <c r="AP33" s="122" t="n"/>
      <c r="AQ33" s="122" t="n"/>
      <c r="AR33" s="122" t="n"/>
      <c r="AS33" s="122" t="n"/>
      <c r="AT33" s="122" t="n"/>
      <c r="AU33" s="122" t="n"/>
      <c r="AV33" s="122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4" t="n">
        <v>624</v>
      </c>
      <c r="D34" s="132" t="n">
        <v>81.59999999999999</v>
      </c>
      <c r="E34" s="133" t="n">
        <v>25</v>
      </c>
      <c r="F34" s="132" t="n">
        <v>60</v>
      </c>
      <c r="G34" s="17" t="n">
        <v>18</v>
      </c>
      <c r="H34" s="134" t="n">
        <v>157</v>
      </c>
      <c r="I34" s="135" t="n">
        <v>32700</v>
      </c>
      <c r="J34" s="135" t="inlineStr">
        <is>
          <t>5</t>
        </is>
      </c>
      <c r="K34" s="135" t="n">
        <v>22000</v>
      </c>
      <c r="L34" s="135" t="inlineStr">
        <is>
          <t>18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2" t="n">
        <v>3</v>
      </c>
      <c r="R34" s="122" t="n">
        <v>2</v>
      </c>
      <c r="S34" s="122" t="inlineStr">
        <is>
          <t>계</t>
        </is>
      </c>
      <c r="T34" s="5" t="inlineStr">
        <is>
          <t>111B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2">
        <f>S34</f>
        <v/>
      </c>
      <c r="AF34" s="122">
        <f>Q34&amp;"/"&amp;R34</f>
        <v/>
      </c>
      <c r="AH34" s="20">
        <f>IF(A34="","",A34)</f>
        <v/>
      </c>
      <c r="AI34" s="133">
        <f>IF(E34="","",E34)</f>
        <v/>
      </c>
      <c r="AJ34" s="122">
        <f>IF(AI34="","",$AJ$2)</f>
        <v/>
      </c>
      <c r="AK34" s="122" t="inlineStr">
        <is>
          <t>A</t>
        </is>
      </c>
      <c r="AL34" s="122" t="inlineStr">
        <is>
          <t>A+</t>
        </is>
      </c>
      <c r="AM34" s="122" t="inlineStr">
        <is>
          <t>B+</t>
        </is>
      </c>
      <c r="AN34" s="122">
        <f>IF(AI34="","",$AN$2)</f>
        <v/>
      </c>
      <c r="AO34" s="122">
        <f>IF(N34="","",IF(N34&gt;=$AO$1/100,"O","X"))</f>
        <v/>
      </c>
      <c r="AP34" s="122">
        <f>IF(I34="","",IF(I34&lt;=$AP$1,"O","X"))</f>
        <v/>
      </c>
      <c r="AQ34" s="122">
        <f>IF(O34="","",IF(O34&lt;=$AQ$1,"O","X"))</f>
        <v/>
      </c>
      <c r="AR34" s="122">
        <f>IF(M34="","",IF(M34&lt;=$AR$1,"O","X"))</f>
        <v/>
      </c>
      <c r="AS34" s="122" t="inlineStr">
        <is>
          <t>X</t>
        </is>
      </c>
      <c r="AT34" s="122">
        <f>IF(OR(F34="",AI34=""),"",IF(AND((F34&lt;=85),(AI34&gt;=15)),"O","X"))</f>
        <v/>
      </c>
      <c r="AU34" s="122">
        <f>IF(C34="","",IF(C34&gt;=$AU$1,"O","X"))</f>
        <v/>
      </c>
      <c r="AV34" s="122">
        <f>IF(AO34="","",IF(AND(AO34="O",AP34="O",AR34="O",AT34="O",AU34="O"),"후보","X"))</f>
        <v/>
      </c>
    </row>
    <row r="35">
      <c r="A35" s="9" t="n"/>
      <c r="B35" s="122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7">
        <f>IF(E35="","",E35)</f>
        <v/>
      </c>
      <c r="AJ35" s="122" t="n"/>
      <c r="AK35" s="122" t="n"/>
      <c r="AL35" s="122" t="n"/>
      <c r="AM35" s="122" t="n"/>
      <c r="AN35" s="122" t="n"/>
      <c r="AO35" s="122" t="n"/>
      <c r="AP35" s="122" t="n"/>
      <c r="AQ35" s="122" t="n"/>
      <c r="AR35" s="122" t="n"/>
      <c r="AS35" s="122" t="n"/>
      <c r="AT35" s="122" t="n"/>
      <c r="AU35" s="122" t="n"/>
      <c r="AV35" s="122" t="n"/>
    </row>
    <row r="36" ht="24" customHeight="1" s="125">
      <c r="A36" s="9" t="inlineStr">
        <is>
          <t>원주기업도시유보라아이비파크2단지</t>
        </is>
      </c>
      <c r="B36" s="10" t="inlineStr">
        <is>
          <t>'20.01.</t>
        </is>
      </c>
      <c r="C36" s="134" t="n">
        <v>794</v>
      </c>
      <c r="D36" s="132" t="n">
        <v>80.5</v>
      </c>
      <c r="E36" s="133" t="n">
        <v>24</v>
      </c>
      <c r="F36" s="132" t="n">
        <v>60</v>
      </c>
      <c r="G36" s="17" t="n">
        <v>18</v>
      </c>
      <c r="H36" s="134" t="n">
        <v>34</v>
      </c>
      <c r="I36" s="135" t="n">
        <v>29000</v>
      </c>
      <c r="J36" s="135" t="inlineStr">
        <is>
          <t>16</t>
        </is>
      </c>
      <c r="K36" s="135" t="n">
        <v>20000</v>
      </c>
      <c r="L36" s="135" t="inlineStr">
        <is>
          <t>중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2" t="n">
        <v>4</v>
      </c>
      <c r="R36" s="122" t="n">
        <v>2</v>
      </c>
      <c r="S36" s="122" t="inlineStr">
        <is>
          <t>계</t>
        </is>
      </c>
      <c r="T36" s="5" t="n">
        <v>135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2">
        <f>S36</f>
        <v/>
      </c>
      <c r="AF36" s="122">
        <f>Q36&amp;"/"&amp;R36</f>
        <v/>
      </c>
      <c r="AH36" s="20">
        <f>IF(A36="","",A36)</f>
        <v/>
      </c>
      <c r="AI36" s="133">
        <f>IF(E36="","",E36)</f>
        <v/>
      </c>
      <c r="AJ36" s="122">
        <f>IF(AI36="","",$AJ$2)</f>
        <v/>
      </c>
      <c r="AK36" s="122" t="inlineStr">
        <is>
          <t>A</t>
        </is>
      </c>
      <c r="AL36" s="122" t="inlineStr">
        <is>
          <t>A+</t>
        </is>
      </c>
      <c r="AM36" s="122" t="inlineStr">
        <is>
          <t>B+</t>
        </is>
      </c>
      <c r="AN36" s="122">
        <f>IF(AI36="","",$AN$2)</f>
        <v/>
      </c>
      <c r="AO36" s="122">
        <f>IF(N36="","",IF(N36&gt;=$AO$1/100,"O","X"))</f>
        <v/>
      </c>
      <c r="AP36" s="122">
        <f>IF(I36="","",IF(I36&lt;=$AP$1,"O","X"))</f>
        <v/>
      </c>
      <c r="AQ36" s="122">
        <f>IF(O36="","",IF(O36&lt;=$AQ$1,"O","X"))</f>
        <v/>
      </c>
      <c r="AR36" s="122">
        <f>IF(M36="","",IF(M36&lt;=$AR$1,"O","X"))</f>
        <v/>
      </c>
      <c r="AS36" s="122" t="inlineStr">
        <is>
          <t>X</t>
        </is>
      </c>
      <c r="AT36" s="122">
        <f>IF(OR(F36="",AI36=""),"",IF(AND((F36&lt;=85),(AI36&gt;=15)),"O","X"))</f>
        <v/>
      </c>
      <c r="AU36" s="122">
        <f>IF(C36="","",IF(C36&gt;=$AU$1,"O","X"))</f>
        <v/>
      </c>
      <c r="AV36" s="122">
        <f>IF(AO36="","",IF(AND(AO36="O",AP36="O",AR36="O",AT36="O",AU36="O"),"후보","X"))</f>
        <v/>
      </c>
    </row>
    <row r="37">
      <c r="A37" s="9" t="n"/>
      <c r="B37" s="122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7">
        <f>IF(E37="","",E37)</f>
        <v/>
      </c>
      <c r="AJ37" s="122" t="n"/>
      <c r="AK37" s="122" t="n"/>
      <c r="AL37" s="122" t="n"/>
      <c r="AM37" s="122" t="n"/>
      <c r="AN37" s="122" t="n"/>
      <c r="AO37" s="122" t="n"/>
      <c r="AP37" s="122" t="n"/>
      <c r="AQ37" s="122" t="n"/>
      <c r="AR37" s="122" t="n"/>
      <c r="AS37" s="122" t="n"/>
      <c r="AT37" s="122" t="n"/>
      <c r="AU37" s="122" t="n"/>
      <c r="AV37" s="122" t="n"/>
    </row>
    <row r="38" ht="24" customHeight="1" s="125">
      <c r="A38" s="9" t="inlineStr">
        <is>
          <t>원주기업도시호반베르디움(3-2블록)</t>
        </is>
      </c>
      <c r="B38" s="10" t="inlineStr">
        <is>
          <t>'19.05.</t>
        </is>
      </c>
      <c r="C38" s="134" t="n">
        <v>824</v>
      </c>
      <c r="D38" s="132" t="n">
        <v>83.09999999999999</v>
      </c>
      <c r="E38" s="133" t="n">
        <v>25</v>
      </c>
      <c r="F38" s="132" t="n">
        <v>60</v>
      </c>
      <c r="G38" s="17" t="n">
        <v>18</v>
      </c>
      <c r="H38" s="134" t="n">
        <v>244</v>
      </c>
      <c r="I38" s="135" t="n">
        <v>28500</v>
      </c>
      <c r="J38" s="135" t="inlineStr">
        <is>
          <t>5</t>
        </is>
      </c>
      <c r="K38" s="135" t="n">
        <v>20000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2" t="n">
        <v>3</v>
      </c>
      <c r="R38" s="122" t="n">
        <v>2</v>
      </c>
      <c r="S38" s="122" t="inlineStr">
        <is>
          <t>계</t>
        </is>
      </c>
      <c r="T38" s="5" t="inlineStr">
        <is>
          <t>87A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2">
        <f>S38</f>
        <v/>
      </c>
      <c r="AF38" s="122">
        <f>Q38&amp;"/"&amp;R38</f>
        <v/>
      </c>
      <c r="AH38" s="20">
        <f>IF(A38="","",A38)</f>
        <v/>
      </c>
      <c r="AI38" s="133">
        <f>IF(E38="","",E38)</f>
        <v/>
      </c>
      <c r="AJ38" s="122">
        <f>IF(AI38="","",$AJ$2)</f>
        <v/>
      </c>
      <c r="AK38" s="122" t="inlineStr">
        <is>
          <t>A</t>
        </is>
      </c>
      <c r="AL38" s="122" t="inlineStr">
        <is>
          <t>A+</t>
        </is>
      </c>
      <c r="AM38" s="122" t="inlineStr">
        <is>
          <t>B+</t>
        </is>
      </c>
      <c r="AN38" s="122">
        <f>IF(AI38="","",$AN$2)</f>
        <v/>
      </c>
      <c r="AO38" s="122">
        <f>IF(N38="","",IF(N38&gt;=$AO$1/100,"O","X"))</f>
        <v/>
      </c>
      <c r="AP38" s="122">
        <f>IF(I38="","",IF(I38&lt;=$AP$1,"O","X"))</f>
        <v/>
      </c>
      <c r="AQ38" s="122">
        <f>IF(O38="","",IF(O38&lt;=$AQ$1,"O","X"))</f>
        <v/>
      </c>
      <c r="AR38" s="122">
        <f>IF(M38="","",IF(M38&lt;=$AR$1,"O","X"))</f>
        <v/>
      </c>
      <c r="AS38" s="122" t="inlineStr">
        <is>
          <t>X</t>
        </is>
      </c>
      <c r="AT38" s="122">
        <f>IF(OR(F38="",AI38=""),"",IF(AND((F38&lt;=85),(AI38&gt;=15)),"O","X"))</f>
        <v/>
      </c>
      <c r="AU38" s="122">
        <f>IF(C38="","",IF(C38&gt;=$AU$1,"O","X"))</f>
        <v/>
      </c>
      <c r="AV38" s="122">
        <f>IF(AO38="","",IF(AND(AO38="O",AP38="O",AR38="O",AT38="O",AU38="O"),"후보","X"))</f>
        <v/>
      </c>
    </row>
    <row r="39">
      <c r="A39" s="9" t="n"/>
      <c r="B39" s="122" t="n"/>
      <c r="C39" s="6" t="n"/>
      <c r="D39" s="9" t="n"/>
      <c r="E39" s="14" t="n"/>
      <c r="F39" s="132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7" t="n"/>
      <c r="P39" s="137" t="n"/>
      <c r="Q39" s="133" t="n"/>
      <c r="R39" s="133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7">
        <f>IF(E39="","",E39)</f>
        <v/>
      </c>
      <c r="AJ39" s="122" t="n"/>
      <c r="AK39" s="122" t="n"/>
      <c r="AL39" s="122" t="n"/>
      <c r="AM39" s="122" t="n"/>
      <c r="AN39" s="122" t="n"/>
      <c r="AO39" s="122" t="n"/>
      <c r="AP39" s="122" t="n"/>
      <c r="AQ39" s="122" t="n"/>
      <c r="AR39" s="122" t="n"/>
      <c r="AS39" s="122" t="n"/>
      <c r="AT39" s="122" t="n"/>
      <c r="AU39" s="122" t="n"/>
      <c r="AV39" s="122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4" t="n">
        <v>882</v>
      </c>
      <c r="D40" s="132" t="n">
        <v>85.7</v>
      </c>
      <c r="E40" s="133" t="n">
        <v>26</v>
      </c>
      <c r="F40" s="132" t="n">
        <v>59.9</v>
      </c>
      <c r="G40" s="17" t="n">
        <v>18</v>
      </c>
      <c r="H40" s="134" t="n">
        <v>337</v>
      </c>
      <c r="I40" s="135" t="n">
        <v>30000</v>
      </c>
      <c r="J40" s="135" t="inlineStr">
        <is>
          <t>고</t>
        </is>
      </c>
      <c r="K40" s="135" t="n">
        <v>20000</v>
      </c>
      <c r="L40" s="135" t="inlineStr">
        <is>
          <t>19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2" t="n">
        <v>1</v>
      </c>
      <c r="R40" s="122" t="n">
        <v>1</v>
      </c>
      <c r="S40" s="122" t="inlineStr">
        <is>
          <t>계</t>
        </is>
      </c>
      <c r="T40" s="5" t="inlineStr">
        <is>
          <t>34B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2">
        <f>S40</f>
        <v/>
      </c>
      <c r="AF40" s="122">
        <f>Q40&amp;"/"&amp;R40</f>
        <v/>
      </c>
      <c r="AH40" s="20">
        <f>IF(A40="","",A40)</f>
        <v/>
      </c>
      <c r="AI40" s="133">
        <f>IF(E40="","",E40)</f>
        <v/>
      </c>
      <c r="AJ40" s="122">
        <f>IF(AI40="","",$AJ$2)</f>
        <v/>
      </c>
      <c r="AK40" s="122" t="inlineStr">
        <is>
          <t>A</t>
        </is>
      </c>
      <c r="AL40" s="122" t="inlineStr">
        <is>
          <t>A+</t>
        </is>
      </c>
      <c r="AM40" s="122" t="inlineStr">
        <is>
          <t>B+</t>
        </is>
      </c>
      <c r="AN40" s="122">
        <f>IF(AI40="","",$AN$2)</f>
        <v/>
      </c>
      <c r="AO40" s="122">
        <f>IF(N40="","",IF(N40&gt;=$AO$1/100,"O","X"))</f>
        <v/>
      </c>
      <c r="AP40" s="122">
        <f>IF(I40="","",IF(I40&lt;=$AP$1,"O","X"))</f>
        <v/>
      </c>
      <c r="AQ40" s="122">
        <f>IF(O40="","",IF(O40&lt;=$AQ$1,"O","X"))</f>
        <v/>
      </c>
      <c r="AR40" s="122">
        <f>IF(M40="","",IF(M40&lt;=$AR$1,"O","X"))</f>
        <v/>
      </c>
      <c r="AS40" s="122" t="inlineStr">
        <is>
          <t>X</t>
        </is>
      </c>
      <c r="AT40" s="122">
        <f>IF(OR(F40="",AI40=""),"",IF(AND((F40&lt;=85),(AI40&gt;=15)),"O","X"))</f>
        <v/>
      </c>
      <c r="AU40" s="122">
        <f>IF(C40="","",IF(C40&gt;=$AU$1,"O","X"))</f>
        <v/>
      </c>
      <c r="AV40" s="122">
        <f>IF(AO40="","",IF(AND(AO40="O",AP40="O",AR40="O",AT40="O",AU40="O"),"후보","X"))</f>
        <v/>
      </c>
    </row>
    <row r="41">
      <c r="A41" s="9" t="n"/>
      <c r="B41" s="122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2" t="n"/>
      <c r="AK41" s="122" t="n"/>
      <c r="AL41" s="122" t="n"/>
      <c r="AM41" s="122" t="n"/>
      <c r="AN41" s="122" t="n"/>
      <c r="AO41" s="122" t="n"/>
      <c r="AP41" s="122" t="n"/>
      <c r="AQ41" s="122" t="n"/>
      <c r="AR41" s="122" t="n"/>
      <c r="AS41" s="122" t="n"/>
      <c r="AT41" s="122" t="n"/>
      <c r="AU41" s="122" t="n"/>
      <c r="AV41" s="122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4" t="n">
        <v>1116</v>
      </c>
      <c r="D42" s="132" t="n">
        <v>84.59999999999999</v>
      </c>
      <c r="E42" s="133" t="n">
        <v>26</v>
      </c>
      <c r="F42" s="132" t="n">
        <v>60</v>
      </c>
      <c r="G42" s="17" t="n">
        <v>18</v>
      </c>
      <c r="H42" s="134" t="n">
        <v>571</v>
      </c>
      <c r="I42" s="135" t="n">
        <v>29000</v>
      </c>
      <c r="J42" s="135" t="inlineStr">
        <is>
          <t>중</t>
        </is>
      </c>
      <c r="K42" s="135" t="n">
        <v>18000</v>
      </c>
      <c r="L42" s="135" t="inlineStr">
        <is>
          <t>7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2" t="n">
        <v>1</v>
      </c>
      <c r="R42" s="122" t="n">
        <v>1</v>
      </c>
      <c r="S42" s="122" t="inlineStr">
        <is>
          <t>계</t>
        </is>
      </c>
      <c r="T42" s="5" t="inlineStr">
        <is>
          <t>40B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2">
        <f>S42</f>
        <v/>
      </c>
      <c r="AF42" s="122">
        <f>Q42&amp;"/"&amp;R42</f>
        <v/>
      </c>
      <c r="AH42" s="20">
        <f>IF(A42="","",A42)</f>
        <v/>
      </c>
      <c r="AI42" s="133">
        <f>IF(E42="","",E42)</f>
        <v/>
      </c>
      <c r="AJ42" s="122">
        <f>IF(AI42="","",$AJ$2)</f>
        <v/>
      </c>
      <c r="AK42" s="122" t="inlineStr">
        <is>
          <t>A</t>
        </is>
      </c>
      <c r="AL42" s="122" t="inlineStr">
        <is>
          <t>A+</t>
        </is>
      </c>
      <c r="AM42" s="122" t="inlineStr">
        <is>
          <t>B+</t>
        </is>
      </c>
      <c r="AN42" s="122">
        <f>IF(AI42="","",$AN$2)</f>
        <v/>
      </c>
      <c r="AO42" s="122">
        <f>IF(N42="","",IF(N42&gt;=$AO$1/100,"O","X"))</f>
        <v/>
      </c>
      <c r="AP42" s="122">
        <f>IF(I42="","",IF(I42&lt;=$AP$1,"O","X"))</f>
        <v/>
      </c>
      <c r="AQ42" s="122">
        <f>IF(O42="","",IF(O42&lt;=$AQ$1,"O","X"))</f>
        <v/>
      </c>
      <c r="AR42" s="122">
        <f>IF(M42="","",IF(M42&lt;=$AR$1,"O","X"))</f>
        <v/>
      </c>
      <c r="AS42" s="122" t="inlineStr">
        <is>
          <t>X</t>
        </is>
      </c>
      <c r="AT42" s="122">
        <f>IF(OR(F42="",AI42=""),"",IF(AND((F42&lt;=85),(AI42&gt;=15)),"O","X"))</f>
        <v/>
      </c>
      <c r="AU42" s="122">
        <f>IF(C42="","",IF(C42&gt;=$AU$1,"O","X"))</f>
        <v/>
      </c>
      <c r="AV42" s="122">
        <f>IF(AO42="","",IF(AND(AO42="O",AP42="O",AR42="O",AT42="O",AU42="O"),"후보","X"))</f>
        <v/>
      </c>
    </row>
    <row r="43">
      <c r="A43" s="9" t="n"/>
      <c r="B43" s="122" t="n"/>
      <c r="C43" s="6" t="n"/>
      <c r="D43" s="9" t="n"/>
      <c r="E43" s="14" t="n"/>
      <c r="F43" s="132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7" t="n"/>
      <c r="P43" s="137" t="n"/>
      <c r="Q43" s="133" t="n"/>
      <c r="R43" s="133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7">
        <f>IF(E43="","",E43)</f>
        <v/>
      </c>
      <c r="AJ43" s="122" t="n"/>
      <c r="AK43" s="122" t="n"/>
      <c r="AL43" s="122" t="n"/>
      <c r="AM43" s="122" t="n"/>
      <c r="AN43" s="122" t="n"/>
      <c r="AO43" s="122" t="n"/>
      <c r="AP43" s="122" t="n"/>
      <c r="AQ43" s="122" t="n"/>
      <c r="AR43" s="122" t="n"/>
      <c r="AS43" s="122" t="n"/>
      <c r="AT43" s="122" t="n"/>
      <c r="AU43" s="122" t="n"/>
      <c r="AV43" s="122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4" t="n">
        <v>1243</v>
      </c>
      <c r="D44" s="132" t="n">
        <v>85.09999999999999</v>
      </c>
      <c r="E44" s="133" t="n">
        <v>26</v>
      </c>
      <c r="F44" s="132" t="n">
        <v>60</v>
      </c>
      <c r="G44" s="17" t="n">
        <v>18</v>
      </c>
      <c r="H44" s="134" t="n">
        <v>532</v>
      </c>
      <c r="I44" s="135" t="n">
        <v>27500</v>
      </c>
      <c r="J44" s="135" t="inlineStr">
        <is>
          <t>중</t>
        </is>
      </c>
      <c r="K44" s="135" t="n">
        <v>19500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2" t="n">
        <v>4</v>
      </c>
      <c r="R44" s="122" t="n">
        <v>2</v>
      </c>
      <c r="S44" s="122" t="inlineStr">
        <is>
          <t>계</t>
        </is>
      </c>
      <c r="T44" s="5" t="n">
        <v>156</v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2">
        <f>S44</f>
        <v/>
      </c>
      <c r="AF44" s="122">
        <f>Q44&amp;"/"&amp;R44</f>
        <v/>
      </c>
      <c r="AH44" s="20">
        <f>IF(A44="","",A44)</f>
        <v/>
      </c>
      <c r="AI44" s="133">
        <f>IF(E44="","",E44)</f>
        <v/>
      </c>
      <c r="AJ44" s="122">
        <f>IF(AI44="","",$AJ$2)</f>
        <v/>
      </c>
      <c r="AK44" s="122" t="inlineStr">
        <is>
          <t>A</t>
        </is>
      </c>
      <c r="AL44" s="122" t="inlineStr">
        <is>
          <t>A+</t>
        </is>
      </c>
      <c r="AM44" s="122" t="inlineStr">
        <is>
          <t>B+</t>
        </is>
      </c>
      <c r="AN44" s="122">
        <f>IF(AI44="","",$AN$2)</f>
        <v/>
      </c>
      <c r="AO44" s="122">
        <f>IF(N44="","",IF(N44&gt;=$AO$1/100,"O","X"))</f>
        <v/>
      </c>
      <c r="AP44" s="122">
        <f>IF(I44="","",IF(I44&lt;=$AP$1,"O","X"))</f>
        <v/>
      </c>
      <c r="AQ44" s="122">
        <f>IF(O44="","",IF(O44&lt;=$AQ$1,"O","X"))</f>
        <v/>
      </c>
      <c r="AR44" s="122">
        <f>IF(M44="","",IF(M44&lt;=$AR$1,"O","X"))</f>
        <v/>
      </c>
      <c r="AS44" s="122" t="inlineStr">
        <is>
          <t>X</t>
        </is>
      </c>
      <c r="AT44" s="122">
        <f>IF(OR(F44="",AI44=""),"",IF(AND((F44&lt;=85),(AI44&gt;=15)),"O","X"))</f>
        <v/>
      </c>
      <c r="AU44" s="122">
        <f>IF(C44="","",IF(C44&gt;=$AU$1,"O","X"))</f>
        <v/>
      </c>
      <c r="AV44" s="122">
        <f>IF(AO44="","",IF(AND(AO44="O",AP44="O",AR44="O",AT44="O",AU44="O"),"후보","X"))</f>
        <v/>
      </c>
    </row>
    <row r="45">
      <c r="A45" s="9" t="n"/>
      <c r="B45" s="122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7">
        <f>IF(E45="","",E45)</f>
        <v/>
      </c>
      <c r="AJ45" s="122" t="n"/>
      <c r="AK45" s="122" t="n"/>
      <c r="AL45" s="122" t="n"/>
      <c r="AM45" s="122" t="n"/>
      <c r="AN45" s="122" t="n"/>
      <c r="AO45" s="122" t="n"/>
      <c r="AP45" s="122" t="n"/>
      <c r="AQ45" s="122" t="n"/>
      <c r="AR45" s="122" t="n"/>
      <c r="AS45" s="122" t="n"/>
      <c r="AT45" s="122" t="n"/>
      <c r="AU45" s="122" t="n"/>
      <c r="AV45" s="122" t="n"/>
    </row>
    <row r="46" ht="24" customHeight="1" s="125">
      <c r="A46" s="9" t="inlineStr">
        <is>
          <t>원주기업도시호반베르디움(3-1블록)</t>
        </is>
      </c>
      <c r="B46" s="10" t="inlineStr">
        <is>
          <t>'19.05.</t>
        </is>
      </c>
      <c r="C46" s="134" t="n">
        <v>892</v>
      </c>
      <c r="D46" s="132" t="n">
        <v>83.09999999999999</v>
      </c>
      <c r="E46" s="133" t="n">
        <v>25</v>
      </c>
      <c r="F46" s="132" t="n">
        <v>60</v>
      </c>
      <c r="G46" s="17" t="n">
        <v>18</v>
      </c>
      <c r="H46" s="134" t="n">
        <v>270</v>
      </c>
      <c r="I46" s="135" t="n">
        <v>26500</v>
      </c>
      <c r="J46" s="135" t="inlineStr">
        <is>
          <t>7</t>
        </is>
      </c>
      <c r="K46" s="135" t="n">
        <v>20000</v>
      </c>
      <c r="L46" s="135" t="inlineStr">
        <is>
          <t>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2" t="n">
        <v>3</v>
      </c>
      <c r="R46" s="122" t="n">
        <v>2</v>
      </c>
      <c r="S46" s="122" t="inlineStr">
        <is>
          <t>계</t>
        </is>
      </c>
      <c r="T46" s="5" t="n">
        <v>126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2">
        <f>S46</f>
        <v/>
      </c>
      <c r="AF46" s="122">
        <f>Q46&amp;"/"&amp;R46</f>
        <v/>
      </c>
      <c r="AH46" s="20">
        <f>IF(A46="","",A46)</f>
        <v/>
      </c>
      <c r="AI46" s="133">
        <f>IF(E46="","",E46)</f>
        <v/>
      </c>
      <c r="AJ46" s="122">
        <f>IF(AI46="","",$AJ$2)</f>
        <v/>
      </c>
      <c r="AK46" s="122" t="inlineStr">
        <is>
          <t>A</t>
        </is>
      </c>
      <c r="AL46" s="122" t="inlineStr">
        <is>
          <t>A+</t>
        </is>
      </c>
      <c r="AM46" s="122" t="inlineStr">
        <is>
          <t>B+</t>
        </is>
      </c>
      <c r="AN46" s="122">
        <f>IF(AI46="","",$AN$2)</f>
        <v/>
      </c>
      <c r="AO46" s="122">
        <f>IF(N46="","",IF(N46&gt;=$AO$1/100,"O","X"))</f>
        <v/>
      </c>
      <c r="AP46" s="122">
        <f>IF(I46="","",IF(I46&lt;=$AP$1,"O","X"))</f>
        <v/>
      </c>
      <c r="AQ46" s="122">
        <f>IF(O46="","",IF(O46&lt;=$AQ$1,"O","X"))</f>
        <v/>
      </c>
      <c r="AR46" s="122">
        <f>IF(M46="","",IF(M46&lt;=$AR$1,"O","X"))</f>
        <v/>
      </c>
      <c r="AS46" s="122" t="inlineStr">
        <is>
          <t>X</t>
        </is>
      </c>
      <c r="AT46" s="122">
        <f>IF(OR(F46="",AI46=""),"",IF(AND((F46&lt;=85),(AI46&gt;=15)),"O","X"))</f>
        <v/>
      </c>
      <c r="AU46" s="122">
        <f>IF(C46="","",IF(C46&gt;=$AU$1,"O","X"))</f>
        <v/>
      </c>
      <c r="AV46" s="122">
        <f>IF(AO46="","",IF(AND(AO46="O",AP46="O",AR46="O",AT46="O",AU46="O"),"후보","X"))</f>
        <v/>
      </c>
    </row>
    <row r="47">
      <c r="A47" s="9" t="n"/>
      <c r="B47" s="122" t="n"/>
      <c r="C47" s="6" t="n"/>
      <c r="D47" s="9" t="n"/>
      <c r="E47" s="14" t="n"/>
      <c r="F47" s="132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7" t="n"/>
      <c r="P47" s="137" t="n"/>
      <c r="Q47" s="133" t="n"/>
      <c r="R47" s="133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7">
        <f>IF(E47="","",E47)</f>
        <v/>
      </c>
      <c r="AJ47" s="122" t="n"/>
      <c r="AK47" s="122" t="n"/>
      <c r="AL47" s="122" t="n"/>
      <c r="AM47" s="122" t="n"/>
      <c r="AN47" s="122" t="n"/>
      <c r="AO47" s="122" t="n"/>
      <c r="AP47" s="122" t="n"/>
      <c r="AQ47" s="122" t="n"/>
      <c r="AR47" s="122" t="n"/>
      <c r="AS47" s="122" t="n"/>
      <c r="AT47" s="122" t="n"/>
      <c r="AU47" s="122" t="n"/>
      <c r="AV47" s="122" t="n"/>
    </row>
    <row r="48" ht="24" customHeight="1" s="125">
      <c r="A48" s="9" t="inlineStr">
        <is>
          <t>원주기업도시유보라아이비파크1단지</t>
        </is>
      </c>
      <c r="B48" s="10" t="inlineStr">
        <is>
          <t>'20.01.</t>
        </is>
      </c>
      <c r="C48" s="134" t="n">
        <v>548</v>
      </c>
      <c r="D48" s="132" t="n">
        <v>81.3</v>
      </c>
      <c r="E48" s="133" t="n">
        <v>25</v>
      </c>
      <c r="F48" s="132" t="n">
        <v>60</v>
      </c>
      <c r="G48" s="17" t="n">
        <v>18</v>
      </c>
      <c r="H48" s="134" t="n">
        <v>178</v>
      </c>
      <c r="I48" s="135" t="n">
        <v>27000</v>
      </c>
      <c r="J48" s="135" t="inlineStr">
        <is>
          <t>중</t>
        </is>
      </c>
      <c r="K48" s="135" t="n">
        <v>20000</v>
      </c>
      <c r="L48" s="135" t="inlineStr">
        <is>
          <t>8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2" t="n">
        <v>3</v>
      </c>
      <c r="R48" s="122" t="n">
        <v>2</v>
      </c>
      <c r="S48" s="122" t="inlineStr">
        <is>
          <t>계</t>
        </is>
      </c>
      <c r="T48" s="5" t="inlineStr">
        <is>
          <t>107D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2">
        <f>S48</f>
        <v/>
      </c>
      <c r="AF48" s="122">
        <f>Q48&amp;"/"&amp;R48</f>
        <v/>
      </c>
      <c r="AH48" s="20">
        <f>IF(A48="","",A48)</f>
        <v/>
      </c>
      <c r="AI48" s="133">
        <f>IF(E48="","",E48)</f>
        <v/>
      </c>
      <c r="AJ48" s="122">
        <f>IF(AI48="","",$AJ$2)</f>
        <v/>
      </c>
      <c r="AK48" s="122" t="inlineStr">
        <is>
          <t>A</t>
        </is>
      </c>
      <c r="AL48" s="122" t="inlineStr">
        <is>
          <t>A+</t>
        </is>
      </c>
      <c r="AM48" s="122" t="inlineStr">
        <is>
          <t>B+</t>
        </is>
      </c>
      <c r="AN48" s="122">
        <f>IF(AI48="","",$AN$2)</f>
        <v/>
      </c>
      <c r="AO48" s="122">
        <f>IF(N48="","",IF(N48&gt;=$AO$1/100,"O","X"))</f>
        <v/>
      </c>
      <c r="AP48" s="122">
        <f>IF(I48="","",IF(I48&lt;=$AP$1,"O","X"))</f>
        <v/>
      </c>
      <c r="AQ48" s="122">
        <f>IF(O48="","",IF(O48&lt;=$AQ$1,"O","X"))</f>
        <v/>
      </c>
      <c r="AR48" s="122">
        <f>IF(M48="","",IF(M48&lt;=$AR$1,"O","X"))</f>
        <v/>
      </c>
      <c r="AS48" s="122" t="inlineStr">
        <is>
          <t>X</t>
        </is>
      </c>
      <c r="AT48" s="122">
        <f>IF(OR(F48="",AI48=""),"",IF(AND((F48&lt;=85),(AI48&gt;=15)),"O","X"))</f>
        <v/>
      </c>
      <c r="AU48" s="122">
        <f>IF(C48="","",IF(C48&gt;=$AU$1,"O","X"))</f>
        <v/>
      </c>
      <c r="AV48" s="122">
        <f>IF(AO48="","",IF(AND(AO48="O",AP48="O",AR48="O",AT48="O",AU48="O"),"후보","X"))</f>
        <v/>
      </c>
    </row>
    <row r="49">
      <c r="A49" s="9" t="n"/>
      <c r="B49" s="122" t="n"/>
      <c r="C49" s="6" t="n"/>
      <c r="D49" s="9" t="n"/>
      <c r="E49" s="14" t="n"/>
      <c r="F49" s="132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7" t="n"/>
      <c r="P49" s="137" t="n"/>
      <c r="Q49" s="133" t="n"/>
      <c r="R49" s="133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7">
        <f>IF(E49="","",E49)</f>
        <v/>
      </c>
      <c r="AJ49" s="122" t="n"/>
      <c r="AK49" s="122" t="n"/>
      <c r="AL49" s="122" t="n"/>
      <c r="AM49" s="122" t="n"/>
      <c r="AN49" s="122" t="n"/>
      <c r="AO49" s="122" t="n"/>
      <c r="AP49" s="122" t="n"/>
      <c r="AQ49" s="122" t="n"/>
      <c r="AR49" s="122" t="n"/>
      <c r="AS49" s="122" t="n"/>
      <c r="AT49" s="122" t="n"/>
      <c r="AU49" s="122" t="n"/>
      <c r="AV49" s="122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4" t="n">
        <v>713</v>
      </c>
      <c r="D50" s="132" t="n">
        <v>81.40000000000001</v>
      </c>
      <c r="E50" s="133" t="n">
        <v>25</v>
      </c>
      <c r="F50" s="132" t="n">
        <v>59.8</v>
      </c>
      <c r="G50" s="17" t="n">
        <v>18</v>
      </c>
      <c r="H50" s="134" t="n">
        <v>280</v>
      </c>
      <c r="I50" s="135" t="n">
        <v>26000</v>
      </c>
      <c r="J50" s="135" t="inlineStr">
        <is>
          <t>23</t>
        </is>
      </c>
      <c r="K50" s="135" t="n">
        <v>20000</v>
      </c>
      <c r="L50" s="135" t="inlineStr">
        <is>
          <t>11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2" t="n">
        <v>3</v>
      </c>
      <c r="R50" s="122" t="n">
        <v>2</v>
      </c>
      <c r="S50" s="122" t="inlineStr">
        <is>
          <t>계</t>
        </is>
      </c>
      <c r="T50" s="5" t="n">
        <v>105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2">
        <f>S50</f>
        <v/>
      </c>
      <c r="AF50" s="122">
        <f>Q50&amp;"/"&amp;R50</f>
        <v/>
      </c>
      <c r="AH50" s="20">
        <f>IF(A50="","",A50)</f>
        <v/>
      </c>
      <c r="AI50" s="133">
        <f>IF(E50="","",E50)</f>
        <v/>
      </c>
      <c r="AJ50" s="122">
        <f>IF(AI50="","",$AJ$2)</f>
        <v/>
      </c>
      <c r="AK50" s="122" t="inlineStr">
        <is>
          <t>A</t>
        </is>
      </c>
      <c r="AL50" s="122" t="inlineStr">
        <is>
          <t>A+</t>
        </is>
      </c>
      <c r="AM50" s="122" t="inlineStr">
        <is>
          <t>B+</t>
        </is>
      </c>
      <c r="AN50" s="122">
        <f>IF(AI50="","",$AN$2)</f>
        <v/>
      </c>
      <c r="AO50" s="122">
        <f>IF(N50="","",IF(N50&gt;=$AO$1/100,"O","X"))</f>
        <v/>
      </c>
      <c r="AP50" s="122">
        <f>IF(I50="","",IF(I50&lt;=$AP$1,"O","X"))</f>
        <v/>
      </c>
      <c r="AQ50" s="122">
        <f>IF(O50="","",IF(O50&lt;=$AQ$1,"O","X"))</f>
        <v/>
      </c>
      <c r="AR50" s="122">
        <f>IF(M50="","",IF(M50&lt;=$AR$1,"O","X"))</f>
        <v/>
      </c>
      <c r="AS50" s="122" t="inlineStr">
        <is>
          <t>X</t>
        </is>
      </c>
      <c r="AT50" s="122">
        <f>IF(OR(F50="",AI50=""),"",IF(AND((F50&lt;=85),(AI50&gt;=15)),"O","X"))</f>
        <v/>
      </c>
      <c r="AU50" s="122">
        <f>IF(C50="","",IF(C50&gt;=$AU$1,"O","X"))</f>
        <v/>
      </c>
      <c r="AV50" s="122">
        <f>IF(AO50="","",IF(AND(AO50="O",AP50="O",AR50="O",AT50="O",AU50="O"),"후보","X"))</f>
        <v/>
      </c>
    </row>
    <row r="51">
      <c r="A51" s="9" t="n"/>
      <c r="B51" s="122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7">
        <f>IF(E51="","",E51)</f>
        <v/>
      </c>
      <c r="AJ51" s="122" t="n"/>
      <c r="AK51" s="122" t="n"/>
      <c r="AL51" s="122" t="n"/>
      <c r="AM51" s="122" t="n"/>
      <c r="AN51" s="122" t="n"/>
      <c r="AO51" s="122" t="n"/>
      <c r="AP51" s="122" t="n"/>
      <c r="AQ51" s="122" t="n"/>
      <c r="AR51" s="122" t="n"/>
      <c r="AS51" s="122" t="n"/>
      <c r="AT51" s="122" t="n"/>
      <c r="AU51" s="122" t="n"/>
      <c r="AV51" s="122" t="n"/>
    </row>
    <row r="52">
      <c r="A52" s="9" t="inlineStr">
        <is>
          <t>이지더원1차</t>
        </is>
      </c>
      <c r="B52" s="10" t="inlineStr">
        <is>
          <t>'19.01.</t>
        </is>
      </c>
      <c r="C52" s="134" t="n">
        <v>1430</v>
      </c>
      <c r="D52" s="132" t="n">
        <v>79.59999999999999</v>
      </c>
      <c r="E52" s="133" t="n">
        <v>24</v>
      </c>
      <c r="F52" s="132" t="n">
        <v>59.9</v>
      </c>
      <c r="G52" s="17" t="n">
        <v>18</v>
      </c>
      <c r="H52" s="134" t="n">
        <v>470</v>
      </c>
      <c r="I52" s="135" t="n">
        <v>26000</v>
      </c>
      <c r="J52" s="135" t="inlineStr">
        <is>
          <t>21</t>
        </is>
      </c>
      <c r="K52" s="135" t="n">
        <v>20000</v>
      </c>
      <c r="L52" s="135" t="inlineStr">
        <is>
          <t>21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2" t="n">
        <v>2</v>
      </c>
      <c r="R52" s="122" t="n">
        <v>1</v>
      </c>
      <c r="S52" s="122" t="inlineStr">
        <is>
          <t>복</t>
        </is>
      </c>
      <c r="T52" s="5" t="n">
        <v>61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2">
        <f>S52</f>
        <v/>
      </c>
      <c r="AF52" s="122">
        <f>Q52&amp;"/"&amp;R52</f>
        <v/>
      </c>
      <c r="AH52" s="20">
        <f>IF(A52="","",A52)</f>
        <v/>
      </c>
      <c r="AI52" s="133">
        <f>IF(E52="","",E52)</f>
        <v/>
      </c>
      <c r="AJ52" s="122">
        <f>IF(AI52="","",$AJ$2)</f>
        <v/>
      </c>
      <c r="AK52" s="122" t="inlineStr">
        <is>
          <t>A</t>
        </is>
      </c>
      <c r="AL52" s="122" t="inlineStr">
        <is>
          <t>A+</t>
        </is>
      </c>
      <c r="AM52" s="122" t="inlineStr">
        <is>
          <t>B+</t>
        </is>
      </c>
      <c r="AN52" s="122">
        <f>IF(AI52="","",$AN$2)</f>
        <v/>
      </c>
      <c r="AO52" s="122">
        <f>IF(N52="","",IF(N52&gt;=$AO$1/100,"O","X"))</f>
        <v/>
      </c>
      <c r="AP52" s="122">
        <f>IF(I52="","",IF(I52&lt;=$AP$1,"O","X"))</f>
        <v/>
      </c>
      <c r="AQ52" s="122">
        <f>IF(O52="","",IF(O52&lt;=$AQ$1,"O","X"))</f>
        <v/>
      </c>
      <c r="AR52" s="122">
        <f>IF(M52="","",IF(M52&lt;=$AR$1,"O","X"))</f>
        <v/>
      </c>
      <c r="AS52" s="122" t="inlineStr">
        <is>
          <t>X</t>
        </is>
      </c>
      <c r="AT52" s="122">
        <f>IF(OR(F52="",AI52=""),"",IF(AND((F52&lt;=85),(AI52&gt;=15)),"O","X"))</f>
        <v/>
      </c>
      <c r="AU52" s="122">
        <f>IF(C52="","",IF(C52&gt;=$AU$1,"O","X"))</f>
        <v/>
      </c>
      <c r="AV52" s="122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17">
      <formula>AV4="X"</formula>
    </cfRule>
    <cfRule type="expression" priority="573" dxfId="16">
      <formula>AV4="후보"</formula>
    </cfRule>
  </conditionalFormatting>
  <conditionalFormatting sqref="AC1:AC2 AC4:AC6 N4:N5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1:N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17">
      <formula>AV7="X"</formula>
    </cfRule>
    <cfRule type="expression" priority="552" dxfId="16">
      <formula>AV7="후보"</formula>
    </cfRule>
  </conditionalFormatting>
  <conditionalFormatting sqref="AC7 N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8">
    <cfRule type="expression" priority="546" dxfId="17">
      <formula>AV8="X"</formula>
    </cfRule>
    <cfRule type="expression" priority="547" dxfId="16">
      <formula>AV8="후보"</formula>
    </cfRule>
  </conditionalFormatting>
  <conditionalFormatting sqref="AC8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8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17">
      <formula>AV9="X"</formula>
    </cfRule>
    <cfRule type="expression" priority="528" dxfId="16">
      <formula>AV9="후보"</formula>
    </cfRule>
  </conditionalFormatting>
  <conditionalFormatting sqref="AC9 N9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AV10">
    <cfRule type="expression" priority="522" dxfId="17">
      <formula>AV10="X"</formula>
    </cfRule>
    <cfRule type="expression" priority="523" dxfId="16">
      <formula>AV10="후보"</formula>
    </cfRule>
  </conditionalFormatting>
  <conditionalFormatting sqref="AC1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17">
      <formula>AV11="X"</formula>
    </cfRule>
    <cfRule type="expression" priority="504" dxfId="16">
      <formula>AV11="후보"</formula>
    </cfRule>
  </conditionalFormatting>
  <conditionalFormatting sqref="AC11 N11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AV12">
    <cfRule type="expression" priority="498" dxfId="17">
      <formula>AV12="X"</formula>
    </cfRule>
    <cfRule type="expression" priority="499" dxfId="16">
      <formula>AV12="후보"</formula>
    </cfRule>
  </conditionalFormatting>
  <conditionalFormatting sqref="AC12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17">
      <formula>AV13="X"</formula>
    </cfRule>
    <cfRule type="expression" priority="480" dxfId="16">
      <formula>AV13="후보"</formula>
    </cfRule>
  </conditionalFormatting>
  <conditionalFormatting sqref="AC13 N13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AV14">
    <cfRule type="expression" priority="474" dxfId="17">
      <formula>AV14="X"</formula>
    </cfRule>
    <cfRule type="expression" priority="475" dxfId="16">
      <formula>AV14="후보"</formula>
    </cfRule>
  </conditionalFormatting>
  <conditionalFormatting sqref="AC1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17">
      <formula>AV15="X"</formula>
    </cfRule>
    <cfRule type="expression" priority="456" dxfId="16">
      <formula>AV15="후보"</formula>
    </cfRule>
  </conditionalFormatting>
  <conditionalFormatting sqref="AC15 N1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AV16">
    <cfRule type="expression" priority="450" dxfId="17">
      <formula>AV16="X"</formula>
    </cfRule>
    <cfRule type="expression" priority="451" dxfId="16">
      <formula>AV16="후보"</formula>
    </cfRule>
  </conditionalFormatting>
  <conditionalFormatting sqref="AC1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17">
      <formula>AV17="X"</formula>
    </cfRule>
    <cfRule type="expression" priority="432" dxfId="16">
      <formula>AV17="후보"</formula>
    </cfRule>
  </conditionalFormatting>
  <conditionalFormatting sqref="AC17 N17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AV18">
    <cfRule type="expression" priority="426" dxfId="17">
      <formula>AV18="X"</formula>
    </cfRule>
    <cfRule type="expression" priority="427" dxfId="16">
      <formula>AV18="후보"</formula>
    </cfRule>
  </conditionalFormatting>
  <conditionalFormatting sqref="AC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18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17">
      <formula>AV19="X"</formula>
    </cfRule>
    <cfRule type="expression" priority="408" dxfId="16">
      <formula>AV19="후보"</formula>
    </cfRule>
  </conditionalFormatting>
  <conditionalFormatting sqref="AC19 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AV20">
    <cfRule type="expression" priority="402" dxfId="17">
      <formula>AV20="X"</formula>
    </cfRule>
    <cfRule type="expression" priority="403" dxfId="16">
      <formula>AV20="후보"</formula>
    </cfRule>
  </conditionalFormatting>
  <conditionalFormatting sqref="AC2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N2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17">
      <formula>AV21="X"</formula>
    </cfRule>
    <cfRule type="expression" priority="384" dxfId="16">
      <formula>AV21="후보"</formula>
    </cfRule>
  </conditionalFormatting>
  <conditionalFormatting sqref="AC21 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AV22">
    <cfRule type="expression" priority="378" dxfId="17">
      <formula>AV22="X"</formula>
    </cfRule>
    <cfRule type="expression" priority="379" dxfId="16">
      <formula>AV22="후보"</formula>
    </cfRule>
  </conditionalFormatting>
  <conditionalFormatting sqref="AC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2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17">
      <formula>AV23="X"</formula>
    </cfRule>
    <cfRule type="expression" priority="360" dxfId="16">
      <formula>AV23="후보"</formula>
    </cfRule>
  </conditionalFormatting>
  <conditionalFormatting sqref="AC23 N2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AV24">
    <cfRule type="expression" priority="354" dxfId="17">
      <formula>AV24="X"</formula>
    </cfRule>
    <cfRule type="expression" priority="355" dxfId="16">
      <formula>AV24="후보"</formula>
    </cfRule>
  </conditionalFormatting>
  <conditionalFormatting sqref="AC2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N2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17">
      <formula>AV25="X"</formula>
    </cfRule>
    <cfRule type="expression" priority="336" dxfId="16">
      <formula>AV25="후보"</formula>
    </cfRule>
  </conditionalFormatting>
  <conditionalFormatting sqref="AC25 N2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AV26">
    <cfRule type="expression" priority="330" dxfId="17">
      <formula>AV26="X"</formula>
    </cfRule>
    <cfRule type="expression" priority="331" dxfId="16">
      <formula>AV26="후보"</formula>
    </cfRule>
  </conditionalFormatting>
  <conditionalFormatting sqref="AC2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N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17">
      <formula>AV27="X"</formula>
    </cfRule>
    <cfRule type="expression" priority="312" dxfId="16">
      <formula>AV27="후보"</formula>
    </cfRule>
  </conditionalFormatting>
  <conditionalFormatting sqref="AC27 N2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AV28">
    <cfRule type="expression" priority="306" dxfId="17">
      <formula>AV28="X"</formula>
    </cfRule>
    <cfRule type="expression" priority="307" dxfId="16">
      <formula>AV28="후보"</formula>
    </cfRule>
  </conditionalFormatting>
  <conditionalFormatting sqref="AC2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17">
      <formula>AV29="X"</formula>
    </cfRule>
    <cfRule type="expression" priority="288" dxfId="16">
      <formula>AV29="후보"</formula>
    </cfRule>
  </conditionalFormatting>
  <conditionalFormatting sqref="AC29 N2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AV30">
    <cfRule type="expression" priority="282" dxfId="17">
      <formula>AV30="X"</formula>
    </cfRule>
    <cfRule type="expression" priority="283" dxfId="16">
      <formula>AV30="후보"</formula>
    </cfRule>
  </conditionalFormatting>
  <conditionalFormatting sqref="AC30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3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17">
      <formula>AV31="X"</formula>
    </cfRule>
    <cfRule type="expression" priority="264" dxfId="16">
      <formula>AV31="후보"</formula>
    </cfRule>
  </conditionalFormatting>
  <conditionalFormatting sqref="AC31 N31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AV32">
    <cfRule type="expression" priority="258" dxfId="17">
      <formula>AV32="X"</formula>
    </cfRule>
    <cfRule type="expression" priority="259" dxfId="16">
      <formula>AV32="후보"</formula>
    </cfRule>
  </conditionalFormatting>
  <conditionalFormatting sqref="AC32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3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17">
      <formula>AV33="X"</formula>
    </cfRule>
    <cfRule type="expression" priority="240" dxfId="16">
      <formula>AV33="후보"</formula>
    </cfRule>
  </conditionalFormatting>
  <conditionalFormatting sqref="AC33 N33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AV34">
    <cfRule type="expression" priority="234" dxfId="17">
      <formula>AV34="X"</formula>
    </cfRule>
    <cfRule type="expression" priority="235" dxfId="16">
      <formula>AV34="후보"</formula>
    </cfRule>
  </conditionalFormatting>
  <conditionalFormatting sqref="AC3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17">
      <formula>AV35="X"</formula>
    </cfRule>
    <cfRule type="expression" priority="216" dxfId="16">
      <formula>AV35="후보"</formula>
    </cfRule>
  </conditionalFormatting>
  <conditionalFormatting sqref="AC35 N3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AV36">
    <cfRule type="expression" priority="210" dxfId="17">
      <formula>AV36="X"</formula>
    </cfRule>
    <cfRule type="expression" priority="211" dxfId="16">
      <formula>AV36="후보"</formula>
    </cfRule>
  </conditionalFormatting>
  <conditionalFormatting sqref="AC36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17">
      <formula>AV37="X"</formula>
    </cfRule>
    <cfRule type="expression" priority="192" dxfId="16">
      <formula>AV37="후보"</formula>
    </cfRule>
  </conditionalFormatting>
  <conditionalFormatting sqref="AC37 N3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38">
    <cfRule type="expression" priority="186" dxfId="17">
      <formula>AV38="X"</formula>
    </cfRule>
    <cfRule type="expression" priority="187" dxfId="16">
      <formula>AV38="후보"</formula>
    </cfRule>
  </conditionalFormatting>
  <conditionalFormatting sqref="AC3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17">
      <formula>AV39="X"</formula>
    </cfRule>
    <cfRule type="expression" priority="168" dxfId="16">
      <formula>AV39="후보"</formula>
    </cfRule>
  </conditionalFormatting>
  <conditionalFormatting sqref="AC39 N3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40">
    <cfRule type="expression" priority="162" dxfId="17">
      <formula>AV40="X"</formula>
    </cfRule>
    <cfRule type="expression" priority="163" dxfId="16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7">
      <formula>AV41="X"</formula>
    </cfRule>
    <cfRule type="expression" priority="144" dxfId="16">
      <formula>AV41="후보"</formula>
    </cfRule>
  </conditionalFormatting>
  <conditionalFormatting sqref="AC41 N4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42">
    <cfRule type="expression" priority="138" dxfId="17">
      <formula>AV42="X"</formula>
    </cfRule>
    <cfRule type="expression" priority="139" dxfId="16">
      <formula>AV42="후보"</formula>
    </cfRule>
  </conditionalFormatting>
  <conditionalFormatting sqref="AC4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4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17">
      <formula>AV43="X"</formula>
    </cfRule>
    <cfRule type="expression" priority="120" dxfId="16">
      <formula>AV43="후보"</formula>
    </cfRule>
  </conditionalFormatting>
  <conditionalFormatting sqref="AC43 N4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44">
    <cfRule type="expression" priority="114" dxfId="17">
      <formula>AV44="X"</formula>
    </cfRule>
    <cfRule type="expression" priority="115" dxfId="16">
      <formula>AV44="후보"</formula>
    </cfRule>
  </conditionalFormatting>
  <conditionalFormatting sqref="AC4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4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17">
      <formula>AV45="X"</formula>
    </cfRule>
    <cfRule type="expression" priority="96" dxfId="16">
      <formula>AV45="후보"</formula>
    </cfRule>
  </conditionalFormatting>
  <conditionalFormatting sqref="AC45 N4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46">
    <cfRule type="expression" priority="90" dxfId="17">
      <formula>AV46="X"</formula>
    </cfRule>
    <cfRule type="expression" priority="91" dxfId="16">
      <formula>AV46="후보"</formula>
    </cfRule>
  </conditionalFormatting>
  <conditionalFormatting sqref="AC4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17">
      <formula>AV47="X"</formula>
    </cfRule>
    <cfRule type="expression" priority="72" dxfId="16">
      <formula>AV47="후보"</formula>
    </cfRule>
  </conditionalFormatting>
  <conditionalFormatting sqref="AC47 N4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48">
    <cfRule type="expression" priority="66" dxfId="17">
      <formula>AV48="X"</formula>
    </cfRule>
    <cfRule type="expression" priority="67" dxfId="16">
      <formula>AV48="후보"</formula>
    </cfRule>
  </conditionalFormatting>
  <conditionalFormatting sqref="AC4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4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17">
      <formula>AV49="X"</formula>
    </cfRule>
    <cfRule type="expression" priority="48" dxfId="16">
      <formula>AV49="후보"</formula>
    </cfRule>
  </conditionalFormatting>
  <conditionalFormatting sqref="AC49 N4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0">
    <cfRule type="expression" priority="42" dxfId="17">
      <formula>AV50="X"</formula>
    </cfRule>
    <cfRule type="expression" priority="43" dxfId="16">
      <formula>AV50="후보"</formula>
    </cfRule>
  </conditionalFormatting>
  <conditionalFormatting sqref="AC5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17">
      <formula>AV51="X"</formula>
    </cfRule>
    <cfRule type="expression" priority="24" dxfId="16">
      <formula>AV51="후보"</formula>
    </cfRule>
  </conditionalFormatting>
  <conditionalFormatting sqref="AC51 N5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52">
    <cfRule type="expression" priority="18" dxfId="17">
      <formula>AV52="X"</formula>
    </cfRule>
    <cfRule type="expression" priority="19" dxfId="16">
      <formula>AV52="후보"</formula>
    </cfRule>
  </conditionalFormatting>
  <conditionalFormatting sqref="AC5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한라비발디2차</t>
        </is>
      </c>
      <c r="B6" s="10" t="inlineStr">
        <is>
          <t>'14.09.</t>
        </is>
      </c>
      <c r="C6" s="134" t="n">
        <v>717</v>
      </c>
      <c r="D6" s="132" t="n">
        <v>110.4</v>
      </c>
      <c r="E6" s="133" t="n">
        <v>33</v>
      </c>
      <c r="F6" s="132" t="n">
        <v>84.5</v>
      </c>
      <c r="G6" s="17" t="n">
        <v>26</v>
      </c>
      <c r="H6" s="134" t="n">
        <v>236</v>
      </c>
      <c r="I6" s="135" t="n">
        <v>30000</v>
      </c>
      <c r="J6" s="135" t="inlineStr">
        <is>
          <t>10</t>
        </is>
      </c>
      <c r="K6" s="135" t="n">
        <v>25000</v>
      </c>
      <c r="L6" s="135" t="inlineStr">
        <is>
          <t>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126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4" t="n">
        <v>850</v>
      </c>
      <c r="D6" s="132" t="n">
        <v>112.6</v>
      </c>
      <c r="E6" s="133" t="n">
        <v>34</v>
      </c>
      <c r="F6" s="132" t="n">
        <v>85</v>
      </c>
      <c r="G6" s="17" t="n">
        <v>26</v>
      </c>
      <c r="H6" s="134" t="n">
        <v>246</v>
      </c>
      <c r="I6" s="135" t="n">
        <v>46000</v>
      </c>
      <c r="J6" s="135" t="inlineStr">
        <is>
          <t>중</t>
        </is>
      </c>
      <c r="K6" s="135" t="n">
        <v>31000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계</t>
        </is>
      </c>
      <c r="T6" s="5" t="n">
        <v>57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힐데스하임5단지</t>
        </is>
      </c>
      <c r="B8" s="10" t="inlineStr">
        <is>
          <t>'15.05.</t>
        </is>
      </c>
      <c r="C8" s="134" t="n">
        <v>682</v>
      </c>
      <c r="D8" s="132" t="n">
        <v>114.8</v>
      </c>
      <c r="E8" s="133" t="n">
        <v>35</v>
      </c>
      <c r="F8" s="132" t="n">
        <v>85</v>
      </c>
      <c r="G8" s="17" t="n">
        <v>26</v>
      </c>
      <c r="H8" s="134" t="n">
        <v>216</v>
      </c>
      <c r="I8" s="135" t="n">
        <v>50000</v>
      </c>
      <c r="J8" s="135" t="inlineStr">
        <is>
          <t>17</t>
        </is>
      </c>
      <c r="K8" s="135" t="n">
        <v>35000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95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반곡모아엘가</t>
        </is>
      </c>
      <c r="B10" s="10" t="inlineStr">
        <is>
          <t>'17.07.</t>
        </is>
      </c>
      <c r="C10" s="134" t="n">
        <v>418</v>
      </c>
      <c r="D10" s="132" t="n">
        <v>109.6</v>
      </c>
      <c r="E10" s="133" t="n">
        <v>33</v>
      </c>
      <c r="F10" s="132" t="n">
        <v>84.90000000000001</v>
      </c>
      <c r="G10" s="17" t="n">
        <v>26</v>
      </c>
      <c r="H10" s="134" t="n">
        <v>258</v>
      </c>
      <c r="I10" s="135" t="n">
        <v>40000</v>
      </c>
      <c r="J10" s="135" t="inlineStr">
        <is>
          <t>고</t>
        </is>
      </c>
      <c r="K10" s="135" t="n">
        <v>32000</v>
      </c>
      <c r="L10" s="135" t="inlineStr">
        <is>
          <t>15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1</v>
      </c>
      <c r="S10" s="122" t="inlineStr">
        <is>
          <t>계</t>
        </is>
      </c>
      <c r="T10" s="5" t="n">
        <v>79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푸른숨LH3단지</t>
        </is>
      </c>
      <c r="B12" s="10" t="inlineStr">
        <is>
          <t>'15.06.</t>
        </is>
      </c>
      <c r="C12" s="134" t="n">
        <v>728</v>
      </c>
      <c r="D12" s="132" t="n">
        <v>109.6</v>
      </c>
      <c r="E12" s="133" t="n">
        <v>33</v>
      </c>
      <c r="F12" s="132" t="n">
        <v>84.90000000000001</v>
      </c>
      <c r="G12" s="17" t="n">
        <v>26</v>
      </c>
      <c r="H12" s="134" t="n">
        <v>191</v>
      </c>
      <c r="I12" s="135" t="n">
        <v>37000</v>
      </c>
      <c r="J12" s="135" t="inlineStr">
        <is>
          <t>중</t>
        </is>
      </c>
      <c r="K12" s="135" t="n">
        <v>30000</v>
      </c>
      <c r="L12" s="135" t="inlineStr">
        <is>
          <t>중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inlineStr">
        <is>
          <t>108C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e편한세상반곡</t>
        </is>
      </c>
      <c r="B14" s="10" t="inlineStr">
        <is>
          <t>'18.11.</t>
        </is>
      </c>
      <c r="C14" s="134" t="n">
        <v>508</v>
      </c>
      <c r="D14" s="132" t="n">
        <v>111.3</v>
      </c>
      <c r="E14" s="133" t="n">
        <v>34</v>
      </c>
      <c r="F14" s="132" t="n">
        <v>85</v>
      </c>
      <c r="G14" s="17" t="n">
        <v>26</v>
      </c>
      <c r="H14" s="134" t="n">
        <v>84</v>
      </c>
      <c r="I14" s="135" t="n">
        <v>38500</v>
      </c>
      <c r="J14" s="135" t="inlineStr">
        <is>
          <t>고</t>
        </is>
      </c>
      <c r="K14" s="135" t="n">
        <v>30000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1</v>
      </c>
      <c r="R14" s="122" t="n">
        <v>1</v>
      </c>
      <c r="S14" s="122" t="inlineStr">
        <is>
          <t>계</t>
        </is>
      </c>
      <c r="T14" s="5" t="inlineStr">
        <is>
          <t>33A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LH센트럴파크</t>
        </is>
      </c>
      <c r="B16" s="10" t="inlineStr">
        <is>
          <t>'19.02.</t>
        </is>
      </c>
      <c r="C16" s="134" t="n">
        <v>855</v>
      </c>
      <c r="D16" s="132" t="n">
        <v>110.9</v>
      </c>
      <c r="E16" s="133" t="n">
        <v>34</v>
      </c>
      <c r="F16" s="132" t="n">
        <v>85</v>
      </c>
      <c r="G16" s="17" t="n">
        <v>26</v>
      </c>
      <c r="H16" s="134" t="n">
        <v>601</v>
      </c>
      <c r="I16" s="135" t="n">
        <v>37000</v>
      </c>
      <c r="J16" s="135" t="inlineStr">
        <is>
          <t>고</t>
        </is>
      </c>
      <c r="K16" s="135" t="n">
        <v>28500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1</v>
      </c>
      <c r="S16" s="122" t="inlineStr">
        <is>
          <t>계</t>
        </is>
      </c>
      <c r="T16" s="5" t="n">
        <v>80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푸른숨휴브레스</t>
        </is>
      </c>
      <c r="B18" s="10" t="inlineStr">
        <is>
          <t>'13.12.</t>
        </is>
      </c>
      <c r="C18" s="134" t="n">
        <v>1110</v>
      </c>
      <c r="D18" s="132" t="n">
        <v>109.1</v>
      </c>
      <c r="E18" s="133" t="n">
        <v>33</v>
      </c>
      <c r="F18" s="132" t="n">
        <v>84.90000000000001</v>
      </c>
      <c r="G18" s="17" t="n">
        <v>26</v>
      </c>
      <c r="H18" s="134" t="n">
        <v>770</v>
      </c>
      <c r="I18" s="135" t="n">
        <v>37000</v>
      </c>
      <c r="J18" s="135" t="inlineStr">
        <is>
          <t>12</t>
        </is>
      </c>
      <c r="K18" s="135" t="n">
        <v>27000</v>
      </c>
      <c r="L18" s="135" t="inlineStr">
        <is>
          <t>5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복</t>
        </is>
      </c>
      <c r="T18" s="5" t="n">
        <v>79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반곡퍼스트힐</t>
        </is>
      </c>
      <c r="B20" s="10" t="inlineStr">
        <is>
          <t>'14.10.</t>
        </is>
      </c>
      <c r="C20" s="134" t="n">
        <v>424</v>
      </c>
      <c r="D20" s="132" t="n">
        <v>109.7</v>
      </c>
      <c r="E20" s="133" t="n">
        <v>33</v>
      </c>
      <c r="F20" s="132" t="n">
        <v>85</v>
      </c>
      <c r="G20" s="17" t="n">
        <v>26</v>
      </c>
      <c r="H20" s="134" t="n">
        <v>251</v>
      </c>
      <c r="I20" s="135" t="n">
        <v>32000</v>
      </c>
      <c r="J20" s="135" t="inlineStr">
        <is>
          <t>17</t>
        </is>
      </c>
      <c r="K20" s="135" t="n">
        <v>27000</v>
      </c>
      <c r="L20" s="135" t="inlineStr">
        <is>
          <t>18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4</v>
      </c>
      <c r="R20" s="122" t="n">
        <v>2</v>
      </c>
      <c r="S20" s="122" t="inlineStr">
        <is>
          <t>계</t>
        </is>
      </c>
      <c r="T20" s="5" t="inlineStr">
        <is>
          <t>161A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e편한세상반곡</t>
        </is>
      </c>
      <c r="B22" s="10" t="inlineStr">
        <is>
          <t>'18.11.</t>
        </is>
      </c>
      <c r="C22" s="134" t="n">
        <v>508</v>
      </c>
      <c r="D22" s="132" t="n">
        <v>84.5</v>
      </c>
      <c r="E22" s="133" t="n">
        <v>26</v>
      </c>
      <c r="F22" s="132" t="n">
        <v>59.8</v>
      </c>
      <c r="G22" s="17" t="n">
        <v>18</v>
      </c>
      <c r="H22" s="134" t="n">
        <v>164</v>
      </c>
      <c r="I22" s="135" t="n">
        <v>30000</v>
      </c>
      <c r="J22" s="135" t="inlineStr">
        <is>
          <t>중</t>
        </is>
      </c>
      <c r="K22" s="135" t="n">
        <v>23000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계</t>
        </is>
      </c>
      <c r="T22" s="5" t="inlineStr">
        <is>
          <t>107A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17">
      <formula>AV4="X"</formula>
    </cfRule>
    <cfRule type="expression" priority="213" dxfId="16">
      <formula>AV4="후보"</formula>
    </cfRule>
  </conditionalFormatting>
  <conditionalFormatting sqref="AC1:AC2 AC4:AC6 N4:N5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N1:N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17">
      <formula>AV7="X"</formula>
    </cfRule>
    <cfRule type="expression" priority="192" dxfId="16">
      <formula>AV7="후보"</formula>
    </cfRule>
  </conditionalFormatting>
  <conditionalFormatting sqref="AC7 N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8">
    <cfRule type="expression" priority="186" dxfId="17">
      <formula>AV8="X"</formula>
    </cfRule>
    <cfRule type="expression" priority="187" dxfId="16">
      <formula>AV8="후보"</formula>
    </cfRule>
  </conditionalFormatting>
  <conditionalFormatting sqref="AC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17">
      <formula>AV9="X"</formula>
    </cfRule>
    <cfRule type="expression" priority="168" dxfId="16">
      <formula>AV9="후보"</formula>
    </cfRule>
  </conditionalFormatting>
  <conditionalFormatting sqref="AC9 N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10">
    <cfRule type="expression" priority="162" dxfId="17">
      <formula>AV10="X"</formula>
    </cfRule>
    <cfRule type="expression" priority="163" dxfId="16">
      <formula>AV10="후보"</formula>
    </cfRule>
  </conditionalFormatting>
  <conditionalFormatting sqref="AC1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17">
      <formula>AV11="X"</formula>
    </cfRule>
    <cfRule type="expression" priority="144" dxfId="16">
      <formula>AV11="후보"</formula>
    </cfRule>
  </conditionalFormatting>
  <conditionalFormatting sqref="AC11 N1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12">
    <cfRule type="expression" priority="138" dxfId="17">
      <formula>AV12="X"</formula>
    </cfRule>
    <cfRule type="expression" priority="139" dxfId="16">
      <formula>AV12="후보"</formula>
    </cfRule>
  </conditionalFormatting>
  <conditionalFormatting sqref="AC1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1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17">
      <formula>AV13="X"</formula>
    </cfRule>
    <cfRule type="expression" priority="120" dxfId="16">
      <formula>AV13="후보"</formula>
    </cfRule>
  </conditionalFormatting>
  <conditionalFormatting sqref="AC13 N1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4">
    <cfRule type="expression" priority="114" dxfId="17">
      <formula>AV14="X"</formula>
    </cfRule>
    <cfRule type="expression" priority="115" dxfId="16">
      <formula>AV14="후보"</formula>
    </cfRule>
  </conditionalFormatting>
  <conditionalFormatting sqref="AC1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17">
      <formula>AV15="X"</formula>
    </cfRule>
    <cfRule type="expression" priority="96" dxfId="16">
      <formula>AV15="후보"</formula>
    </cfRule>
  </conditionalFormatting>
  <conditionalFormatting sqref="AC15 N1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6">
    <cfRule type="expression" priority="90" dxfId="17">
      <formula>AV16="X"</formula>
    </cfRule>
    <cfRule type="expression" priority="91" dxfId="16">
      <formula>AV16="후보"</formula>
    </cfRule>
  </conditionalFormatting>
  <conditionalFormatting sqref="AC1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17">
      <formula>AV17="X"</formula>
    </cfRule>
    <cfRule type="expression" priority="72" dxfId="16">
      <formula>AV17="후보"</formula>
    </cfRule>
  </conditionalFormatting>
  <conditionalFormatting sqref="AC17 N1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8">
    <cfRule type="expression" priority="66" dxfId="17">
      <formula>AV18="X"</formula>
    </cfRule>
    <cfRule type="expression" priority="67" dxfId="16">
      <formula>AV18="후보"</formula>
    </cfRule>
  </conditionalFormatting>
  <conditionalFormatting sqref="AC1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17">
      <formula>AV19="X"</formula>
    </cfRule>
    <cfRule type="expression" priority="48" dxfId="16">
      <formula>AV19="후보"</formula>
    </cfRule>
  </conditionalFormatting>
  <conditionalFormatting sqref="AC19 N1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0">
    <cfRule type="expression" priority="42" dxfId="17">
      <formula>AV20="X"</formula>
    </cfRule>
    <cfRule type="expression" priority="43" dxfId="16">
      <formula>AV20="후보"</formula>
    </cfRule>
  </conditionalFormatting>
  <conditionalFormatting sqref="AC2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17">
      <formula>AV21="X"</formula>
    </cfRule>
    <cfRule type="expression" priority="24" dxfId="16">
      <formula>AV21="후보"</formula>
    </cfRule>
  </conditionalFormatting>
  <conditionalFormatting sqref="AC21 N2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서원주코아루아너스</t>
        </is>
      </c>
      <c r="B6" s="10" t="inlineStr">
        <is>
          <t>'18.04.</t>
        </is>
      </c>
      <c r="C6" s="134" t="n">
        <v>842</v>
      </c>
      <c r="D6" s="132" t="n">
        <v>117.4</v>
      </c>
      <c r="E6" s="133" t="n">
        <v>35</v>
      </c>
      <c r="F6" s="132" t="n">
        <v>84.59999999999999</v>
      </c>
      <c r="G6" s="17" t="n">
        <v>26</v>
      </c>
      <c r="H6" s="134" t="n">
        <v>376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103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4" t="n">
        <v>936</v>
      </c>
      <c r="D6" s="132" t="n">
        <v>111.6</v>
      </c>
      <c r="E6" s="133" t="n">
        <v>34</v>
      </c>
      <c r="F6" s="132" t="n">
        <v>85</v>
      </c>
      <c r="G6" s="17" t="n">
        <v>26</v>
      </c>
      <c r="H6" s="134" t="n">
        <v>272</v>
      </c>
      <c r="I6" s="135" t="n">
        <v>60000</v>
      </c>
      <c r="J6" s="135" t="inlineStr">
        <is>
          <t>고</t>
        </is>
      </c>
      <c r="K6" s="135" t="n">
        <v>29000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inlineStr">
        <is>
          <t>115B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무실우미린</t>
        </is>
      </c>
      <c r="B8" s="10" t="inlineStr">
        <is>
          <t>'14.09.</t>
        </is>
      </c>
      <c r="C8" s="134" t="n">
        <v>653</v>
      </c>
      <c r="D8" s="132" t="n">
        <v>111.5</v>
      </c>
      <c r="E8" s="133" t="n">
        <v>34</v>
      </c>
      <c r="F8" s="132" t="n">
        <v>85</v>
      </c>
      <c r="G8" s="17" t="n">
        <v>26</v>
      </c>
      <c r="H8" s="134" t="n">
        <v>245</v>
      </c>
      <c r="I8" s="135" t="n">
        <v>47000</v>
      </c>
      <c r="J8" s="135" t="inlineStr">
        <is>
          <t>15</t>
        </is>
      </c>
      <c r="K8" s="135" t="n">
        <v>32000</v>
      </c>
      <c r="L8" s="135" t="inlineStr">
        <is>
          <t>10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복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4" t="n">
        <v>482</v>
      </c>
      <c r="D10" s="132" t="n">
        <v>108.4</v>
      </c>
      <c r="E10" s="133" t="n">
        <v>33</v>
      </c>
      <c r="F10" s="132" t="n">
        <v>84.90000000000001</v>
      </c>
      <c r="G10" s="17" t="n">
        <v>26</v>
      </c>
      <c r="H10" s="134" t="n">
        <v>72</v>
      </c>
      <c r="I10" s="135" t="n">
        <v>48000</v>
      </c>
      <c r="J10" s="135" t="inlineStr">
        <is>
          <t>중</t>
        </is>
      </c>
      <c r="K10" s="135" t="n">
        <v>33000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4</v>
      </c>
      <c r="R10" s="122" t="n">
        <v>2</v>
      </c>
      <c r="S10" s="122" t="inlineStr">
        <is>
          <t>계</t>
        </is>
      </c>
      <c r="T10" s="5" t="inlineStr">
        <is>
          <t>194A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4" t="n">
        <v>526</v>
      </c>
      <c r="D12" s="132" t="n">
        <v>110.4</v>
      </c>
      <c r="E12" s="133" t="n">
        <v>33</v>
      </c>
      <c r="F12" s="132" t="n">
        <v>85</v>
      </c>
      <c r="G12" s="17" t="n">
        <v>26</v>
      </c>
      <c r="H12" s="134" t="n">
        <v>129</v>
      </c>
      <c r="I12" s="135" t="n">
        <v>47000</v>
      </c>
      <c r="J12" s="135" t="inlineStr">
        <is>
          <t>7</t>
        </is>
      </c>
      <c r="K12" s="135" t="n">
        <v>34000</v>
      </c>
      <c r="L12" s="135" t="inlineStr">
        <is>
          <t>6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2</v>
      </c>
      <c r="S12" s="122" t="inlineStr">
        <is>
          <t>계</t>
        </is>
      </c>
      <c r="T12" s="5" t="n">
        <v>116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무실우미린</t>
        </is>
      </c>
      <c r="B14" s="10" t="inlineStr">
        <is>
          <t>'14.09.</t>
        </is>
      </c>
      <c r="C14" s="134" t="n">
        <v>653</v>
      </c>
      <c r="D14" s="132" t="n">
        <v>98.2</v>
      </c>
      <c r="E14" s="133" t="n">
        <v>30</v>
      </c>
      <c r="F14" s="132" t="n">
        <v>75.3</v>
      </c>
      <c r="G14" s="17" t="n">
        <v>23</v>
      </c>
      <c r="H14" s="134" t="n">
        <v>221</v>
      </c>
      <c r="I14" s="135" t="n">
        <v>41000</v>
      </c>
      <c r="J14" s="135" t="inlineStr">
        <is>
          <t>12</t>
        </is>
      </c>
      <c r="K14" s="135" t="n">
        <v>30000</v>
      </c>
      <c r="L14" s="135" t="inlineStr">
        <is>
          <t>12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2</v>
      </c>
      <c r="R14" s="122" t="n">
        <v>1</v>
      </c>
      <c r="S14" s="122" t="inlineStr">
        <is>
          <t>복</t>
        </is>
      </c>
      <c r="T14" s="5" t="inlineStr">
        <is>
          <t>79B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4" t="n">
        <v>936</v>
      </c>
      <c r="D16" s="132" t="n">
        <v>80</v>
      </c>
      <c r="E16" s="133" t="n">
        <v>24</v>
      </c>
      <c r="F16" s="132" t="n">
        <v>60</v>
      </c>
      <c r="G16" s="17" t="n">
        <v>18</v>
      </c>
      <c r="H16" s="134" t="n">
        <v>312</v>
      </c>
      <c r="I16" s="135" t="n"/>
      <c r="J16" s="135" t="n"/>
      <c r="K16" s="135" t="n">
        <v>25000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3</v>
      </c>
      <c r="R16" s="122" t="n">
        <v>2</v>
      </c>
      <c r="S16" s="122" t="inlineStr">
        <is>
          <t>계</t>
        </is>
      </c>
      <c r="T16" s="5" t="inlineStr">
        <is>
          <t>85B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사랑으로부영</t>
        </is>
      </c>
      <c r="B18" s="10" t="inlineStr">
        <is>
          <t>'12.07.</t>
        </is>
      </c>
      <c r="C18" s="134" t="n">
        <v>639</v>
      </c>
      <c r="D18" s="132" t="n">
        <v>88.59999999999999</v>
      </c>
      <c r="E18" s="133" t="n">
        <v>27</v>
      </c>
      <c r="F18" s="132" t="n">
        <v>59.9</v>
      </c>
      <c r="G18" s="17" t="n">
        <v>18</v>
      </c>
      <c r="H18" s="134" t="n">
        <v>337</v>
      </c>
      <c r="I18" s="135" t="n">
        <v>30000</v>
      </c>
      <c r="J18" s="135" t="inlineStr">
        <is>
          <t>14</t>
        </is>
      </c>
      <c r="K18" s="135" t="n">
        <v>25000</v>
      </c>
      <c r="L18" s="135" t="inlineStr">
        <is>
          <t>중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2</v>
      </c>
      <c r="S18" s="122" t="inlineStr">
        <is>
          <t>계</t>
        </is>
      </c>
      <c r="T18" s="5" t="inlineStr">
        <is>
          <t>107C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17">
      <formula>AV4="X"</formula>
    </cfRule>
    <cfRule type="expression" priority="165" dxfId="16">
      <formula>AV4="후보"</formula>
    </cfRule>
  </conditionalFormatting>
  <conditionalFormatting sqref="AC1:AC2 AC4:AC6 N4:N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N1:N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17">
      <formula>AV7="X"</formula>
    </cfRule>
    <cfRule type="expression" priority="144" dxfId="16">
      <formula>AV7="후보"</formula>
    </cfRule>
  </conditionalFormatting>
  <conditionalFormatting sqref="AC7 N7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8">
    <cfRule type="expression" priority="138" dxfId="17">
      <formula>AV8="X"</formula>
    </cfRule>
    <cfRule type="expression" priority="139" dxfId="16">
      <formula>AV8="후보"</formula>
    </cfRule>
  </conditionalFormatting>
  <conditionalFormatting sqref="AC8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8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17">
      <formula>AV9="X"</formula>
    </cfRule>
    <cfRule type="expression" priority="120" dxfId="16">
      <formula>AV9="후보"</formula>
    </cfRule>
  </conditionalFormatting>
  <conditionalFormatting sqref="AC9 N9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0">
    <cfRule type="expression" priority="114" dxfId="17">
      <formula>AV10="X"</formula>
    </cfRule>
    <cfRule type="expression" priority="115" dxfId="16">
      <formula>AV10="후보"</formula>
    </cfRule>
  </conditionalFormatting>
  <conditionalFormatting sqref="AC10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17">
      <formula>AV11="X"</formula>
    </cfRule>
    <cfRule type="expression" priority="96" dxfId="16">
      <formula>AV11="후보"</formula>
    </cfRule>
  </conditionalFormatting>
  <conditionalFormatting sqref="AC11 N11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2">
    <cfRule type="expression" priority="90" dxfId="17">
      <formula>AV12="X"</formula>
    </cfRule>
    <cfRule type="expression" priority="91" dxfId="16">
      <formula>AV12="후보"</formula>
    </cfRule>
  </conditionalFormatting>
  <conditionalFormatting sqref="AC1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17">
      <formula>AV13="X"</formula>
    </cfRule>
    <cfRule type="expression" priority="72" dxfId="16">
      <formula>AV13="후보"</formula>
    </cfRule>
  </conditionalFormatting>
  <conditionalFormatting sqref="AC13 N13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4">
    <cfRule type="expression" priority="66" dxfId="17">
      <formula>AV14="X"</formula>
    </cfRule>
    <cfRule type="expression" priority="67" dxfId="16">
      <formula>AV14="후보"</formula>
    </cfRule>
  </conditionalFormatting>
  <conditionalFormatting sqref="AC14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4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17">
      <formula>AV15="X"</formula>
    </cfRule>
    <cfRule type="expression" priority="48" dxfId="16">
      <formula>AV15="후보"</formula>
    </cfRule>
  </conditionalFormatting>
  <conditionalFormatting sqref="AC15 N15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4" t="n">
        <v>838</v>
      </c>
      <c r="D6" s="132" t="n">
        <v>109</v>
      </c>
      <c r="E6" s="133" t="n">
        <v>33</v>
      </c>
      <c r="F6" s="132" t="n">
        <v>85</v>
      </c>
      <c r="G6" s="17" t="n">
        <v>26</v>
      </c>
      <c r="H6" s="134" t="n">
        <v>483</v>
      </c>
      <c r="I6" s="135" t="n">
        <v>49750</v>
      </c>
      <c r="J6" s="135" t="inlineStr">
        <is>
          <t>고</t>
        </is>
      </c>
      <c r="K6" s="135" t="n">
        <v>28000</v>
      </c>
      <c r="L6" s="135" t="inlineStr">
        <is>
          <t>8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2</v>
      </c>
      <c r="R6" s="122" t="n">
        <v>1</v>
      </c>
      <c r="S6" s="122" t="inlineStr">
        <is>
          <t>복</t>
        </is>
      </c>
      <c r="T6" s="5" t="n">
        <v>51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 ht="24" customHeight="1" s="125">
      <c r="A6" s="9" t="inlineStr">
        <is>
          <t>원주단구내안애카운티에듀파크2단지</t>
        </is>
      </c>
      <c r="B6" s="10" t="inlineStr">
        <is>
          <t>'20.06.</t>
        </is>
      </c>
      <c r="C6" s="134" t="n">
        <v>348</v>
      </c>
      <c r="D6" s="132" t="n">
        <v>108.3</v>
      </c>
      <c r="E6" s="133" t="n">
        <v>33</v>
      </c>
      <c r="F6" s="132" t="n">
        <v>84.90000000000001</v>
      </c>
      <c r="G6" s="17" t="n">
        <v>26</v>
      </c>
      <c r="H6" s="134" t="n">
        <v>203</v>
      </c>
      <c r="I6" s="135" t="n">
        <v>39000</v>
      </c>
      <c r="J6" s="135" t="inlineStr">
        <is>
          <t>5</t>
        </is>
      </c>
      <c r="K6" s="135" t="n">
        <v>35000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1</v>
      </c>
      <c r="S6" s="122" t="inlineStr">
        <is>
          <t>계</t>
        </is>
      </c>
      <c r="T6" s="5" t="n">
        <v>61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 ht="24" customHeight="1" s="125">
      <c r="A8" s="9" t="inlineStr">
        <is>
          <t>원주단구내안애카운티에듀파크1단지</t>
        </is>
      </c>
      <c r="B8" s="10" t="inlineStr">
        <is>
          <t>'20.06.</t>
        </is>
      </c>
      <c r="C8" s="134" t="n">
        <v>571</v>
      </c>
      <c r="D8" s="132" t="n">
        <v>107.3</v>
      </c>
      <c r="E8" s="133" t="n">
        <v>32</v>
      </c>
      <c r="F8" s="132" t="n">
        <v>84.90000000000001</v>
      </c>
      <c r="G8" s="17" t="n">
        <v>26</v>
      </c>
      <c r="H8" s="134" t="n">
        <v>421</v>
      </c>
      <c r="I8" s="135" t="n">
        <v>33500</v>
      </c>
      <c r="J8" s="135" t="inlineStr">
        <is>
          <t>중</t>
        </is>
      </c>
      <c r="K8" s="135" t="n">
        <v>28000</v>
      </c>
      <c r="L8" s="135" t="inlineStr">
        <is>
          <t>8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2</v>
      </c>
      <c r="S8" s="122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단구한신더휴</t>
        </is>
      </c>
      <c r="B10" s="10" t="inlineStr">
        <is>
          <t>'17.11.</t>
        </is>
      </c>
      <c r="C10" s="134" t="n">
        <v>724</v>
      </c>
      <c r="D10" s="132" t="n">
        <v>114.2</v>
      </c>
      <c r="E10" s="133" t="n">
        <v>35</v>
      </c>
      <c r="F10" s="132" t="n">
        <v>84.90000000000001</v>
      </c>
      <c r="G10" s="17" t="n">
        <v>26</v>
      </c>
      <c r="H10" s="134" t="n">
        <v>217</v>
      </c>
      <c r="I10" s="135" t="n">
        <v>37000</v>
      </c>
      <c r="J10" s="135" t="inlineStr">
        <is>
          <t>중</t>
        </is>
      </c>
      <c r="K10" s="135" t="n">
        <v>26000</v>
      </c>
      <c r="L10" s="135" t="inlineStr">
        <is>
          <t>6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inlineStr">
        <is>
          <t>109A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17">
      <formula>AV4="X"</formula>
    </cfRule>
    <cfRule type="expression" priority="69" dxfId="16">
      <formula>AV4="후보"</formula>
    </cfRule>
  </conditionalFormatting>
  <conditionalFormatting sqref="AC1:AC2 AC4:AC6 N4:N5">
    <cfRule type="cellIs" priority="65" operator="greaterThan" dxfId="13">
      <formula>0.9</formula>
    </cfRule>
    <cfRule type="cellIs" priority="66" operator="greaterThan" dxfId="12">
      <formula>0.85</formula>
    </cfRule>
  </conditionalFormatting>
  <conditionalFormatting sqref="N1:N2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6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17">
      <formula>AV7="X"</formula>
    </cfRule>
    <cfRule type="expression" priority="48" dxfId="16">
      <formula>AV7="후보"</formula>
    </cfRule>
  </conditionalFormatting>
  <conditionalFormatting sqref="AC7 N7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">
    <cfRule type="expression" priority="42" dxfId="17">
      <formula>AV8="X"</formula>
    </cfRule>
    <cfRule type="expression" priority="43" dxfId="16">
      <formula>AV8="후보"</formula>
    </cfRule>
  </conditionalFormatting>
  <conditionalFormatting sqref="AC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17">
      <formula>AV9="X"</formula>
    </cfRule>
    <cfRule type="expression" priority="24" dxfId="16">
      <formula>AV9="후보"</formula>
    </cfRule>
  </conditionalFormatting>
  <conditionalFormatting sqref="AC9 N9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4" t="n">
        <v>499</v>
      </c>
      <c r="D6" s="132" t="n">
        <v>115.4</v>
      </c>
      <c r="E6" s="133" t="n">
        <v>35</v>
      </c>
      <c r="F6" s="132" t="n">
        <v>85</v>
      </c>
      <c r="G6" s="17" t="n">
        <v>26</v>
      </c>
      <c r="H6" s="134" t="n">
        <v>121</v>
      </c>
      <c r="I6" s="135" t="n">
        <v>43000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4</v>
      </c>
      <c r="R6" s="122" t="n">
        <v>2</v>
      </c>
      <c r="S6" s="122" t="inlineStr">
        <is>
          <t>계</t>
        </is>
      </c>
      <c r="T6" s="5" t="inlineStr">
        <is>
          <t>164C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  <row r="7">
      <c r="A7" s="9" t="n"/>
      <c r="B7" s="122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2" t="n"/>
      <c r="AK7" s="122" t="n"/>
      <c r="AL7" s="122" t="n"/>
      <c r="AM7" s="122" t="n"/>
      <c r="AN7" s="122" t="n"/>
      <c r="AO7" s="122" t="n"/>
      <c r="AP7" s="122" t="n"/>
      <c r="AQ7" s="122" t="n"/>
      <c r="AR7" s="122" t="n"/>
      <c r="AS7" s="122" t="n"/>
      <c r="AT7" s="122" t="n"/>
      <c r="AU7" s="122" t="n"/>
      <c r="AV7" s="122" t="n"/>
    </row>
    <row r="8">
      <c r="A8" s="9" t="inlineStr">
        <is>
          <t>원주봉화산푸르지오</t>
        </is>
      </c>
      <c r="B8" s="10" t="inlineStr">
        <is>
          <t>'17.11.</t>
        </is>
      </c>
      <c r="C8" s="134" t="n">
        <v>996</v>
      </c>
      <c r="D8" s="132" t="n">
        <v>109.8</v>
      </c>
      <c r="E8" s="133" t="n">
        <v>33</v>
      </c>
      <c r="F8" s="132" t="n">
        <v>84.90000000000001</v>
      </c>
      <c r="G8" s="17" t="n">
        <v>26</v>
      </c>
      <c r="H8" s="134" t="n">
        <v>169</v>
      </c>
      <c r="I8" s="135" t="n">
        <v>40500</v>
      </c>
      <c r="J8" s="135" t="inlineStr">
        <is>
          <t>5</t>
        </is>
      </c>
      <c r="K8" s="135" t="n">
        <v>30000</v>
      </c>
      <c r="L8" s="135" t="inlineStr">
        <is>
          <t>18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2" t="n">
        <v>3</v>
      </c>
      <c r="R8" s="122" t="n">
        <v>1</v>
      </c>
      <c r="S8" s="122" t="inlineStr">
        <is>
          <t>계</t>
        </is>
      </c>
      <c r="T8" s="5" t="inlineStr">
        <is>
          <t>77B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2">
        <f>S8</f>
        <v/>
      </c>
      <c r="AF8" s="122">
        <f>Q8&amp;"/"&amp;R8</f>
        <v/>
      </c>
      <c r="AH8" s="20">
        <f>IF(A8="","",A8)</f>
        <v/>
      </c>
      <c r="AI8" s="133">
        <f>IF(E8="","",E8)</f>
        <v/>
      </c>
      <c r="AJ8" s="122">
        <f>IF(AI8="","",$AJ$2)</f>
        <v/>
      </c>
      <c r="AK8" s="122" t="inlineStr">
        <is>
          <t>A</t>
        </is>
      </c>
      <c r="AL8" s="122" t="inlineStr">
        <is>
          <t>A+</t>
        </is>
      </c>
      <c r="AM8" s="122" t="inlineStr">
        <is>
          <t>B+</t>
        </is>
      </c>
      <c r="AN8" s="122">
        <f>IF(AI8="","",$AN$2)</f>
        <v/>
      </c>
      <c r="AO8" s="122">
        <f>IF(N8="","",IF(N8&gt;=$AO$1/100,"O","X"))</f>
        <v/>
      </c>
      <c r="AP8" s="122">
        <f>IF(I8="","",IF(I8&lt;=$AP$1,"O","X"))</f>
        <v/>
      </c>
      <c r="AQ8" s="122">
        <f>IF(O8="","",IF(O8&lt;=$AQ$1,"O","X"))</f>
        <v/>
      </c>
      <c r="AR8" s="122">
        <f>IF(M8="","",IF(M8&lt;=$AR$1,"O","X"))</f>
        <v/>
      </c>
      <c r="AS8" s="122" t="inlineStr">
        <is>
          <t>X</t>
        </is>
      </c>
      <c r="AT8" s="122">
        <f>IF(OR(F8="",AI8=""),"",IF(AND((F8&lt;=85),(AI8&gt;=15)),"O","X"))</f>
        <v/>
      </c>
      <c r="AU8" s="122">
        <f>IF(C8="","",IF(C8&gt;=$AU$1,"O","X"))</f>
        <v/>
      </c>
      <c r="AV8" s="122">
        <f>IF(AO8="","",IF(AND(AO8="O",AP8="O",AR8="O",AT8="O",AU8="O"),"후보","X"))</f>
        <v/>
      </c>
    </row>
    <row r="9">
      <c r="A9" s="9" t="n"/>
      <c r="B9" s="122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2" t="n"/>
      <c r="AK9" s="122" t="n"/>
      <c r="AL9" s="122" t="n"/>
      <c r="AM9" s="122" t="n"/>
      <c r="AN9" s="122" t="n"/>
      <c r="AO9" s="122" t="n"/>
      <c r="AP9" s="122" t="n"/>
      <c r="AQ9" s="122" t="n"/>
      <c r="AR9" s="122" t="n"/>
      <c r="AS9" s="122" t="n"/>
      <c r="AT9" s="122" t="n"/>
      <c r="AU9" s="122" t="n"/>
      <c r="AV9" s="122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4" t="n">
        <v>839</v>
      </c>
      <c r="D10" s="132" t="n">
        <v>115.8</v>
      </c>
      <c r="E10" s="133" t="n">
        <v>35</v>
      </c>
      <c r="F10" s="132" t="n">
        <v>85</v>
      </c>
      <c r="G10" s="17" t="n">
        <v>26</v>
      </c>
      <c r="H10" s="134" t="n">
        <v>322</v>
      </c>
      <c r="I10" s="135" t="n">
        <v>39500</v>
      </c>
      <c r="J10" s="135" t="inlineStr">
        <is>
          <t>중</t>
        </is>
      </c>
      <c r="K10" s="135" t="n">
        <v>32000</v>
      </c>
      <c r="L10" s="135" t="inlineStr">
        <is>
          <t>14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2" t="n">
        <v>3</v>
      </c>
      <c r="R10" s="122" t="n">
        <v>2</v>
      </c>
      <c r="S10" s="122" t="inlineStr">
        <is>
          <t>계</t>
        </is>
      </c>
      <c r="T10" s="5" t="n">
        <v>115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2">
        <f>S10</f>
        <v/>
      </c>
      <c r="AF10" s="122">
        <f>Q10&amp;"/"&amp;R10</f>
        <v/>
      </c>
      <c r="AH10" s="20">
        <f>IF(A10="","",A10)</f>
        <v/>
      </c>
      <c r="AI10" s="133">
        <f>IF(E10="","",E10)</f>
        <v/>
      </c>
      <c r="AJ10" s="122">
        <f>IF(AI10="","",$AJ$2)</f>
        <v/>
      </c>
      <c r="AK10" s="122" t="inlineStr">
        <is>
          <t>A</t>
        </is>
      </c>
      <c r="AL10" s="122" t="inlineStr">
        <is>
          <t>A+</t>
        </is>
      </c>
      <c r="AM10" s="122" t="inlineStr">
        <is>
          <t>B+</t>
        </is>
      </c>
      <c r="AN10" s="122">
        <f>IF(AI10="","",$AN$2)</f>
        <v/>
      </c>
      <c r="AO10" s="122">
        <f>IF(N10="","",IF(N10&gt;=$AO$1/100,"O","X"))</f>
        <v/>
      </c>
      <c r="AP10" s="122">
        <f>IF(I10="","",IF(I10&lt;=$AP$1,"O","X"))</f>
        <v/>
      </c>
      <c r="AQ10" s="122">
        <f>IF(O10="","",IF(O10&lt;=$AQ$1,"O","X"))</f>
        <v/>
      </c>
      <c r="AR10" s="122">
        <f>IF(M10="","",IF(M10&lt;=$AR$1,"O","X"))</f>
        <v/>
      </c>
      <c r="AS10" s="122" t="inlineStr">
        <is>
          <t>X</t>
        </is>
      </c>
      <c r="AT10" s="122">
        <f>IF(OR(F10="",AI10=""),"",IF(AND((F10&lt;=85),(AI10&gt;=15)),"O","X"))</f>
        <v/>
      </c>
      <c r="AU10" s="122">
        <f>IF(C10="","",IF(C10&gt;=$AU$1,"O","X"))</f>
        <v/>
      </c>
      <c r="AV10" s="122">
        <f>IF(AO10="","",IF(AND(AO10="O",AP10="O",AR10="O",AT10="O",AU10="O"),"후보","X"))</f>
        <v/>
      </c>
    </row>
    <row r="11">
      <c r="A11" s="9" t="n"/>
      <c r="B11" s="122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2" t="n"/>
      <c r="AK11" s="122" t="n"/>
      <c r="AL11" s="122" t="n"/>
      <c r="AM11" s="122" t="n"/>
      <c r="AN11" s="122" t="n"/>
      <c r="AO11" s="122" t="n"/>
      <c r="AP11" s="122" t="n"/>
      <c r="AQ11" s="122" t="n"/>
      <c r="AR11" s="122" t="n"/>
      <c r="AS11" s="122" t="n"/>
      <c r="AT11" s="122" t="n"/>
      <c r="AU11" s="122" t="n"/>
      <c r="AV11" s="122" t="n"/>
    </row>
    <row r="12">
      <c r="A12" s="9" t="inlineStr">
        <is>
          <t>봉화산벨라시티</t>
        </is>
      </c>
      <c r="B12" s="10" t="inlineStr">
        <is>
          <t>'16.10.</t>
        </is>
      </c>
      <c r="C12" s="134" t="n">
        <v>566</v>
      </c>
      <c r="D12" s="132" t="n">
        <v>110.9</v>
      </c>
      <c r="E12" s="133" t="n">
        <v>34</v>
      </c>
      <c r="F12" s="132" t="n">
        <v>85</v>
      </c>
      <c r="G12" s="17" t="n">
        <v>26</v>
      </c>
      <c r="H12" s="134" t="n">
        <v>92</v>
      </c>
      <c r="I12" s="135" t="n">
        <v>36000</v>
      </c>
      <c r="J12" s="135" t="inlineStr">
        <is>
          <t>고</t>
        </is>
      </c>
      <c r="K12" s="135" t="n">
        <v>28000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2" t="n">
        <v>3</v>
      </c>
      <c r="R12" s="122" t="n">
        <v>1</v>
      </c>
      <c r="S12" s="122" t="inlineStr">
        <is>
          <t>계</t>
        </is>
      </c>
      <c r="T12" s="5" t="n">
        <v>77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2">
        <f>S12</f>
        <v/>
      </c>
      <c r="AF12" s="122">
        <f>Q12&amp;"/"&amp;R12</f>
        <v/>
      </c>
      <c r="AH12" s="20">
        <f>IF(A12="","",A12)</f>
        <v/>
      </c>
      <c r="AI12" s="133">
        <f>IF(E12="","",E12)</f>
        <v/>
      </c>
      <c r="AJ12" s="122">
        <f>IF(AI12="","",$AJ$2)</f>
        <v/>
      </c>
      <c r="AK12" s="122" t="inlineStr">
        <is>
          <t>A</t>
        </is>
      </c>
      <c r="AL12" s="122" t="inlineStr">
        <is>
          <t>A+</t>
        </is>
      </c>
      <c r="AM12" s="122" t="inlineStr">
        <is>
          <t>B+</t>
        </is>
      </c>
      <c r="AN12" s="122">
        <f>IF(AI12="","",$AN$2)</f>
        <v/>
      </c>
      <c r="AO12" s="122">
        <f>IF(N12="","",IF(N12&gt;=$AO$1/100,"O","X"))</f>
        <v/>
      </c>
      <c r="AP12" s="122">
        <f>IF(I12="","",IF(I12&lt;=$AP$1,"O","X"))</f>
        <v/>
      </c>
      <c r="AQ12" s="122">
        <f>IF(O12="","",IF(O12&lt;=$AQ$1,"O","X"))</f>
        <v/>
      </c>
      <c r="AR12" s="122">
        <f>IF(M12="","",IF(M12&lt;=$AR$1,"O","X"))</f>
        <v/>
      </c>
      <c r="AS12" s="122" t="inlineStr">
        <is>
          <t>X</t>
        </is>
      </c>
      <c r="AT12" s="122">
        <f>IF(OR(F12="",AI12=""),"",IF(AND((F12&lt;=85),(AI12&gt;=15)),"O","X"))</f>
        <v/>
      </c>
      <c r="AU12" s="122">
        <f>IF(C12="","",IF(C12&gt;=$AU$1,"O","X"))</f>
        <v/>
      </c>
      <c r="AV12" s="122">
        <f>IF(AO12="","",IF(AND(AO12="O",AP12="O",AR12="O",AT12="O",AU12="O"),"후보","X"))</f>
        <v/>
      </c>
    </row>
    <row r="13">
      <c r="A13" s="9" t="n"/>
      <c r="B13" s="122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7">
        <f>IF(E13="","",E13)</f>
        <v/>
      </c>
      <c r="AJ13" s="122" t="n"/>
      <c r="AK13" s="122" t="n"/>
      <c r="AL13" s="122" t="n"/>
      <c r="AM13" s="122" t="n"/>
      <c r="AN13" s="122" t="n"/>
      <c r="AO13" s="122" t="n"/>
      <c r="AP13" s="122" t="n"/>
      <c r="AQ13" s="122" t="n"/>
      <c r="AR13" s="122" t="n"/>
      <c r="AS13" s="122" t="n"/>
      <c r="AT13" s="122" t="n"/>
      <c r="AU13" s="122" t="n"/>
      <c r="AV13" s="122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4" t="n">
        <v>996</v>
      </c>
      <c r="D14" s="132" t="n">
        <v>98.59999999999999</v>
      </c>
      <c r="E14" s="133" t="n">
        <v>30</v>
      </c>
      <c r="F14" s="132" t="n">
        <v>72.90000000000001</v>
      </c>
      <c r="G14" s="17" t="n">
        <v>22</v>
      </c>
      <c r="H14" s="134" t="n">
        <v>323</v>
      </c>
      <c r="I14" s="135" t="n">
        <v>35000</v>
      </c>
      <c r="J14" s="135" t="inlineStr">
        <is>
          <t>10</t>
        </is>
      </c>
      <c r="K14" s="135" t="n">
        <v>26000</v>
      </c>
      <c r="L14" s="135" t="inlineStr">
        <is>
          <t>고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2" t="n">
        <v>3</v>
      </c>
      <c r="R14" s="122" t="n">
        <v>1</v>
      </c>
      <c r="S14" s="122" t="inlineStr">
        <is>
          <t>계</t>
        </is>
      </c>
      <c r="T14" s="5" t="inlineStr">
        <is>
          <t>77A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2">
        <f>S14</f>
        <v/>
      </c>
      <c r="AF14" s="122">
        <f>Q14&amp;"/"&amp;R14</f>
        <v/>
      </c>
      <c r="AH14" s="20">
        <f>IF(A14="","",A14)</f>
        <v/>
      </c>
      <c r="AI14" s="133">
        <f>IF(E14="","",E14)</f>
        <v/>
      </c>
      <c r="AJ14" s="122">
        <f>IF(AI14="","",$AJ$2)</f>
        <v/>
      </c>
      <c r="AK14" s="122" t="inlineStr">
        <is>
          <t>A</t>
        </is>
      </c>
      <c r="AL14" s="122" t="inlineStr">
        <is>
          <t>A+</t>
        </is>
      </c>
      <c r="AM14" s="122" t="inlineStr">
        <is>
          <t>B+</t>
        </is>
      </c>
      <c r="AN14" s="122">
        <f>IF(AI14="","",$AN$2)</f>
        <v/>
      </c>
      <c r="AO14" s="122">
        <f>IF(N14="","",IF(N14&gt;=$AO$1/100,"O","X"))</f>
        <v/>
      </c>
      <c r="AP14" s="122">
        <f>IF(I14="","",IF(I14&lt;=$AP$1,"O","X"))</f>
        <v/>
      </c>
      <c r="AQ14" s="122">
        <f>IF(O14="","",IF(O14&lt;=$AQ$1,"O","X"))</f>
        <v/>
      </c>
      <c r="AR14" s="122">
        <f>IF(M14="","",IF(M14&lt;=$AR$1,"O","X"))</f>
        <v/>
      </c>
      <c r="AS14" s="122" t="inlineStr">
        <is>
          <t>X</t>
        </is>
      </c>
      <c r="AT14" s="122">
        <f>IF(OR(F14="",AI14=""),"",IF(AND((F14&lt;=85),(AI14&gt;=15)),"O","X"))</f>
        <v/>
      </c>
      <c r="AU14" s="122">
        <f>IF(C14="","",IF(C14&gt;=$AU$1,"O","X"))</f>
        <v/>
      </c>
      <c r="AV14" s="122">
        <f>IF(AO14="","",IF(AND(AO14="O",AP14="O",AR14="O",AT14="O",AU14="O"),"후보","X"))</f>
        <v/>
      </c>
    </row>
    <row r="15">
      <c r="A15" s="9" t="n"/>
      <c r="B15" s="122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2" t="n"/>
      <c r="AK15" s="122" t="n"/>
      <c r="AL15" s="122" t="n"/>
      <c r="AM15" s="122" t="n"/>
      <c r="AN15" s="122" t="n"/>
      <c r="AO15" s="122" t="n"/>
      <c r="AP15" s="122" t="n"/>
      <c r="AQ15" s="122" t="n"/>
      <c r="AR15" s="122" t="n"/>
      <c r="AS15" s="122" t="n"/>
      <c r="AT15" s="122" t="n"/>
      <c r="AU15" s="122" t="n"/>
      <c r="AV15" s="122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4" t="n">
        <v>499</v>
      </c>
      <c r="D16" s="132" t="n">
        <v>83.09999999999999</v>
      </c>
      <c r="E16" s="133" t="n">
        <v>25</v>
      </c>
      <c r="F16" s="132" t="n">
        <v>59.9</v>
      </c>
      <c r="G16" s="17" t="n">
        <v>18</v>
      </c>
      <c r="H16" s="134" t="n">
        <v>126</v>
      </c>
      <c r="I16" s="135" t="n">
        <v>30000</v>
      </c>
      <c r="J16" s="135" t="inlineStr">
        <is>
          <t>16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2" t="n">
        <v>4</v>
      </c>
      <c r="R16" s="122" t="n">
        <v>2</v>
      </c>
      <c r="S16" s="122" t="inlineStr">
        <is>
          <t>계</t>
        </is>
      </c>
      <c r="T16" s="5" t="inlineStr">
        <is>
          <t>163B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2">
        <f>S16</f>
        <v/>
      </c>
      <c r="AF16" s="122">
        <f>Q16&amp;"/"&amp;R16</f>
        <v/>
      </c>
      <c r="AH16" s="20">
        <f>IF(A16="","",A16)</f>
        <v/>
      </c>
      <c r="AI16" s="133">
        <f>IF(E16="","",E16)</f>
        <v/>
      </c>
      <c r="AJ16" s="122">
        <f>IF(AI16="","",$AJ$2)</f>
        <v/>
      </c>
      <c r="AK16" s="122" t="inlineStr">
        <is>
          <t>A</t>
        </is>
      </c>
      <c r="AL16" s="122" t="inlineStr">
        <is>
          <t>A+</t>
        </is>
      </c>
      <c r="AM16" s="122" t="inlineStr">
        <is>
          <t>B+</t>
        </is>
      </c>
      <c r="AN16" s="122">
        <f>IF(AI16="","",$AN$2)</f>
        <v/>
      </c>
      <c r="AO16" s="122">
        <f>IF(N16="","",IF(N16&gt;=$AO$1/100,"O","X"))</f>
        <v/>
      </c>
      <c r="AP16" s="122">
        <f>IF(I16="","",IF(I16&lt;=$AP$1,"O","X"))</f>
        <v/>
      </c>
      <c r="AQ16" s="122">
        <f>IF(O16="","",IF(O16&lt;=$AQ$1,"O","X"))</f>
        <v/>
      </c>
      <c r="AR16" s="122">
        <f>IF(M16="","",IF(M16&lt;=$AR$1,"O","X"))</f>
        <v/>
      </c>
      <c r="AS16" s="122" t="inlineStr">
        <is>
          <t>X</t>
        </is>
      </c>
      <c r="AT16" s="122">
        <f>IF(OR(F16="",AI16=""),"",IF(AND((F16&lt;=85),(AI16&gt;=15)),"O","X"))</f>
        <v/>
      </c>
      <c r="AU16" s="122">
        <f>IF(C16="","",IF(C16&gt;=$AU$1,"O","X"))</f>
        <v/>
      </c>
      <c r="AV16" s="122">
        <f>IF(AO16="","",IF(AND(AO16="O",AP16="O",AR16="O",AT16="O",AU16="O"),"후보","X"))</f>
        <v/>
      </c>
    </row>
    <row r="17">
      <c r="A17" s="9" t="n"/>
      <c r="B17" s="122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2" t="n"/>
      <c r="AK17" s="122" t="n"/>
      <c r="AL17" s="122" t="n"/>
      <c r="AM17" s="122" t="n"/>
      <c r="AN17" s="122" t="n"/>
      <c r="AO17" s="122" t="n"/>
      <c r="AP17" s="122" t="n"/>
      <c r="AQ17" s="122" t="n"/>
      <c r="AR17" s="122" t="n"/>
      <c r="AS17" s="122" t="n"/>
      <c r="AT17" s="122" t="n"/>
      <c r="AU17" s="122" t="n"/>
      <c r="AV17" s="122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4" t="n">
        <v>839</v>
      </c>
      <c r="D18" s="132" t="n">
        <v>83.8</v>
      </c>
      <c r="E18" s="133" t="n">
        <v>25</v>
      </c>
      <c r="F18" s="132" t="n">
        <v>60</v>
      </c>
      <c r="G18" s="17" t="n">
        <v>18</v>
      </c>
      <c r="H18" s="134" t="n">
        <v>74</v>
      </c>
      <c r="I18" s="135" t="n">
        <v>30000</v>
      </c>
      <c r="J18" s="135" t="inlineStr">
        <is>
          <t>12</t>
        </is>
      </c>
      <c r="K18" s="135" t="n">
        <v>26000</v>
      </c>
      <c r="L18" s="135" t="inlineStr">
        <is>
          <t>고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2" t="n">
        <v>3</v>
      </c>
      <c r="R18" s="122" t="n">
        <v>1</v>
      </c>
      <c r="S18" s="122" t="inlineStr">
        <is>
          <t>계</t>
        </is>
      </c>
      <c r="T18" s="5" t="n">
        <v>78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2">
        <f>S18</f>
        <v/>
      </c>
      <c r="AF18" s="122">
        <f>Q18&amp;"/"&amp;R18</f>
        <v/>
      </c>
      <c r="AH18" s="20">
        <f>IF(A18="","",A18)</f>
        <v/>
      </c>
      <c r="AI18" s="133">
        <f>IF(E18="","",E18)</f>
        <v/>
      </c>
      <c r="AJ18" s="122">
        <f>IF(AI18="","",$AJ$2)</f>
        <v/>
      </c>
      <c r="AK18" s="122" t="inlineStr">
        <is>
          <t>A</t>
        </is>
      </c>
      <c r="AL18" s="122" t="inlineStr">
        <is>
          <t>A+</t>
        </is>
      </c>
      <c r="AM18" s="122" t="inlineStr">
        <is>
          <t>B+</t>
        </is>
      </c>
      <c r="AN18" s="122">
        <f>IF(AI18="","",$AN$2)</f>
        <v/>
      </c>
      <c r="AO18" s="122">
        <f>IF(N18="","",IF(N18&gt;=$AO$1/100,"O","X"))</f>
        <v/>
      </c>
      <c r="AP18" s="122">
        <f>IF(I18="","",IF(I18&lt;=$AP$1,"O","X"))</f>
        <v/>
      </c>
      <c r="AQ18" s="122">
        <f>IF(O18="","",IF(O18&lt;=$AQ$1,"O","X"))</f>
        <v/>
      </c>
      <c r="AR18" s="122">
        <f>IF(M18="","",IF(M18&lt;=$AR$1,"O","X"))</f>
        <v/>
      </c>
      <c r="AS18" s="122" t="inlineStr">
        <is>
          <t>X</t>
        </is>
      </c>
      <c r="AT18" s="122">
        <f>IF(OR(F18="",AI18=""),"",IF(AND((F18&lt;=85),(AI18&gt;=15)),"O","X"))</f>
        <v/>
      </c>
      <c r="AU18" s="122">
        <f>IF(C18="","",IF(C18&gt;=$AU$1,"O","X"))</f>
        <v/>
      </c>
      <c r="AV18" s="122">
        <f>IF(AO18="","",IF(AND(AO18="O",AP18="O",AR18="O",AT18="O",AU18="O"),"후보","X"))</f>
        <v/>
      </c>
    </row>
    <row r="19">
      <c r="A19" s="9" t="n"/>
      <c r="B19" s="122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2" t="n"/>
      <c r="AK19" s="122" t="n"/>
      <c r="AL19" s="122" t="n"/>
      <c r="AM19" s="122" t="n"/>
      <c r="AN19" s="122" t="n"/>
      <c r="AO19" s="122" t="n"/>
      <c r="AP19" s="122" t="n"/>
      <c r="AQ19" s="122" t="n"/>
      <c r="AR19" s="122" t="n"/>
      <c r="AS19" s="122" t="n"/>
      <c r="AT19" s="122" t="n"/>
      <c r="AU19" s="122" t="n"/>
      <c r="AV19" s="122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4" t="n">
        <v>996</v>
      </c>
      <c r="D20" s="132" t="n">
        <v>85</v>
      </c>
      <c r="E20" s="133" t="n">
        <v>26</v>
      </c>
      <c r="F20" s="132" t="n">
        <v>60.8</v>
      </c>
      <c r="G20" s="17" t="n">
        <v>18</v>
      </c>
      <c r="H20" s="134" t="n">
        <v>337</v>
      </c>
      <c r="I20" s="135" t="n">
        <v>29000</v>
      </c>
      <c r="J20" s="135" t="inlineStr">
        <is>
          <t>26</t>
        </is>
      </c>
      <c r="K20" s="135" t="n">
        <v>24000</v>
      </c>
      <c r="L20" s="135" t="inlineStr">
        <is>
          <t>26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2" t="n">
        <v>2</v>
      </c>
      <c r="R20" s="122" t="n">
        <v>1</v>
      </c>
      <c r="S20" s="122" t="inlineStr">
        <is>
          <t>계</t>
        </is>
      </c>
      <c r="T20" s="5" t="inlineStr">
        <is>
          <t>78A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2">
        <f>S20</f>
        <v/>
      </c>
      <c r="AF20" s="122">
        <f>Q20&amp;"/"&amp;R20</f>
        <v/>
      </c>
      <c r="AH20" s="20">
        <f>IF(A20="","",A20)</f>
        <v/>
      </c>
      <c r="AI20" s="133">
        <f>IF(E20="","",E20)</f>
        <v/>
      </c>
      <c r="AJ20" s="122">
        <f>IF(AI20="","",$AJ$2)</f>
        <v/>
      </c>
      <c r="AK20" s="122" t="inlineStr">
        <is>
          <t>A</t>
        </is>
      </c>
      <c r="AL20" s="122" t="inlineStr">
        <is>
          <t>A+</t>
        </is>
      </c>
      <c r="AM20" s="122" t="inlineStr">
        <is>
          <t>B+</t>
        </is>
      </c>
      <c r="AN20" s="122">
        <f>IF(AI20="","",$AN$2)</f>
        <v/>
      </c>
      <c r="AO20" s="122">
        <f>IF(N20="","",IF(N20&gt;=$AO$1/100,"O","X"))</f>
        <v/>
      </c>
      <c r="AP20" s="122">
        <f>IF(I20="","",IF(I20&lt;=$AP$1,"O","X"))</f>
        <v/>
      </c>
      <c r="AQ20" s="122">
        <f>IF(O20="","",IF(O20&lt;=$AQ$1,"O","X"))</f>
        <v/>
      </c>
      <c r="AR20" s="122">
        <f>IF(M20="","",IF(M20&lt;=$AR$1,"O","X"))</f>
        <v/>
      </c>
      <c r="AS20" s="122" t="inlineStr">
        <is>
          <t>X</t>
        </is>
      </c>
      <c r="AT20" s="122">
        <f>IF(OR(F20="",AI20=""),"",IF(AND((F20&lt;=85),(AI20&gt;=15)),"O","X"))</f>
        <v/>
      </c>
      <c r="AU20" s="122">
        <f>IF(C20="","",IF(C20&gt;=$AU$1,"O","X"))</f>
        <v/>
      </c>
      <c r="AV20" s="122">
        <f>IF(AO20="","",IF(AND(AO20="O",AP20="O",AR20="O",AT20="O",AU20="O"),"후보","X"))</f>
        <v/>
      </c>
    </row>
    <row r="21">
      <c r="A21" s="9" t="n"/>
      <c r="B21" s="122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7">
        <f>IF(E21="","",E21)</f>
        <v/>
      </c>
      <c r="AJ21" s="122" t="n"/>
      <c r="AK21" s="122" t="n"/>
      <c r="AL21" s="122" t="n"/>
      <c r="AM21" s="122" t="n"/>
      <c r="AN21" s="122" t="n"/>
      <c r="AO21" s="122" t="n"/>
      <c r="AP21" s="122" t="n"/>
      <c r="AQ21" s="122" t="n"/>
      <c r="AR21" s="122" t="n"/>
      <c r="AS21" s="122" t="n"/>
      <c r="AT21" s="122" t="n"/>
      <c r="AU21" s="122" t="n"/>
      <c r="AV21" s="122" t="n"/>
    </row>
    <row r="22">
      <c r="A22" s="9" t="inlineStr">
        <is>
          <t>봉화산벨라시티</t>
        </is>
      </c>
      <c r="B22" s="10" t="inlineStr">
        <is>
          <t>'16.10.</t>
        </is>
      </c>
      <c r="C22" s="134" t="n">
        <v>566</v>
      </c>
      <c r="D22" s="132" t="n">
        <v>87.90000000000001</v>
      </c>
      <c r="E22" s="133" t="n">
        <v>27</v>
      </c>
      <c r="F22" s="132" t="n">
        <v>59.9</v>
      </c>
      <c r="G22" s="17" t="n">
        <v>18</v>
      </c>
      <c r="H22" s="134" t="n">
        <v>164</v>
      </c>
      <c r="I22" s="135" t="n">
        <v>28000</v>
      </c>
      <c r="J22" s="135" t="inlineStr">
        <is>
          <t>중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2" t="n">
        <v>3</v>
      </c>
      <c r="R22" s="122" t="n">
        <v>2</v>
      </c>
      <c r="S22" s="122" t="inlineStr">
        <is>
          <t>복</t>
        </is>
      </c>
      <c r="T22" s="5" t="inlineStr">
        <is>
          <t>115A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2">
        <f>S22</f>
        <v/>
      </c>
      <c r="AF22" s="122">
        <f>Q22&amp;"/"&amp;R22</f>
        <v/>
      </c>
      <c r="AH22" s="20">
        <f>IF(A22="","",A22)</f>
        <v/>
      </c>
      <c r="AI22" s="133">
        <f>IF(E22="","",E22)</f>
        <v/>
      </c>
      <c r="AJ22" s="122">
        <f>IF(AI22="","",$AJ$2)</f>
        <v/>
      </c>
      <c r="AK22" s="122" t="inlineStr">
        <is>
          <t>A</t>
        </is>
      </c>
      <c r="AL22" s="122" t="inlineStr">
        <is>
          <t>A+</t>
        </is>
      </c>
      <c r="AM22" s="122" t="inlineStr">
        <is>
          <t>B+</t>
        </is>
      </c>
      <c r="AN22" s="122">
        <f>IF(AI22="","",$AN$2)</f>
        <v/>
      </c>
      <c r="AO22" s="122">
        <f>IF(N22="","",IF(N22&gt;=$AO$1/100,"O","X"))</f>
        <v/>
      </c>
      <c r="AP22" s="122">
        <f>IF(I22="","",IF(I22&lt;=$AP$1,"O","X"))</f>
        <v/>
      </c>
      <c r="AQ22" s="122">
        <f>IF(O22="","",IF(O22&lt;=$AQ$1,"O","X"))</f>
        <v/>
      </c>
      <c r="AR22" s="122">
        <f>IF(M22="","",IF(M22&lt;=$AR$1,"O","X"))</f>
        <v/>
      </c>
      <c r="AS22" s="122" t="inlineStr">
        <is>
          <t>X</t>
        </is>
      </c>
      <c r="AT22" s="122">
        <f>IF(OR(F22="",AI22=""),"",IF(AND((F22&lt;=85),(AI22&gt;=15)),"O","X"))</f>
        <v/>
      </c>
      <c r="AU22" s="122">
        <f>IF(C22="","",IF(C22&gt;=$AU$1,"O","X"))</f>
        <v/>
      </c>
      <c r="AV22" s="122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17">
      <formula>AV4="X"</formula>
    </cfRule>
    <cfRule type="expression" priority="213" dxfId="16">
      <formula>AV4="후보"</formula>
    </cfRule>
  </conditionalFormatting>
  <conditionalFormatting sqref="AC1:AC2 AC4:AC6 N4:N5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N1:N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6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17">
      <formula>AV7="X"</formula>
    </cfRule>
    <cfRule type="expression" priority="192" dxfId="16">
      <formula>AV7="후보"</formula>
    </cfRule>
  </conditionalFormatting>
  <conditionalFormatting sqref="AC7 N7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AV8">
    <cfRule type="expression" priority="186" dxfId="17">
      <formula>AV8="X"</formula>
    </cfRule>
    <cfRule type="expression" priority="187" dxfId="16">
      <formula>AV8="후보"</formula>
    </cfRule>
  </conditionalFormatting>
  <conditionalFormatting sqref="AC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N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17">
      <formula>AV9="X"</formula>
    </cfRule>
    <cfRule type="expression" priority="168" dxfId="16">
      <formula>AV9="후보"</formula>
    </cfRule>
  </conditionalFormatting>
  <conditionalFormatting sqref="AC9 N9">
    <cfRule type="cellIs" priority="164" operator="greaterThan" dxfId="13">
      <formula>0.9</formula>
    </cfRule>
    <cfRule type="cellIs" priority="165" operator="greaterThan" dxfId="12">
      <formula>0.85</formula>
    </cfRule>
  </conditionalFormatting>
  <conditionalFormatting sqref="AV10">
    <cfRule type="expression" priority="162" dxfId="17">
      <formula>AV10="X"</formula>
    </cfRule>
    <cfRule type="expression" priority="163" dxfId="16">
      <formula>AV10="후보"</formula>
    </cfRule>
  </conditionalFormatting>
  <conditionalFormatting sqref="AC1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17">
      <formula>AV11="X"</formula>
    </cfRule>
    <cfRule type="expression" priority="144" dxfId="16">
      <formula>AV11="후보"</formula>
    </cfRule>
  </conditionalFormatting>
  <conditionalFormatting sqref="AC11 N11">
    <cfRule type="cellIs" priority="140" operator="greaterThan" dxfId="13">
      <formula>0.9</formula>
    </cfRule>
    <cfRule type="cellIs" priority="141" operator="greaterThan" dxfId="12">
      <formula>0.85</formula>
    </cfRule>
  </conditionalFormatting>
  <conditionalFormatting sqref="AV12">
    <cfRule type="expression" priority="138" dxfId="17">
      <formula>AV12="X"</formula>
    </cfRule>
    <cfRule type="expression" priority="139" dxfId="16">
      <formula>AV12="후보"</formula>
    </cfRule>
  </conditionalFormatting>
  <conditionalFormatting sqref="AC12">
    <cfRule type="cellIs" priority="135" operator="greaterThan" dxfId="13">
      <formula>0.9</formula>
    </cfRule>
    <cfRule type="cellIs" priority="136" operator="greaterThan" dxfId="12">
      <formula>0.85</formula>
    </cfRule>
  </conditionalFormatting>
  <conditionalFormatting sqref="N12">
    <cfRule type="cellIs" priority="133" operator="greaterThan" dxfId="13">
      <formula>0.9</formula>
    </cfRule>
    <cfRule type="cellIs" priority="134" operator="greaterThan" dxfId="12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17">
      <formula>AV13="X"</formula>
    </cfRule>
    <cfRule type="expression" priority="120" dxfId="16">
      <formula>AV13="후보"</formula>
    </cfRule>
  </conditionalFormatting>
  <conditionalFormatting sqref="AC13 N13">
    <cfRule type="cellIs" priority="116" operator="greaterThan" dxfId="13">
      <formula>0.9</formula>
    </cfRule>
    <cfRule type="cellIs" priority="117" operator="greaterThan" dxfId="12">
      <formula>0.85</formula>
    </cfRule>
  </conditionalFormatting>
  <conditionalFormatting sqref="AV14">
    <cfRule type="expression" priority="114" dxfId="17">
      <formula>AV14="X"</formula>
    </cfRule>
    <cfRule type="expression" priority="115" dxfId="16">
      <formula>AV14="후보"</formula>
    </cfRule>
  </conditionalFormatting>
  <conditionalFormatting sqref="AC14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4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17">
      <formula>AV15="X"</formula>
    </cfRule>
    <cfRule type="expression" priority="96" dxfId="16">
      <formula>AV15="후보"</formula>
    </cfRule>
  </conditionalFormatting>
  <conditionalFormatting sqref="AC15 N15">
    <cfRule type="cellIs" priority="92" operator="greaterThan" dxfId="13">
      <formula>0.9</formula>
    </cfRule>
    <cfRule type="cellIs" priority="93" operator="greaterThan" dxfId="12">
      <formula>0.85</formula>
    </cfRule>
  </conditionalFormatting>
  <conditionalFormatting sqref="AV16">
    <cfRule type="expression" priority="90" dxfId="17">
      <formula>AV16="X"</formula>
    </cfRule>
    <cfRule type="expression" priority="91" dxfId="16">
      <formula>AV16="후보"</formula>
    </cfRule>
  </conditionalFormatting>
  <conditionalFormatting sqref="AC1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17">
      <formula>AV17="X"</formula>
    </cfRule>
    <cfRule type="expression" priority="72" dxfId="16">
      <formula>AV17="후보"</formula>
    </cfRule>
  </conditionalFormatting>
  <conditionalFormatting sqref="AC17 N17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18">
    <cfRule type="expression" priority="66" dxfId="17">
      <formula>AV18="X"</formula>
    </cfRule>
    <cfRule type="expression" priority="67" dxfId="16">
      <formula>AV18="후보"</formula>
    </cfRule>
  </conditionalFormatting>
  <conditionalFormatting sqref="AC18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18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17">
      <formula>AV19="X"</formula>
    </cfRule>
    <cfRule type="expression" priority="48" dxfId="16">
      <formula>AV19="후보"</formula>
    </cfRule>
  </conditionalFormatting>
  <conditionalFormatting sqref="AC19 N19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0">
    <cfRule type="expression" priority="42" dxfId="17">
      <formula>AV20="X"</formula>
    </cfRule>
    <cfRule type="expression" priority="43" dxfId="16">
      <formula>AV20="후보"</formula>
    </cfRule>
  </conditionalFormatting>
  <conditionalFormatting sqref="AC2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17">
      <formula>AV21="X"</formula>
    </cfRule>
    <cfRule type="expression" priority="24" dxfId="16">
      <formula>AV21="후보"</formula>
    </cfRule>
  </conditionalFormatting>
  <conditionalFormatting sqref="AC21 N21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2">
        <f>A1&amp;" 전체 등급"</f>
        <v/>
      </c>
      <c r="AK1" s="123" t="n"/>
      <c r="AL1" s="123" t="n"/>
      <c r="AM1" s="123" t="n"/>
      <c r="AN1" s="12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2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2" t="n"/>
      <c r="AF4" s="5" t="n"/>
      <c r="AH4" s="20" t="n"/>
      <c r="AI4" s="157">
        <f>IF(E4="","",E4)</f>
        <v/>
      </c>
      <c r="AJ4" s="122" t="n"/>
      <c r="AK4" s="122" t="n"/>
      <c r="AL4" s="122" t="n"/>
      <c r="AM4" s="122" t="n"/>
      <c r="AN4" s="122" t="n"/>
      <c r="AO4" s="122" t="n"/>
      <c r="AP4" s="122" t="n"/>
      <c r="AQ4" s="122" t="n"/>
      <c r="AR4" s="122" t="n"/>
      <c r="AS4" s="122" t="n"/>
      <c r="AT4" s="122" t="n"/>
      <c r="AU4" s="122" t="n"/>
      <c r="AV4" s="122" t="n"/>
    </row>
    <row r="5">
      <c r="A5" s="9" t="n"/>
      <c r="B5" s="122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2" t="n">
        <v>3</v>
      </c>
      <c r="R6" s="122" t="n">
        <v>2</v>
      </c>
      <c r="S6" s="122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2">
        <f>S6</f>
        <v/>
      </c>
      <c r="AF6" s="122">
        <f>Q6&amp;"/"&amp;R6</f>
        <v/>
      </c>
      <c r="AH6" s="20">
        <f>IF(A6="","",A6)</f>
        <v/>
      </c>
      <c r="AI6" s="133">
        <f>IF(E6="","",E6)</f>
        <v/>
      </c>
      <c r="AJ6" s="122">
        <f>IF(AI6="","",$AJ$2)</f>
        <v/>
      </c>
      <c r="AK6" s="122" t="inlineStr">
        <is>
          <t>A</t>
        </is>
      </c>
      <c r="AL6" s="122" t="inlineStr">
        <is>
          <t>A+</t>
        </is>
      </c>
      <c r="AM6" s="122" t="inlineStr">
        <is>
          <t>B+</t>
        </is>
      </c>
      <c r="AN6" s="122">
        <f>IF(AI6="","",$AN$2)</f>
        <v/>
      </c>
      <c r="AO6" s="122">
        <f>IF(N6="","",IF(N6&gt;=$AO$1/100,"O","X"))</f>
        <v/>
      </c>
      <c r="AP6" s="122">
        <f>IF(I6="","",IF(I6&lt;=$AP$1,"O","X"))</f>
        <v/>
      </c>
      <c r="AQ6" s="122">
        <f>IF(O6="","",IF(O6&lt;=$AQ$1,"O","X"))</f>
        <v/>
      </c>
      <c r="AR6" s="122">
        <f>IF(M6="","",IF(M6&lt;=$AR$1,"O","X"))</f>
        <v/>
      </c>
      <c r="AS6" s="122" t="inlineStr">
        <is>
          <t>X</t>
        </is>
      </c>
      <c r="AT6" s="122">
        <f>IF(OR(F6="",AI6=""),"",IF(AND((F6&lt;=85),(AI6&gt;=15)),"O","X"))</f>
        <v/>
      </c>
      <c r="AU6" s="122">
        <f>IF(C6="","",IF(C6&gt;=$AU$1,"O","X"))</f>
        <v/>
      </c>
      <c r="AV6" s="12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2022-05-22T10:29:24Z</dcterms:modified>
  <cp:lastModifiedBy>MinsuKwon</cp:lastModifiedBy>
  <cp:lastPrinted>2018-04-28T10:52:41Z</cp:lastPrinted>
</cp:coreProperties>
</file>