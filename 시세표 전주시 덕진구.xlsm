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110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T11" sqref="T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3" t="inlineStr">
        <is>
          <t>덕진동2가 영무예다음</t>
        </is>
      </c>
      <c r="B4" s="74" t="inlineStr">
        <is>
          <t>09.12.</t>
        </is>
      </c>
      <c r="C4" s="126" t="n">
        <v>601</v>
      </c>
      <c r="D4" s="127" t="n">
        <v>79.8</v>
      </c>
      <c r="E4" s="128" t="n">
        <v>24</v>
      </c>
      <c r="F4" s="127" t="n">
        <v>60</v>
      </c>
      <c r="G4" s="17" t="n">
        <v>18</v>
      </c>
      <c r="H4" s="129" t="n">
        <v>94</v>
      </c>
      <c r="I4" s="130" t="n">
        <v>24000</v>
      </c>
      <c r="J4" s="130" t="inlineStr">
        <is>
          <t>고</t>
        </is>
      </c>
      <c r="K4" s="130" t="n">
        <v>22000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2</v>
      </c>
      <c r="R4" s="117" t="n">
        <v>2</v>
      </c>
      <c r="S4" s="117" t="inlineStr">
        <is>
          <t>계</t>
        </is>
      </c>
      <c r="T4" s="5" t="inlineStr">
        <is>
          <t>79A</t>
        </is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3" t="inlineStr">
        <is>
          <t>덕진동2가 하가더루벤스</t>
        </is>
      </c>
      <c r="B5" s="74" t="inlineStr">
        <is>
          <t>12.06.</t>
        </is>
      </c>
      <c r="C5" s="126" t="n">
        <v>413</v>
      </c>
      <c r="D5" s="127" t="n">
        <v>109.9</v>
      </c>
      <c r="E5" s="128" t="n">
        <v>33</v>
      </c>
      <c r="F5" s="127" t="n">
        <v>85</v>
      </c>
      <c r="G5" s="17" t="n">
        <v>26</v>
      </c>
      <c r="H5" s="129" t="n">
        <v>69</v>
      </c>
      <c r="I5" s="130" t="n">
        <v>36500</v>
      </c>
      <c r="J5" s="130" t="inlineStr">
        <is>
          <t>5</t>
        </is>
      </c>
      <c r="K5" s="130" t="n">
        <v>34000</v>
      </c>
      <c r="L5" s="130" t="inlineStr">
        <is>
          <t>6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inlineStr">
        <is>
          <t>109B</t>
        </is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3" t="inlineStr">
        <is>
          <t>덕진동2가 제일오투그란데</t>
        </is>
      </c>
      <c r="B6" s="74" t="inlineStr">
        <is>
          <t>13.01.</t>
        </is>
      </c>
      <c r="C6" s="126" t="n">
        <v>319</v>
      </c>
      <c r="D6" s="127" t="n">
        <v>106.4</v>
      </c>
      <c r="E6" s="128" t="n">
        <v>32</v>
      </c>
      <c r="F6" s="127" t="n">
        <v>76.59999999999999</v>
      </c>
      <c r="G6" s="17" t="n">
        <v>23</v>
      </c>
      <c r="H6" s="129" t="n">
        <v>117</v>
      </c>
      <c r="I6" s="130" t="n">
        <v>37000</v>
      </c>
      <c r="J6" s="130" t="inlineStr">
        <is>
          <t>8</t>
        </is>
      </c>
      <c r="K6" s="130" t="n">
        <v>33000</v>
      </c>
      <c r="L6" s="130" t="inlineStr">
        <is>
          <t>11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3" t="inlineStr">
        <is>
          <t>덕진동2가 전주덕진휴먼빌2차</t>
        </is>
      </c>
      <c r="B7" s="74" t="inlineStr">
        <is>
          <t>16.12.</t>
        </is>
      </c>
      <c r="C7" s="126" t="n">
        <v>367</v>
      </c>
      <c r="D7" s="127" t="n">
        <v>81.3</v>
      </c>
      <c r="E7" s="128" t="n">
        <v>25</v>
      </c>
      <c r="F7" s="127" t="n">
        <v>60</v>
      </c>
      <c r="G7" s="17" t="n">
        <v>18</v>
      </c>
      <c r="H7" s="129" t="n">
        <v>94</v>
      </c>
      <c r="I7" s="130" t="n">
        <v>31000</v>
      </c>
      <c r="J7" s="130" t="inlineStr">
        <is>
          <t>12</t>
        </is>
      </c>
      <c r="K7" s="130" t="n">
        <v>27000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3" t="inlineStr">
        <is>
          <t>만성동 LH퍼스트리움</t>
        </is>
      </c>
      <c r="B8" s="74" t="inlineStr">
        <is>
          <t>18.01.</t>
        </is>
      </c>
      <c r="C8" s="126" t="n">
        <v>711</v>
      </c>
      <c r="D8" s="127" t="n">
        <v>84</v>
      </c>
      <c r="E8" s="128" t="n">
        <v>25</v>
      </c>
      <c r="F8" s="127" t="n">
        <v>60</v>
      </c>
      <c r="G8" s="17" t="n">
        <v>18</v>
      </c>
      <c r="H8" s="129" t="n">
        <v>546</v>
      </c>
      <c r="I8" s="130" t="n">
        <v>35000</v>
      </c>
      <c r="J8" s="130" t="inlineStr">
        <is>
          <t>7</t>
        </is>
      </c>
      <c r="K8" s="130" t="n">
        <v>31000</v>
      </c>
      <c r="L8" s="130" t="inlineStr">
        <is>
          <t>14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3" t="inlineStr">
        <is>
          <t>만성동 LH퍼스트리움</t>
        </is>
      </c>
      <c r="B9" s="74" t="inlineStr">
        <is>
          <t>18.01.</t>
        </is>
      </c>
      <c r="C9" s="126" t="n">
        <v>711</v>
      </c>
      <c r="D9" s="127" t="n">
        <v>84</v>
      </c>
      <c r="E9" s="128" t="n">
        <v>25</v>
      </c>
      <c r="F9" s="127" t="n">
        <v>60</v>
      </c>
      <c r="G9" s="17" t="n">
        <v>18</v>
      </c>
      <c r="H9" s="129" t="n">
        <v>55</v>
      </c>
      <c r="I9" s="130" t="n">
        <v>35000</v>
      </c>
      <c r="J9" s="130" t="inlineStr">
        <is>
          <t>7</t>
        </is>
      </c>
      <c r="K9" s="130" t="n">
        <v>31000</v>
      </c>
      <c r="L9" s="130" t="inlineStr">
        <is>
          <t>14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84A1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3" t="inlineStr">
        <is>
          <t>만성동 LH퍼스트리움</t>
        </is>
      </c>
      <c r="B10" s="74" t="inlineStr">
        <is>
          <t>18.01.</t>
        </is>
      </c>
      <c r="C10" s="126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55</v>
      </c>
      <c r="I10" s="130" t="n">
        <v>35000</v>
      </c>
      <c r="J10" s="130" t="inlineStr">
        <is>
          <t>7</t>
        </is>
      </c>
      <c r="K10" s="130" t="n">
        <v>31000</v>
      </c>
      <c r="L10" s="130" t="inlineStr">
        <is>
          <t>14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84A2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3" t="inlineStr">
        <is>
          <t>반월동 반월세움펠리피아2차</t>
        </is>
      </c>
      <c r="B11" s="74" t="inlineStr">
        <is>
          <t>19.10.</t>
        </is>
      </c>
      <c r="C11" s="126" t="n">
        <v>505</v>
      </c>
      <c r="D11" s="127" t="n">
        <v>80.40000000000001</v>
      </c>
      <c r="E11" s="128" t="n">
        <v>24</v>
      </c>
      <c r="F11" s="127" t="n">
        <v>59.7</v>
      </c>
      <c r="G11" s="17" t="n">
        <v>18</v>
      </c>
      <c r="H11" s="129" t="n">
        <v>188</v>
      </c>
      <c r="I11" s="130" t="n">
        <v>23500</v>
      </c>
      <c r="J11" s="130" t="inlineStr">
        <is>
          <t>중</t>
        </is>
      </c>
      <c r="K11" s="130" t="n">
        <v>21000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3" t="inlineStr">
        <is>
          <t>반월동 삼오</t>
        </is>
      </c>
      <c r="B12" s="74" t="inlineStr">
        <is>
          <t>96.02.</t>
        </is>
      </c>
      <c r="C12" s="126" t="n">
        <v>418</v>
      </c>
      <c r="D12" s="127" t="n">
        <v>107.3</v>
      </c>
      <c r="E12" s="128" t="n">
        <v>32</v>
      </c>
      <c r="F12" s="127" t="n">
        <v>84.5</v>
      </c>
      <c r="G12" s="17" t="n">
        <v>26</v>
      </c>
      <c r="H12" s="129" t="n">
        <v>204</v>
      </c>
      <c r="I12" s="130" t="n">
        <v>14000</v>
      </c>
      <c r="J12" s="130" t="inlineStr">
        <is>
          <t>16</t>
        </is>
      </c>
      <c r="K12" s="130" t="n">
        <v>17000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107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3" t="inlineStr">
        <is>
          <t>송천동1가 송천우림</t>
        </is>
      </c>
      <c r="B13" s="74" t="inlineStr">
        <is>
          <t>96.10.</t>
        </is>
      </c>
      <c r="C13" s="126" t="n">
        <v>417</v>
      </c>
      <c r="D13" s="127" t="n">
        <v>76.59999999999999</v>
      </c>
      <c r="E13" s="128" t="n">
        <v>23</v>
      </c>
      <c r="F13" s="127" t="n">
        <v>59.8</v>
      </c>
      <c r="G13" s="17" t="n">
        <v>18</v>
      </c>
      <c r="H13" s="129" t="n">
        <v>198</v>
      </c>
      <c r="I13" s="130" t="n">
        <v>13500</v>
      </c>
      <c r="J13" s="130" t="inlineStr">
        <is>
          <t>16</t>
        </is>
      </c>
      <c r="K13" s="130" t="n">
        <v>14000</v>
      </c>
      <c r="L13" s="130" t="inlineStr">
        <is>
          <t>16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3" t="inlineStr">
        <is>
          <t>송천동1가 서호2단지</t>
        </is>
      </c>
      <c r="B14" s="74" t="inlineStr">
        <is>
          <t>95.11.</t>
        </is>
      </c>
      <c r="C14" s="126" t="n">
        <v>394</v>
      </c>
      <c r="D14" s="127" t="n">
        <v>84.7</v>
      </c>
      <c r="E14" s="128" t="n">
        <v>26</v>
      </c>
      <c r="F14" s="127" t="n">
        <v>59.9</v>
      </c>
      <c r="G14" s="17" t="n">
        <v>18</v>
      </c>
      <c r="H14" s="129" t="n">
        <v>174</v>
      </c>
      <c r="I14" s="130" t="n">
        <v>12000</v>
      </c>
      <c r="J14" s="130" t="inlineStr">
        <is>
          <t>고</t>
        </is>
      </c>
      <c r="K14" s="130" t="n">
        <v>12000</v>
      </c>
      <c r="L14" s="130" t="inlineStr">
        <is>
          <t>19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84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3" t="inlineStr">
        <is>
          <t>송천동1가 벽산e-리버파크</t>
        </is>
      </c>
      <c r="B15" s="74" t="inlineStr">
        <is>
          <t>13.10.</t>
        </is>
      </c>
      <c r="C15" s="126" t="n">
        <v>464</v>
      </c>
      <c r="D15" s="127" t="n">
        <v>110.1</v>
      </c>
      <c r="E15" s="128" t="n">
        <v>33</v>
      </c>
      <c r="F15" s="127" t="n">
        <v>85</v>
      </c>
      <c r="G15" s="17" t="n">
        <v>26</v>
      </c>
      <c r="H15" s="129" t="n">
        <v>160</v>
      </c>
      <c r="I15" s="130" t="n">
        <v>35500</v>
      </c>
      <c r="J15" s="130" t="inlineStr">
        <is>
          <t>고</t>
        </is>
      </c>
      <c r="K15" s="130" t="n">
        <v>33000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3" t="inlineStr">
        <is>
          <t>송천동1가 한양</t>
        </is>
      </c>
      <c r="B16" s="74" t="inlineStr">
        <is>
          <t>93.05.</t>
        </is>
      </c>
      <c r="C16" s="126" t="n">
        <v>782</v>
      </c>
      <c r="D16" s="127" t="n">
        <v>90.90000000000001</v>
      </c>
      <c r="E16" s="128" t="n">
        <v>28</v>
      </c>
      <c r="F16" s="127" t="n">
        <v>75.2</v>
      </c>
      <c r="G16" s="17" t="n">
        <v>23</v>
      </c>
      <c r="H16" s="129" t="n">
        <v>165</v>
      </c>
      <c r="I16" s="130" t="n">
        <v>14000</v>
      </c>
      <c r="J16" s="130" t="inlineStr">
        <is>
          <t>15</t>
        </is>
      </c>
      <c r="K16" s="130" t="n">
        <v>12000</v>
      </c>
      <c r="L16" s="130" t="inlineStr">
        <is>
          <t>6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inlineStr">
        <is>
          <t>90A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3" t="inlineStr">
        <is>
          <t>송천동1가 한양</t>
        </is>
      </c>
      <c r="B17" s="74" t="inlineStr">
        <is>
          <t>93.05.</t>
        </is>
      </c>
      <c r="C17" s="126" t="n">
        <v>782</v>
      </c>
      <c r="D17" s="127" t="n">
        <v>102.3</v>
      </c>
      <c r="E17" s="128" t="n">
        <v>31</v>
      </c>
      <c r="F17" s="127" t="n">
        <v>84.59999999999999</v>
      </c>
      <c r="G17" s="17" t="n">
        <v>26</v>
      </c>
      <c r="H17" s="129" t="n">
        <v>395</v>
      </c>
      <c r="I17" s="130" t="n">
        <v>16000</v>
      </c>
      <c r="J17" s="130" t="inlineStr">
        <is>
          <t>6</t>
        </is>
      </c>
      <c r="K17" s="130" t="n">
        <v>16000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102B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3" t="inlineStr">
        <is>
          <t>송천동1가 진흥더블파크</t>
        </is>
      </c>
      <c r="B18" s="74" t="inlineStr">
        <is>
          <t>08.04.</t>
        </is>
      </c>
      <c r="C18" s="126" t="n">
        <v>900</v>
      </c>
      <c r="D18" s="127" t="n">
        <v>114.7</v>
      </c>
      <c r="E18" s="128" t="n">
        <v>35</v>
      </c>
      <c r="F18" s="127" t="n">
        <v>85</v>
      </c>
      <c r="G18" s="17" t="n">
        <v>26</v>
      </c>
      <c r="H18" s="129" t="n">
        <v>612</v>
      </c>
      <c r="I18" s="130" t="n">
        <v>39000</v>
      </c>
      <c r="J18" s="130" t="inlineStr">
        <is>
          <t>13</t>
        </is>
      </c>
      <c r="K18" s="130" t="n">
        <v>35000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3" t="inlineStr">
        <is>
          <t>송천동1가 송천KCC스위첸</t>
        </is>
      </c>
      <c r="B19" s="74" t="inlineStr">
        <is>
          <t>16.11.</t>
        </is>
      </c>
      <c r="C19" s="126" t="n">
        <v>480</v>
      </c>
      <c r="D19" s="127" t="n">
        <v>110.3</v>
      </c>
      <c r="E19" s="128" t="n">
        <v>33</v>
      </c>
      <c r="F19" s="127" t="n">
        <v>84.90000000000001</v>
      </c>
      <c r="G19" s="17" t="n">
        <v>26</v>
      </c>
      <c r="H19" s="129" t="n">
        <v>222</v>
      </c>
      <c r="I19" s="130" t="n">
        <v>45000</v>
      </c>
      <c r="J19" s="130" t="inlineStr">
        <is>
          <t>5</t>
        </is>
      </c>
      <c r="K19" s="130" t="n">
        <v>39000</v>
      </c>
      <c r="L19" s="130" t="inlineStr">
        <is>
          <t>8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3" t="inlineStr">
        <is>
          <t>송천동1가 현대2차</t>
        </is>
      </c>
      <c r="B20" s="74" t="inlineStr">
        <is>
          <t>97.05.</t>
        </is>
      </c>
      <c r="C20" s="126" t="n">
        <v>585</v>
      </c>
      <c r="D20" s="127" t="n">
        <v>79.3</v>
      </c>
      <c r="E20" s="128" t="n">
        <v>24</v>
      </c>
      <c r="F20" s="127" t="n">
        <v>60</v>
      </c>
      <c r="G20" s="17" t="n">
        <v>18</v>
      </c>
      <c r="H20" s="129" t="n">
        <v>262</v>
      </c>
      <c r="I20" s="130" t="n">
        <v>18500</v>
      </c>
      <c r="J20" s="130" t="inlineStr">
        <is>
          <t>13</t>
        </is>
      </c>
      <c r="K20" s="130" t="n">
        <v>17000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3" t="inlineStr">
        <is>
          <t>송천동1가 송천신일</t>
        </is>
      </c>
      <c r="B21" s="74" t="inlineStr">
        <is>
          <t>93.12.</t>
        </is>
      </c>
      <c r="C21" s="126" t="n">
        <v>753</v>
      </c>
      <c r="D21" s="127" t="n">
        <v>81</v>
      </c>
      <c r="E21" s="128" t="n">
        <v>24</v>
      </c>
      <c r="F21" s="127" t="n">
        <v>59.9</v>
      </c>
      <c r="G21" s="17" t="n">
        <v>18</v>
      </c>
      <c r="H21" s="129" t="n">
        <v>273</v>
      </c>
      <c r="I21" s="130" t="n">
        <v>12500</v>
      </c>
      <c r="J21" s="130" t="inlineStr">
        <is>
          <t>10</t>
        </is>
      </c>
      <c r="K21" s="130" t="n">
        <v>12000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복</t>
        </is>
      </c>
      <c r="T21" s="5" t="n">
        <v>80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3" t="inlineStr">
        <is>
          <t>송천동1가 송천신일</t>
        </is>
      </c>
      <c r="B22" s="74" t="inlineStr">
        <is>
          <t>93.12.</t>
        </is>
      </c>
      <c r="C22" s="126" t="n">
        <v>753</v>
      </c>
      <c r="D22" s="127" t="n">
        <v>104.1</v>
      </c>
      <c r="E22" s="128" t="n">
        <v>31</v>
      </c>
      <c r="F22" s="127" t="n">
        <v>85</v>
      </c>
      <c r="G22" s="17" t="n">
        <v>26</v>
      </c>
      <c r="H22" s="129" t="n">
        <v>281</v>
      </c>
      <c r="I22" s="130" t="n">
        <v>19000</v>
      </c>
      <c r="J22" s="130" t="inlineStr">
        <is>
          <t>20</t>
        </is>
      </c>
      <c r="K22" s="130" t="n">
        <v>19500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3" t="inlineStr">
        <is>
          <t>송천동2가 송천주공</t>
        </is>
      </c>
      <c r="B23" s="74" t="inlineStr">
        <is>
          <t>98.12.</t>
        </is>
      </c>
      <c r="C23" s="126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17300</v>
      </c>
      <c r="J23" s="130" t="inlineStr">
        <is>
          <t>6</t>
        </is>
      </c>
      <c r="K23" s="130" t="n">
        <v>15500</v>
      </c>
      <c r="L23" s="130" t="inlineStr">
        <is>
          <t>중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3" t="inlineStr">
        <is>
          <t>송천동2가 송천현대3차</t>
        </is>
      </c>
      <c r="B24" s="74" t="inlineStr">
        <is>
          <t>98.10.</t>
        </is>
      </c>
      <c r="C24" s="126" t="n">
        <v>915</v>
      </c>
      <c r="D24" s="127" t="n">
        <v>77.90000000000001</v>
      </c>
      <c r="E24" s="128" t="n">
        <v>24</v>
      </c>
      <c r="F24" s="127" t="n">
        <v>60</v>
      </c>
      <c r="G24" s="17" t="n">
        <v>18</v>
      </c>
      <c r="H24" s="129" t="n">
        <v>372</v>
      </c>
      <c r="I24" s="130" t="n">
        <v>19000</v>
      </c>
      <c r="J24" s="130" t="inlineStr">
        <is>
          <t>5</t>
        </is>
      </c>
      <c r="K24" s="130" t="n">
        <v>16000</v>
      </c>
      <c r="L24" s="130" t="inlineStr">
        <is>
          <t>11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77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3" t="inlineStr">
        <is>
          <t>송천동2가 송천현대3차</t>
        </is>
      </c>
      <c r="B25" s="74" t="inlineStr">
        <is>
          <t>98.10.</t>
        </is>
      </c>
      <c r="C25" s="126" t="n">
        <v>915</v>
      </c>
      <c r="D25" s="127" t="n">
        <v>106.5</v>
      </c>
      <c r="E25" s="128" t="n">
        <v>32</v>
      </c>
      <c r="F25" s="127" t="n">
        <v>85</v>
      </c>
      <c r="G25" s="17" t="n">
        <v>26</v>
      </c>
      <c r="H25" s="129" t="n">
        <v>438</v>
      </c>
      <c r="I25" s="130" t="n">
        <v>29500</v>
      </c>
      <c r="J25" s="130" t="inlineStr">
        <is>
          <t>5</t>
        </is>
      </c>
      <c r="K25" s="130" t="n">
        <v>28000</v>
      </c>
      <c r="L25" s="130" t="inlineStr">
        <is>
          <t>17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3" t="inlineStr">
        <is>
          <t>송천동2가 전주송천한라비발디1단지</t>
        </is>
      </c>
      <c r="B26" s="74" t="inlineStr">
        <is>
          <t>13.10.</t>
        </is>
      </c>
      <c r="C26" s="126" t="n">
        <v>585</v>
      </c>
      <c r="D26" s="127" t="n">
        <v>109.4</v>
      </c>
      <c r="E26" s="128" t="n">
        <v>33</v>
      </c>
      <c r="F26" s="127" t="n">
        <v>85</v>
      </c>
      <c r="G26" s="17" t="n">
        <v>26</v>
      </c>
      <c r="H26" s="129" t="n">
        <v>539</v>
      </c>
      <c r="I26" s="130" t="n">
        <v>43000</v>
      </c>
      <c r="J26" s="130" t="inlineStr">
        <is>
          <t>5</t>
        </is>
      </c>
      <c r="K26" s="130" t="n">
        <v>38000</v>
      </c>
      <c r="L26" s="130" t="inlineStr">
        <is>
          <t>12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109A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3" t="inlineStr">
        <is>
          <t>송천동2가 쌍용2단지</t>
        </is>
      </c>
      <c r="B27" s="74" t="inlineStr">
        <is>
          <t>98.09.</t>
        </is>
      </c>
      <c r="C27" s="126" t="n">
        <v>308</v>
      </c>
      <c r="D27" s="127" t="n">
        <v>95.8</v>
      </c>
      <c r="E27" s="128" t="n">
        <v>29</v>
      </c>
      <c r="F27" s="127" t="n">
        <v>76.8</v>
      </c>
      <c r="G27" s="17" t="n">
        <v>23</v>
      </c>
      <c r="H27" s="129" t="n">
        <v>164</v>
      </c>
      <c r="I27" s="130" t="n">
        <v>16600</v>
      </c>
      <c r="J27" s="130" t="inlineStr">
        <is>
          <t>9</t>
        </is>
      </c>
      <c r="K27" s="130" t="n">
        <v>17500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95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3" t="inlineStr">
        <is>
          <t>송천동2가 송천주공2차</t>
        </is>
      </c>
      <c r="B28" s="74" t="inlineStr">
        <is>
          <t>04.07.</t>
        </is>
      </c>
      <c r="C28" s="126" t="n">
        <v>710</v>
      </c>
      <c r="D28" s="127" t="n">
        <v>67.5</v>
      </c>
      <c r="E28" s="128" t="n">
        <v>20</v>
      </c>
      <c r="F28" s="127" t="n">
        <v>51.9</v>
      </c>
      <c r="G28" s="17" t="n">
        <v>16</v>
      </c>
      <c r="H28" s="129" t="n">
        <v>258</v>
      </c>
      <c r="I28" s="130" t="n">
        <v>16300</v>
      </c>
      <c r="J28" s="130" t="inlineStr">
        <is>
          <t>14</t>
        </is>
      </c>
      <c r="K28" s="130" t="n">
        <v>15000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3" t="inlineStr">
        <is>
          <t>송천동2가 대명궁궐</t>
        </is>
      </c>
      <c r="B29" s="74" t="inlineStr">
        <is>
          <t>92.02.</t>
        </is>
      </c>
      <c r="C29" s="126" t="n">
        <v>525</v>
      </c>
      <c r="D29" s="127" t="n">
        <v>80.09999999999999</v>
      </c>
      <c r="E29" s="128" t="n">
        <v>24</v>
      </c>
      <c r="F29" s="127" t="n">
        <v>59.5</v>
      </c>
      <c r="G29" s="17" t="n">
        <v>18</v>
      </c>
      <c r="H29" s="129" t="n">
        <v>525</v>
      </c>
      <c r="I29" s="130" t="n">
        <v>8300</v>
      </c>
      <c r="J29" s="130" t="inlineStr">
        <is>
          <t>12</t>
        </is>
      </c>
      <c r="K29" s="130" t="n">
        <v>8000</v>
      </c>
      <c r="L29" s="130" t="inlineStr">
        <is>
          <t>12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80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3" t="inlineStr">
        <is>
          <t>우아동2가 전주아중롯데</t>
        </is>
      </c>
      <c r="B30" s="74" t="inlineStr">
        <is>
          <t>98.11.</t>
        </is>
      </c>
      <c r="C30" s="126" t="n">
        <v>540</v>
      </c>
      <c r="D30" s="127" t="n">
        <v>104.7</v>
      </c>
      <c r="E30" s="128" t="n">
        <v>32</v>
      </c>
      <c r="F30" s="127" t="n">
        <v>84.7</v>
      </c>
      <c r="G30" s="17" t="n">
        <v>26</v>
      </c>
      <c r="H30" s="129" t="n">
        <v>180</v>
      </c>
      <c r="I30" s="130" t="n">
        <v>17500</v>
      </c>
      <c r="J30" s="130" t="inlineStr">
        <is>
          <t>11</t>
        </is>
      </c>
      <c r="K30" s="130" t="n">
        <v>21000</v>
      </c>
      <c r="L30" s="130" t="inlineStr">
        <is>
          <t>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3" t="inlineStr">
        <is>
          <t>인후동1가 아중마을부영6차</t>
        </is>
      </c>
      <c r="B31" s="74" t="inlineStr">
        <is>
          <t>03.09.</t>
        </is>
      </c>
      <c r="C31" s="126" t="n">
        <v>800</v>
      </c>
      <c r="D31" s="127" t="n">
        <v>104</v>
      </c>
      <c r="E31" s="128" t="n">
        <v>31</v>
      </c>
      <c r="F31" s="127" t="n">
        <v>84.8</v>
      </c>
      <c r="G31" s="17" t="n">
        <v>26</v>
      </c>
      <c r="H31" s="129" t="n">
        <v>694</v>
      </c>
      <c r="I31" s="130" t="n">
        <v>23000</v>
      </c>
      <c r="J31" s="130" t="inlineStr">
        <is>
          <t>6</t>
        </is>
      </c>
      <c r="K31" s="130" t="n">
        <v>23000</v>
      </c>
      <c r="L31" s="130" t="inlineStr">
        <is>
          <t>11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104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3" t="inlineStr">
        <is>
          <t>인후동1가 아중마을부영5차</t>
        </is>
      </c>
      <c r="B32" s="74" t="inlineStr">
        <is>
          <t>99.09.</t>
        </is>
      </c>
      <c r="C32" s="126" t="n">
        <v>618</v>
      </c>
      <c r="D32" s="127" t="n">
        <v>68.5</v>
      </c>
      <c r="E32" s="128" t="n">
        <v>21</v>
      </c>
      <c r="F32" s="127" t="n">
        <v>50</v>
      </c>
      <c r="G32" s="17" t="n">
        <v>15</v>
      </c>
      <c r="H32" s="129" t="n">
        <v>328</v>
      </c>
      <c r="I32" s="130" t="n">
        <v>12000</v>
      </c>
      <c r="J32" s="130" t="inlineStr">
        <is>
          <t>10</t>
        </is>
      </c>
      <c r="K32" s="130" t="n">
        <v>11500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3" t="inlineStr">
        <is>
          <t>인후동1가 아중마을부영5차</t>
        </is>
      </c>
      <c r="B33" s="74" t="inlineStr">
        <is>
          <t>99.09.</t>
        </is>
      </c>
      <c r="C33" s="126" t="n">
        <v>618</v>
      </c>
      <c r="D33" s="127" t="n">
        <v>81.5</v>
      </c>
      <c r="E33" s="128" t="n">
        <v>25</v>
      </c>
      <c r="F33" s="127" t="n">
        <v>59.5</v>
      </c>
      <c r="G33" s="17" t="n">
        <v>18</v>
      </c>
      <c r="H33" s="129" t="n">
        <v>290</v>
      </c>
      <c r="I33" s="130" t="n">
        <v>13500</v>
      </c>
      <c r="J33" s="130" t="inlineStr">
        <is>
          <t>11</t>
        </is>
      </c>
      <c r="K33" s="130" t="n">
        <v>13000</v>
      </c>
      <c r="L33" s="130" t="inlineStr">
        <is>
          <t>8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1</v>
      </c>
      <c r="S33" s="117" t="inlineStr">
        <is>
          <t>계</t>
        </is>
      </c>
      <c r="T33" s="5" t="n">
        <v>81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3" t="inlineStr">
        <is>
          <t>인후동1가 아중현대</t>
        </is>
      </c>
      <c r="B34" s="74" t="inlineStr">
        <is>
          <t>98.01.</t>
        </is>
      </c>
      <c r="C34" s="126" t="n">
        <v>1153</v>
      </c>
      <c r="D34" s="127" t="n">
        <v>102.4</v>
      </c>
      <c r="E34" s="128" t="n">
        <v>31</v>
      </c>
      <c r="F34" s="127" t="n">
        <v>85</v>
      </c>
      <c r="G34" s="17" t="n">
        <v>26</v>
      </c>
      <c r="H34" s="129" t="n">
        <v>649</v>
      </c>
      <c r="I34" s="130" t="n">
        <v>24200</v>
      </c>
      <c r="J34" s="130" t="inlineStr">
        <is>
          <t>10</t>
        </is>
      </c>
      <c r="K34" s="130" t="n">
        <v>21500</v>
      </c>
      <c r="L34" s="130" t="inlineStr">
        <is>
          <t>고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3" t="inlineStr">
        <is>
          <t>인후동1가 아중제일2차</t>
        </is>
      </c>
      <c r="B35" s="74" t="inlineStr">
        <is>
          <t>00.10.</t>
        </is>
      </c>
      <c r="C35" s="126" t="n">
        <v>360</v>
      </c>
      <c r="D35" s="127" t="n">
        <v>81.8</v>
      </c>
      <c r="E35" s="128" t="n">
        <v>25</v>
      </c>
      <c r="F35" s="127" t="n">
        <v>59.6</v>
      </c>
      <c r="G35" s="17" t="n">
        <v>18</v>
      </c>
      <c r="H35" s="129" t="n">
        <v>360</v>
      </c>
      <c r="I35" s="130" t="n">
        <v>15000</v>
      </c>
      <c r="J35" s="130" t="inlineStr">
        <is>
          <t>중</t>
        </is>
      </c>
      <c r="K35" s="130" t="n">
        <v>13500</v>
      </c>
      <c r="L35" s="130" t="inlineStr">
        <is>
          <t>15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3" t="inlineStr">
        <is>
          <t>인후동1가 인후한신휴플러스</t>
        </is>
      </c>
      <c r="B36" s="74" t="inlineStr">
        <is>
          <t>06.11.</t>
        </is>
      </c>
      <c r="C36" s="126" t="n">
        <v>1236</v>
      </c>
      <c r="D36" s="127" t="n">
        <v>108.4</v>
      </c>
      <c r="E36" s="128" t="n">
        <v>33</v>
      </c>
      <c r="F36" s="127" t="n">
        <v>85</v>
      </c>
      <c r="G36" s="17" t="n">
        <v>26</v>
      </c>
      <c r="H36" s="129" t="n">
        <v>382</v>
      </c>
      <c r="I36" s="130" t="n">
        <v>35000</v>
      </c>
      <c r="J36" s="130" t="inlineStr">
        <is>
          <t>중</t>
        </is>
      </c>
      <c r="K36" s="130" t="n">
        <v>30000</v>
      </c>
      <c r="L36" s="130" t="inlineStr">
        <is>
          <t>고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3" t="inlineStr">
        <is>
          <t>인후동1가 인후한신휴플러스</t>
        </is>
      </c>
      <c r="B37" s="74" t="inlineStr">
        <is>
          <t>06.11.</t>
        </is>
      </c>
      <c r="C37" s="126" t="n">
        <v>1236</v>
      </c>
      <c r="D37" s="127" t="n">
        <v>112</v>
      </c>
      <c r="E37" s="128" t="n">
        <v>34</v>
      </c>
      <c r="F37" s="127" t="n">
        <v>84.8</v>
      </c>
      <c r="G37" s="17" t="n">
        <v>26</v>
      </c>
      <c r="H37" s="129" t="n">
        <v>195</v>
      </c>
      <c r="I37" s="130" t="n">
        <v>32500</v>
      </c>
      <c r="J37" s="130" t="inlineStr">
        <is>
          <t>고</t>
        </is>
      </c>
      <c r="K37" s="130" t="n">
        <v>27500</v>
      </c>
      <c r="L37" s="130" t="inlineStr">
        <is>
          <t>13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112B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3" t="inlineStr">
        <is>
          <t>인후동1가 인후꿈마을부영2차</t>
        </is>
      </c>
      <c r="B38" s="74" t="inlineStr">
        <is>
          <t>99.09.</t>
        </is>
      </c>
      <c r="C38" s="126" t="n">
        <v>1335</v>
      </c>
      <c r="D38" s="127" t="n">
        <v>68.5</v>
      </c>
      <c r="E38" s="128" t="n">
        <v>21</v>
      </c>
      <c r="F38" s="127" t="n">
        <v>49.8</v>
      </c>
      <c r="G38" s="17" t="n">
        <v>15</v>
      </c>
      <c r="H38" s="129" t="n">
        <v>180</v>
      </c>
      <c r="I38" s="130" t="n">
        <v>11500</v>
      </c>
      <c r="J38" s="130" t="inlineStr">
        <is>
          <t>10</t>
        </is>
      </c>
      <c r="K38" s="130" t="n">
        <v>10500</v>
      </c>
      <c r="L38" s="130" t="inlineStr">
        <is>
          <t>10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68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3" t="inlineStr">
        <is>
          <t>인후동1가 인후꿈마을부영2차</t>
        </is>
      </c>
      <c r="B39" s="74" t="inlineStr">
        <is>
          <t>99.09.</t>
        </is>
      </c>
      <c r="C39" s="126" t="n">
        <v>1335</v>
      </c>
      <c r="D39" s="127" t="n">
        <v>82.40000000000001</v>
      </c>
      <c r="E39" s="128" t="n">
        <v>25</v>
      </c>
      <c r="F39" s="127" t="n">
        <v>59.9</v>
      </c>
      <c r="G39" s="17" t="n">
        <v>18</v>
      </c>
      <c r="H39" s="129" t="n">
        <v>1155</v>
      </c>
      <c r="I39" s="130" t="n">
        <v>11900</v>
      </c>
      <c r="J39" s="130" t="inlineStr">
        <is>
          <t>6</t>
        </is>
      </c>
      <c r="K39" s="130" t="n">
        <v>13000</v>
      </c>
      <c r="L39" s="130" t="inlineStr">
        <is>
          <t>12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계</t>
        </is>
      </c>
      <c r="T39" s="5" t="n">
        <v>82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3" t="inlineStr">
        <is>
          <t>인후동1가 아중마을부영3차</t>
        </is>
      </c>
      <c r="B40" s="74" t="inlineStr">
        <is>
          <t>99.10.</t>
        </is>
      </c>
      <c r="C40" s="126" t="n">
        <v>960</v>
      </c>
      <c r="D40" s="127" t="n">
        <v>68</v>
      </c>
      <c r="E40" s="128" t="n">
        <v>21</v>
      </c>
      <c r="F40" s="127" t="n">
        <v>50</v>
      </c>
      <c r="G40" s="17" t="n">
        <v>15</v>
      </c>
      <c r="H40" s="129" t="n">
        <v>495</v>
      </c>
      <c r="I40" s="130" t="n">
        <v>10700</v>
      </c>
      <c r="J40" s="130" t="inlineStr">
        <is>
          <t>6</t>
        </is>
      </c>
      <c r="K40" s="130" t="n">
        <v>11000</v>
      </c>
      <c r="L40" s="130" t="inlineStr">
        <is>
          <t>14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68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3" t="inlineStr">
        <is>
          <t>인후동1가 아중마을부영3차</t>
        </is>
      </c>
      <c r="B41" s="74" t="inlineStr">
        <is>
          <t>99.10.</t>
        </is>
      </c>
      <c r="C41" s="126" t="n">
        <v>960</v>
      </c>
      <c r="D41" s="127" t="n">
        <v>81</v>
      </c>
      <c r="E41" s="128" t="n">
        <v>24</v>
      </c>
      <c r="F41" s="127" t="n">
        <v>59.5</v>
      </c>
      <c r="G41" s="17" t="n">
        <v>18</v>
      </c>
      <c r="H41" s="129" t="n">
        <v>465</v>
      </c>
      <c r="I41" s="130" t="n">
        <v>13500</v>
      </c>
      <c r="J41" s="130" t="inlineStr">
        <is>
          <t>14</t>
        </is>
      </c>
      <c r="K41" s="130" t="n">
        <v>12900</v>
      </c>
      <c r="L41" s="130" t="inlineStr">
        <is>
          <t>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n">
        <v>80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3" t="inlineStr">
        <is>
          <t>인후동2가 건지산이지움</t>
        </is>
      </c>
      <c r="B42" s="74" t="inlineStr">
        <is>
          <t>16.08.</t>
        </is>
      </c>
      <c r="C42" s="126" t="n">
        <v>371</v>
      </c>
      <c r="D42" s="127" t="n">
        <v>84.40000000000001</v>
      </c>
      <c r="E42" s="128" t="n">
        <v>26</v>
      </c>
      <c r="F42" s="127" t="n">
        <v>60</v>
      </c>
      <c r="G42" s="17" t="n">
        <v>18</v>
      </c>
      <c r="H42" s="129" t="n">
        <v>86</v>
      </c>
      <c r="I42" s="130" t="n">
        <v>30000</v>
      </c>
      <c r="J42" s="130" t="inlineStr">
        <is>
          <t>고</t>
        </is>
      </c>
      <c r="K42" s="130" t="n">
        <v>25000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3" t="inlineStr">
        <is>
          <t>장동 LH이노팰리스</t>
        </is>
      </c>
      <c r="B43" s="74" t="inlineStr">
        <is>
          <t>13.12.</t>
        </is>
      </c>
      <c r="C43" s="126" t="n">
        <v>316</v>
      </c>
      <c r="D43" s="127" t="n">
        <v>110.7</v>
      </c>
      <c r="E43" s="128" t="n">
        <v>33</v>
      </c>
      <c r="F43" s="127" t="n">
        <v>85</v>
      </c>
      <c r="G43" s="17" t="n">
        <v>26</v>
      </c>
      <c r="H43" s="129" t="n">
        <v>181</v>
      </c>
      <c r="I43" s="130" t="n">
        <v>39000</v>
      </c>
      <c r="J43" s="130" t="inlineStr">
        <is>
          <t>5</t>
        </is>
      </c>
      <c r="K43" s="130" t="n">
        <v>33000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3" t="inlineStr">
        <is>
          <t>진북동 우성</t>
        </is>
      </c>
      <c r="B44" s="74" t="inlineStr">
        <is>
          <t>95.10.</t>
        </is>
      </c>
      <c r="C44" s="126" t="n">
        <v>2102</v>
      </c>
      <c r="D44" s="127" t="n">
        <v>79.2</v>
      </c>
      <c r="E44" s="128" t="n">
        <v>24</v>
      </c>
      <c r="F44" s="127" t="n">
        <v>59.8</v>
      </c>
      <c r="G44" s="17" t="n">
        <v>18</v>
      </c>
      <c r="H44" s="129" t="n">
        <v>884</v>
      </c>
      <c r="I44" s="130" t="n">
        <v>10700</v>
      </c>
      <c r="J44" s="130" t="inlineStr">
        <is>
          <t>15</t>
        </is>
      </c>
      <c r="K44" s="130" t="n">
        <v>10500</v>
      </c>
      <c r="L44" s="130" t="inlineStr">
        <is>
          <t>11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복</t>
        </is>
      </c>
      <c r="T44" s="5" t="n">
        <v>79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3" t="inlineStr">
        <is>
          <t>진북동 우성</t>
        </is>
      </c>
      <c r="B45" s="74" t="inlineStr">
        <is>
          <t>95.10.</t>
        </is>
      </c>
      <c r="C45" s="126" t="n">
        <v>2102</v>
      </c>
      <c r="D45" s="127" t="n">
        <v>105</v>
      </c>
      <c r="E45" s="128" t="n">
        <v>32</v>
      </c>
      <c r="F45" s="127" t="n">
        <v>85</v>
      </c>
      <c r="G45" s="17" t="n">
        <v>26</v>
      </c>
      <c r="H45" s="129" t="n">
        <v>750</v>
      </c>
      <c r="I45" s="130" t="n">
        <v>20300</v>
      </c>
      <c r="J45" s="130" t="inlineStr">
        <is>
          <t>9</t>
        </is>
      </c>
      <c r="K45" s="130" t="n">
        <v>17000</v>
      </c>
      <c r="L45" s="130" t="inlineStr">
        <is>
          <t>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3" t="inlineStr">
        <is>
          <t>호성동1가 동아</t>
        </is>
      </c>
      <c r="B46" s="74" t="inlineStr">
        <is>
          <t>94.12.</t>
        </is>
      </c>
      <c r="C46" s="126" t="n">
        <v>684</v>
      </c>
      <c r="D46" s="127" t="n">
        <v>84.8</v>
      </c>
      <c r="E46" s="128" t="n">
        <v>26</v>
      </c>
      <c r="F46" s="127" t="n">
        <v>60</v>
      </c>
      <c r="G46" s="17" t="n">
        <v>18</v>
      </c>
      <c r="H46" s="129" t="n">
        <v>240</v>
      </c>
      <c r="I46" s="130" t="n">
        <v>9300</v>
      </c>
      <c r="J46" s="130" t="inlineStr">
        <is>
          <t>중</t>
        </is>
      </c>
      <c r="K46" s="130" t="n">
        <v>9000</v>
      </c>
      <c r="L46" s="130" t="inlineStr">
        <is>
          <t>13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복</t>
        </is>
      </c>
      <c r="T46" s="5" t="n">
        <v>84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3" t="inlineStr">
        <is>
          <t>호성동1가 호성동신</t>
        </is>
      </c>
      <c r="B47" s="74" t="inlineStr">
        <is>
          <t>91.09.</t>
        </is>
      </c>
      <c r="C47" s="126" t="n">
        <v>530</v>
      </c>
      <c r="D47" s="127" t="n">
        <v>103.5</v>
      </c>
      <c r="E47" s="128" t="n">
        <v>31</v>
      </c>
      <c r="F47" s="127" t="n">
        <v>84.7</v>
      </c>
      <c r="G47" s="17" t="n">
        <v>26</v>
      </c>
      <c r="H47" s="129" t="n">
        <v>262</v>
      </c>
      <c r="I47" s="130" t="n">
        <v>16200</v>
      </c>
      <c r="J47" s="130" t="inlineStr">
        <is>
          <t>고</t>
        </is>
      </c>
      <c r="K47" s="130" t="n">
        <v>15000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3" t="inlineStr">
        <is>
          <t>호성동1가 호성주공</t>
        </is>
      </c>
      <c r="B48" s="74" t="inlineStr">
        <is>
          <t>97.06.</t>
        </is>
      </c>
      <c r="C48" s="126" t="n">
        <v>1911</v>
      </c>
      <c r="D48" s="127" t="n">
        <v>55.2</v>
      </c>
      <c r="E48" s="128" t="n">
        <v>17</v>
      </c>
      <c r="F48" s="127" t="n">
        <v>39.7</v>
      </c>
      <c r="G48" s="17" t="n">
        <v>12</v>
      </c>
      <c r="H48" s="129" t="n">
        <v>312</v>
      </c>
      <c r="I48" s="130" t="n">
        <v>7800</v>
      </c>
      <c r="J48" s="130" t="inlineStr">
        <is>
          <t>13</t>
        </is>
      </c>
      <c r="K48" s="130" t="n">
        <v>7500</v>
      </c>
      <c r="L48" s="130" t="inlineStr">
        <is>
          <t>15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3" t="inlineStr">
        <is>
          <t>호성동1가 호성주공</t>
        </is>
      </c>
      <c r="B49" s="74" t="inlineStr">
        <is>
          <t>97.06.</t>
        </is>
      </c>
      <c r="C49" s="126" t="n">
        <v>1911</v>
      </c>
      <c r="D49" s="127" t="n">
        <v>77.09999999999999</v>
      </c>
      <c r="E49" s="128" t="n">
        <v>23</v>
      </c>
      <c r="F49" s="127" t="n">
        <v>60</v>
      </c>
      <c r="G49" s="17" t="n">
        <v>18</v>
      </c>
      <c r="H49" s="129" t="n">
        <v>272</v>
      </c>
      <c r="I49" s="130" t="n">
        <v>14700</v>
      </c>
      <c r="J49" s="130" t="inlineStr">
        <is>
          <t>8</t>
        </is>
      </c>
      <c r="K49" s="130" t="n">
        <v>13500</v>
      </c>
      <c r="L49" s="130" t="inlineStr">
        <is>
          <t>11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n">
        <v>77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3" t="inlineStr">
        <is>
          <t>호성동1가 호성주공</t>
        </is>
      </c>
      <c r="B50" s="74" t="inlineStr">
        <is>
          <t>97.06.</t>
        </is>
      </c>
      <c r="C50" s="126" t="n">
        <v>1911</v>
      </c>
      <c r="D50" s="127" t="n">
        <v>79.90000000000001</v>
      </c>
      <c r="E50" s="128" t="n">
        <v>24</v>
      </c>
      <c r="F50" s="127" t="n">
        <v>60</v>
      </c>
      <c r="G50" s="17" t="n">
        <v>18</v>
      </c>
      <c r="H50" s="129" t="n">
        <v>900</v>
      </c>
      <c r="I50" s="130" t="n">
        <v>14500</v>
      </c>
      <c r="J50" s="130" t="inlineStr">
        <is>
          <t>22</t>
        </is>
      </c>
      <c r="K50" s="130" t="n">
        <v>14000</v>
      </c>
      <c r="L50" s="130" t="inlineStr">
        <is>
          <t>12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79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6.5" customFormat="1" customHeight="1" s="37">
      <c r="A51" s="72" t="n"/>
      <c r="B51" s="72" t="n"/>
      <c r="C51" s="72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</row>
    <row r="52" ht="16.5" customFormat="1" customHeight="1" s="37">
      <c r="A52" s="72" t="n"/>
      <c r="B52" s="72" t="n"/>
      <c r="C52" s="72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</row>
    <row r="53" ht="16.5" customFormat="1" customHeight="1" s="37">
      <c r="A53" s="72" t="n"/>
      <c r="B53" s="72" t="n"/>
      <c r="C53" s="72" t="n"/>
      <c r="D53" s="72" t="n"/>
      <c r="E53" s="72" t="n"/>
      <c r="F53" s="72" t="n"/>
      <c r="G53" s="72" t="n"/>
      <c r="H53" s="72" t="n"/>
      <c r="I53" s="72" t="n"/>
      <c r="J53" s="72" t="n"/>
      <c r="K53" s="72" t="n"/>
      <c r="L53" s="72" t="n"/>
      <c r="M53" s="72" t="n"/>
      <c r="N53" s="72" t="n"/>
      <c r="O53" s="72" t="n"/>
      <c r="P53" s="72" t="n"/>
      <c r="Q53" s="72" t="n"/>
      <c r="R53" s="72" t="n"/>
      <c r="S53" s="72" t="n"/>
      <c r="T53" s="72" t="n"/>
      <c r="U53" s="72" t="n"/>
      <c r="V53" s="72" t="n"/>
      <c r="W53" s="72" t="n"/>
      <c r="X53" s="72" t="n"/>
      <c r="Y53" s="72" t="n"/>
      <c r="Z53" s="72" t="n"/>
      <c r="AA53" s="72" t="n"/>
      <c r="AB53" s="72" t="n"/>
      <c r="AC53" s="72" t="n"/>
      <c r="AD53" s="72" t="n"/>
      <c r="AE53" s="72" t="n"/>
      <c r="AF53" s="72" t="n"/>
      <c r="AG53" s="72" t="n"/>
      <c r="AH53" s="72" t="n"/>
      <c r="AI53" s="72" t="n"/>
      <c r="AJ53" s="72" t="n"/>
      <c r="AK53" s="72" t="n"/>
      <c r="AL53" s="72" t="n"/>
      <c r="AM53" s="72" t="n"/>
      <c r="AN53" s="72" t="n"/>
      <c r="AO53" s="72" t="n"/>
      <c r="AP53" s="72" t="n"/>
      <c r="AQ53" s="72" t="n"/>
      <c r="AR53" s="72" t="n"/>
      <c r="AS53" s="72" t="n"/>
      <c r="AT53" s="72" t="n"/>
      <c r="AU53" s="72" t="n"/>
      <c r="AV53" s="72" t="n"/>
    </row>
    <row r="54" ht="16.5" customFormat="1" customHeight="1" s="37">
      <c r="A54" s="72" t="n"/>
      <c r="B54" s="72" t="n"/>
      <c r="C54" s="72" t="n"/>
      <c r="D54" s="72" t="n"/>
      <c r="E54" s="72" t="n"/>
      <c r="F54" s="72" t="n"/>
      <c r="G54" s="72" t="n"/>
      <c r="H54" s="72" t="n"/>
      <c r="I54" s="72" t="n"/>
      <c r="J54" s="72" t="n"/>
      <c r="K54" s="72" t="n"/>
      <c r="L54" s="72" t="n"/>
      <c r="M54" s="72" t="n"/>
      <c r="N54" s="72" t="n"/>
      <c r="O54" s="72" t="n"/>
      <c r="P54" s="72" t="n"/>
      <c r="Q54" s="72" t="n"/>
      <c r="R54" s="72" t="n"/>
      <c r="S54" s="72" t="n"/>
      <c r="T54" s="72" t="n"/>
      <c r="U54" s="72" t="n"/>
      <c r="V54" s="72" t="n"/>
      <c r="W54" s="72" t="n"/>
      <c r="X54" s="72" t="n"/>
      <c r="Y54" s="72" t="n"/>
      <c r="Z54" s="72" t="n"/>
      <c r="AA54" s="72" t="n"/>
      <c r="AB54" s="72" t="n"/>
      <c r="AC54" s="72" t="n"/>
      <c r="AD54" s="72" t="n"/>
      <c r="AE54" s="72" t="n"/>
      <c r="AF54" s="72" t="n"/>
      <c r="AG54" s="72" t="n"/>
      <c r="AH54" s="72" t="n"/>
      <c r="AI54" s="72" t="n"/>
      <c r="AJ54" s="72" t="n"/>
      <c r="AK54" s="72" t="n"/>
      <c r="AL54" s="72" t="n"/>
      <c r="AM54" s="72" t="n"/>
      <c r="AN54" s="72" t="n"/>
      <c r="AO54" s="72" t="n"/>
      <c r="AP54" s="72" t="n"/>
      <c r="AQ54" s="72" t="n"/>
      <c r="AR54" s="72" t="n"/>
      <c r="AS54" s="72" t="n"/>
      <c r="AT54" s="72" t="n"/>
      <c r="AU54" s="72" t="n"/>
      <c r="AV54" s="72" t="n"/>
    </row>
    <row r="55" ht="16.5" customFormat="1" customHeight="1" s="37">
      <c r="A55" s="72" t="n"/>
      <c r="B55" s="72" t="n"/>
      <c r="C55" s="72" t="n"/>
      <c r="D55" s="72" t="n"/>
      <c r="E55" s="72" t="n"/>
      <c r="F55" s="72" t="n"/>
      <c r="G55" s="72" t="n"/>
      <c r="H55" s="72" t="n"/>
      <c r="I55" s="72" t="n"/>
      <c r="J55" s="72" t="n"/>
      <c r="K55" s="72" t="n"/>
      <c r="L55" s="72" t="n"/>
      <c r="M55" s="72" t="n"/>
      <c r="N55" s="72" t="n"/>
      <c r="O55" s="72" t="n"/>
      <c r="P55" s="72" t="n"/>
      <c r="Q55" s="72" t="n"/>
      <c r="R55" s="72" t="n"/>
      <c r="S55" s="72" t="n"/>
      <c r="T55" s="72" t="n"/>
      <c r="U55" s="72" t="n"/>
      <c r="V55" s="72" t="n"/>
      <c r="W55" s="72" t="n"/>
      <c r="X55" s="72" t="n"/>
      <c r="Y55" s="72" t="n"/>
      <c r="Z55" s="72" t="n"/>
      <c r="AA55" s="72" t="n"/>
      <c r="AB55" s="72" t="n"/>
      <c r="AC55" s="72" t="n"/>
      <c r="AD55" s="72" t="n"/>
      <c r="AE55" s="72" t="n"/>
      <c r="AF55" s="72" t="n"/>
      <c r="AG55" s="72" t="n"/>
      <c r="AH55" s="72" t="n"/>
      <c r="AI55" s="72" t="n"/>
      <c r="AJ55" s="72" t="n"/>
      <c r="AK55" s="72" t="n"/>
      <c r="AL55" s="72" t="n"/>
      <c r="AM55" s="72" t="n"/>
      <c r="AN55" s="72" t="n"/>
      <c r="AO55" s="72" t="n"/>
      <c r="AP55" s="72" t="n"/>
      <c r="AQ55" s="72" t="n"/>
      <c r="AR55" s="72" t="n"/>
      <c r="AS55" s="72" t="n"/>
      <c r="AT55" s="72" t="n"/>
      <c r="AU55" s="72" t="n"/>
      <c r="AV55" s="72" t="n"/>
    </row>
    <row r="56" ht="16.5" customFormat="1" customHeight="1" s="37">
      <c r="A56" s="72" t="n"/>
      <c r="B56" s="72" t="n"/>
      <c r="C56" s="72" t="n"/>
      <c r="D56" s="72" t="n"/>
      <c r="E56" s="72" t="n"/>
      <c r="F56" s="72" t="n"/>
      <c r="G56" s="72" t="n"/>
      <c r="H56" s="72" t="n"/>
      <c r="I56" s="72" t="n"/>
      <c r="J56" s="72" t="n"/>
      <c r="K56" s="72" t="n"/>
      <c r="L56" s="72" t="n"/>
      <c r="M56" s="72" t="n"/>
      <c r="N56" s="72" t="n"/>
      <c r="O56" s="72" t="n"/>
      <c r="P56" s="72" t="n"/>
      <c r="Q56" s="72" t="n"/>
      <c r="R56" s="72" t="n"/>
      <c r="S56" s="72" t="n"/>
      <c r="T56" s="72" t="n"/>
      <c r="U56" s="72" t="n"/>
      <c r="V56" s="72" t="n"/>
      <c r="W56" s="72" t="n"/>
      <c r="X56" s="72" t="n"/>
      <c r="Y56" s="72" t="n"/>
      <c r="Z56" s="72" t="n"/>
      <c r="AA56" s="72" t="n"/>
      <c r="AB56" s="72" t="n"/>
      <c r="AC56" s="72" t="n"/>
      <c r="AD56" s="72" t="n"/>
      <c r="AE56" s="72" t="n"/>
      <c r="AF56" s="72" t="n"/>
      <c r="AG56" s="72" t="n"/>
      <c r="AH56" s="72" t="n"/>
      <c r="AI56" s="72" t="n"/>
      <c r="AJ56" s="72" t="n"/>
      <c r="AK56" s="72" t="n"/>
      <c r="AL56" s="72" t="n"/>
      <c r="AM56" s="72" t="n"/>
      <c r="AN56" s="72" t="n"/>
      <c r="AO56" s="72" t="n"/>
      <c r="AP56" s="72" t="n"/>
      <c r="AQ56" s="72" t="n"/>
      <c r="AR56" s="72" t="n"/>
      <c r="AS56" s="72" t="n"/>
      <c r="AT56" s="72" t="n"/>
      <c r="AU56" s="72" t="n"/>
      <c r="AV56" s="72" t="n"/>
    </row>
    <row r="57" ht="16.5" customFormat="1" customHeight="1" s="37">
      <c r="A57" s="72" t="n"/>
      <c r="B57" s="72" t="n"/>
      <c r="C57" s="72" t="n"/>
      <c r="D57" s="72" t="n"/>
      <c r="E57" s="72" t="n"/>
      <c r="F57" s="72" t="n"/>
      <c r="G57" s="72" t="n"/>
      <c r="H57" s="72" t="n"/>
      <c r="I57" s="72" t="n"/>
      <c r="J57" s="72" t="n"/>
      <c r="K57" s="72" t="n"/>
      <c r="L57" s="72" t="n"/>
      <c r="M57" s="72" t="n"/>
      <c r="N57" s="72" t="n"/>
      <c r="O57" s="72" t="n"/>
      <c r="P57" s="72" t="n"/>
      <c r="Q57" s="72" t="n"/>
      <c r="R57" s="72" t="n"/>
      <c r="S57" s="72" t="n"/>
      <c r="T57" s="72" t="n"/>
      <c r="U57" s="72" t="n"/>
      <c r="V57" s="72" t="n"/>
      <c r="W57" s="72" t="n"/>
      <c r="X57" s="72" t="n"/>
      <c r="Y57" s="72" t="n"/>
      <c r="Z57" s="72" t="n"/>
      <c r="AA57" s="72" t="n"/>
      <c r="AB57" s="72" t="n"/>
      <c r="AC57" s="72" t="n"/>
      <c r="AD57" s="72" t="n"/>
      <c r="AE57" s="72" t="n"/>
      <c r="AF57" s="72" t="n"/>
      <c r="AG57" s="72" t="n"/>
      <c r="AH57" s="72" t="n"/>
      <c r="AI57" s="72" t="n"/>
      <c r="AJ57" s="72" t="n"/>
      <c r="AK57" s="72" t="n"/>
      <c r="AL57" s="72" t="n"/>
      <c r="AM57" s="72" t="n"/>
      <c r="AN57" s="72" t="n"/>
      <c r="AO57" s="72" t="n"/>
      <c r="AP57" s="72" t="n"/>
      <c r="AQ57" s="72" t="n"/>
      <c r="AR57" s="72" t="n"/>
      <c r="AS57" s="72" t="n"/>
      <c r="AT57" s="72" t="n"/>
      <c r="AU57" s="72" t="n"/>
      <c r="AV57" s="72" t="n"/>
    </row>
    <row r="58" ht="16.5" customFormat="1" customHeight="1" s="37">
      <c r="A58" s="72" t="n"/>
      <c r="B58" s="72" t="n"/>
      <c r="C58" s="72" t="n"/>
      <c r="D58" s="72" t="n"/>
      <c r="E58" s="72" t="n"/>
      <c r="F58" s="72" t="n"/>
      <c r="G58" s="72" t="n"/>
      <c r="H58" s="72" t="n"/>
      <c r="I58" s="72" t="n"/>
      <c r="J58" s="72" t="n"/>
      <c r="K58" s="72" t="n"/>
      <c r="L58" s="72" t="n"/>
      <c r="M58" s="72" t="n"/>
      <c r="N58" s="72" t="n"/>
      <c r="O58" s="72" t="n"/>
      <c r="P58" s="72" t="n"/>
      <c r="Q58" s="72" t="n"/>
      <c r="R58" s="72" t="n"/>
      <c r="S58" s="72" t="n"/>
      <c r="T58" s="72" t="n"/>
      <c r="U58" s="72" t="n"/>
      <c r="V58" s="72" t="n"/>
      <c r="W58" s="72" t="n"/>
      <c r="X58" s="72" t="n"/>
      <c r="Y58" s="72" t="n"/>
      <c r="Z58" s="72" t="n"/>
      <c r="AA58" s="72" t="n"/>
      <c r="AB58" s="72" t="n"/>
      <c r="AC58" s="72" t="n"/>
      <c r="AD58" s="72" t="n"/>
      <c r="AE58" s="72" t="n"/>
      <c r="AF58" s="72" t="n"/>
      <c r="AG58" s="72" t="n"/>
      <c r="AH58" s="72" t="n"/>
      <c r="AI58" s="72" t="n"/>
      <c r="AJ58" s="72" t="n"/>
      <c r="AK58" s="72" t="n"/>
      <c r="AL58" s="72" t="n"/>
      <c r="AM58" s="72" t="n"/>
      <c r="AN58" s="72" t="n"/>
      <c r="AO58" s="72" t="n"/>
      <c r="AP58" s="72" t="n"/>
      <c r="AQ58" s="72" t="n"/>
      <c r="AR58" s="72" t="n"/>
      <c r="AS58" s="72" t="n"/>
      <c r="AT58" s="72" t="n"/>
      <c r="AU58" s="72" t="n"/>
      <c r="AV58" s="72" t="n"/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7154" operator="lessThan" dxfId="2">
      <formula>15.1</formula>
    </cfRule>
    <cfRule type="cellIs" priority="117155" operator="lessThan" dxfId="11106">
      <formula>18.1</formula>
    </cfRule>
    <cfRule type="cellIs" priority="117156" operator="lessThan" dxfId="11105">
      <formula>21.1</formula>
    </cfRule>
    <cfRule type="cellIs" priority="117157" operator="lessThan" dxfId="11104">
      <formula>24.1</formula>
    </cfRule>
    <cfRule type="cellIs" priority="117158" operator="lessThan" dxfId="1">
      <formula>30</formula>
    </cfRule>
    <cfRule type="cellIs" priority="117159" operator="lessThan" dxfId="11102">
      <formula>34.1</formula>
    </cfRule>
  </conditionalFormatting>
  <conditionalFormatting sqref="Z3">
    <cfRule type="colorScale" priority="1171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7151" operator="greaterThan" dxfId="17">
      <formula>0.9</formula>
    </cfRule>
    <cfRule type="cellIs" priority="117152" operator="greaterThan" dxfId="16">
      <formula>0.85</formula>
    </cfRule>
  </conditionalFormatting>
  <conditionalFormatting sqref="N2">
    <cfRule type="cellIs" priority="117149" operator="greaterThan" dxfId="17">
      <formula>0.9</formula>
    </cfRule>
    <cfRule type="cellIs" priority="117150" operator="greaterThan" dxfId="16">
      <formula>0.85</formula>
    </cfRule>
  </conditionalFormatting>
  <conditionalFormatting sqref="AV4">
    <cfRule type="expression" priority="845" dxfId="23">
      <formula>AV4="X"</formula>
    </cfRule>
    <cfRule type="expression" priority="846" dxfId="22">
      <formula>AV4="후보"</formula>
    </cfRule>
  </conditionalFormatting>
  <conditionalFormatting sqref="AC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">
    <cfRule type="expression" priority="837" dxfId="3">
      <formula>AND(IF(OR($Q4=1,$Q4=2),1,0),IF($X4&lt;=20,1,0))</formula>
    </cfRule>
    <cfRule type="expression" priority="838" dxfId="2">
      <formula>AND(IF($Q4=2,1,0),IF($X4&lt;30,1,0))</formula>
    </cfRule>
    <cfRule type="expression" priority="839" dxfId="1">
      <formula>AND(IF($Q4=3,1,0),IF($X4&lt;30,1,0))</formula>
    </cfRule>
    <cfRule type="expression" priority="840" dxfId="0">
      <formula>AND(IF($Q4=3,1,IF($Q4=4,1,0)),IF($F4&lt;=85,1,0))</formula>
    </cfRule>
  </conditionalFormatting>
  <conditionalFormatting sqref="X4">
    <cfRule type="expression" priority="833" dxfId="3">
      <formula>AND(IF(OR($Q4=1,$Q4=2),1,0),IF($X4&lt;=20,1,0))</formula>
    </cfRule>
    <cfRule type="expression" priority="834" dxfId="2">
      <formula>AND(IF($Q4=2,1,0),IF($X4&lt;30,1,0))</formula>
    </cfRule>
    <cfRule type="expression" priority="835" dxfId="1">
      <formula>AND(IF($Q4=3,1,0),IF($X4&lt;30,1,0))</formula>
    </cfRule>
    <cfRule type="expression" priority="836" dxfId="0">
      <formula>AND(IF($Q4=3,1,IF($Q4=4,1,0)),IF($F4&lt;=85,1,0))</formula>
    </cfRule>
  </conditionalFormatting>
  <conditionalFormatting sqref="AI4">
    <cfRule type="expression" priority="829" dxfId="3">
      <formula>AND(IF(OR($Q4=1,$Q4=2),1,0),IF($X4&lt;=20,1,0))</formula>
    </cfRule>
    <cfRule type="expression" priority="830" dxfId="2">
      <formula>AND(IF($Q4=2,1,0),IF($X4&lt;30,1,0))</formula>
    </cfRule>
    <cfRule type="expression" priority="831" dxfId="1">
      <formula>AND(IF($Q4=3,1,0),IF($X4&lt;30,1,0))</formula>
    </cfRule>
    <cfRule type="expression" priority="832" dxfId="0">
      <formula>AND(IF($Q4=3,1,IF($Q4=4,1,0)),IF($F4&lt;=85,1,0))</formula>
    </cfRule>
  </conditionalFormatting>
  <conditionalFormatting sqref="AV5">
    <cfRule type="expression" priority="827" dxfId="23">
      <formula>AV5="X"</formula>
    </cfRule>
    <cfRule type="expression" priority="828" dxfId="22">
      <formula>AV5="후보"</formula>
    </cfRule>
  </conditionalFormatting>
  <conditionalFormatting sqref="AC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">
    <cfRule type="expression" priority="819" dxfId="3">
      <formula>AND(IF(OR($Q5=1,$Q5=2),1,0),IF($X5&lt;=20,1,0))</formula>
    </cfRule>
    <cfRule type="expression" priority="820" dxfId="2">
      <formula>AND(IF($Q5=2,1,0),IF($X5&lt;30,1,0))</formula>
    </cfRule>
    <cfRule type="expression" priority="821" dxfId="1">
      <formula>AND(IF($Q5=3,1,0),IF($X5&lt;30,1,0))</formula>
    </cfRule>
    <cfRule type="expression" priority="822" dxfId="0">
      <formula>AND(IF($Q5=3,1,IF($Q5=4,1,0)),IF($F5&lt;=85,1,0))</formula>
    </cfRule>
  </conditionalFormatting>
  <conditionalFormatting sqref="X5">
    <cfRule type="expression" priority="815" dxfId="3">
      <formula>AND(IF(OR($Q5=1,$Q5=2),1,0),IF($X5&lt;=20,1,0))</formula>
    </cfRule>
    <cfRule type="expression" priority="816" dxfId="2">
      <formula>AND(IF($Q5=2,1,0),IF($X5&lt;30,1,0))</formula>
    </cfRule>
    <cfRule type="expression" priority="817" dxfId="1">
      <formula>AND(IF($Q5=3,1,0),IF($X5&lt;30,1,0))</formula>
    </cfRule>
    <cfRule type="expression" priority="818" dxfId="0">
      <formula>AND(IF($Q5=3,1,IF($Q5=4,1,0)),IF($F5&lt;=85,1,0))</formula>
    </cfRule>
  </conditionalFormatting>
  <conditionalFormatting sqref="AI5">
    <cfRule type="expression" priority="811" dxfId="3">
      <formula>AND(IF(OR($Q5=1,$Q5=2),1,0),IF($X5&lt;=20,1,0))</formula>
    </cfRule>
    <cfRule type="expression" priority="812" dxfId="2">
      <formula>AND(IF($Q5=2,1,0),IF($X5&lt;30,1,0))</formula>
    </cfRule>
    <cfRule type="expression" priority="813" dxfId="1">
      <formula>AND(IF($Q5=3,1,0),IF($X5&lt;30,1,0))</formula>
    </cfRule>
    <cfRule type="expression" priority="814" dxfId="0">
      <formula>AND(IF($Q5=3,1,IF($Q5=4,1,0)),IF($F5&lt;=85,1,0))</formula>
    </cfRule>
  </conditionalFormatting>
  <conditionalFormatting sqref="AV6">
    <cfRule type="expression" priority="809" dxfId="23">
      <formula>AV6="X"</formula>
    </cfRule>
    <cfRule type="expression" priority="810" dxfId="22">
      <formula>AV6="후보"</formula>
    </cfRule>
  </conditionalFormatting>
  <conditionalFormatting sqref="AC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X6">
    <cfRule type="expression" priority="797" dxfId="3">
      <formula>AND(IF(OR($Q6=1,$Q6=2),1,0),IF($X6&lt;=20,1,0))</formula>
    </cfRule>
    <cfRule type="expression" priority="798" dxfId="2">
      <formula>AND(IF($Q6=2,1,0),IF($X6&lt;30,1,0))</formula>
    </cfRule>
    <cfRule type="expression" priority="799" dxfId="1">
      <formula>AND(IF($Q6=3,1,0),IF($X6&lt;30,1,0))</formula>
    </cfRule>
    <cfRule type="expression" priority="800" dxfId="0">
      <formula>AND(IF($Q6=3,1,IF($Q6=4,1,0)),IF($F6&lt;=85,1,0))</formula>
    </cfRule>
  </conditionalFormatting>
  <conditionalFormatting sqref="AI6">
    <cfRule type="expression" priority="793" dxfId="3">
      <formula>AND(IF(OR($Q6=1,$Q6=2),1,0),IF($X6&lt;=20,1,0))</formula>
    </cfRule>
    <cfRule type="expression" priority="794" dxfId="2">
      <formula>AND(IF($Q6=2,1,0),IF($X6&lt;30,1,0))</formula>
    </cfRule>
    <cfRule type="expression" priority="795" dxfId="1">
      <formula>AND(IF($Q6=3,1,0),IF($X6&lt;30,1,0))</formula>
    </cfRule>
    <cfRule type="expression" priority="796" dxfId="0">
      <formula>AND(IF($Q6=3,1,IF($Q6=4,1,0)),IF($F6&lt;=85,1,0))</formula>
    </cfRule>
  </conditionalFormatting>
  <conditionalFormatting sqref="AV7">
    <cfRule type="expression" priority="791" dxfId="23">
      <formula>AV7="X"</formula>
    </cfRule>
    <cfRule type="expression" priority="792" dxfId="22">
      <formula>AV7="후보"</formula>
    </cfRule>
  </conditionalFormatting>
  <conditionalFormatting sqref="AC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">
    <cfRule type="expression" priority="783" dxfId="3">
      <formula>AND(IF(OR($Q7=1,$Q7=2),1,0),IF($X7&lt;=20,1,0))</formula>
    </cfRule>
    <cfRule type="expression" priority="784" dxfId="2">
      <formula>AND(IF($Q7=2,1,0),IF($X7&lt;30,1,0))</formula>
    </cfRule>
    <cfRule type="expression" priority="785" dxfId="1">
      <formula>AND(IF($Q7=3,1,0),IF($X7&lt;30,1,0))</formula>
    </cfRule>
    <cfRule type="expression" priority="786" dxfId="0">
      <formula>AND(IF($Q7=3,1,IF($Q7=4,1,0)),IF($F7&lt;=85,1,0))</formula>
    </cfRule>
  </conditionalFormatting>
  <conditionalFormatting sqref="X7">
    <cfRule type="expression" priority="779" dxfId="3">
      <formula>AND(IF(OR($Q7=1,$Q7=2),1,0),IF($X7&lt;=20,1,0))</formula>
    </cfRule>
    <cfRule type="expression" priority="780" dxfId="2">
      <formula>AND(IF($Q7=2,1,0),IF($X7&lt;30,1,0))</formula>
    </cfRule>
    <cfRule type="expression" priority="781" dxfId="1">
      <formula>AND(IF($Q7=3,1,0),IF($X7&lt;30,1,0))</formula>
    </cfRule>
    <cfRule type="expression" priority="782" dxfId="0">
      <formula>AND(IF($Q7=3,1,IF($Q7=4,1,0)),IF($F7&lt;=85,1,0))</formula>
    </cfRule>
  </conditionalFormatting>
  <conditionalFormatting sqref="AI7">
    <cfRule type="expression" priority="775" dxfId="3">
      <formula>AND(IF(OR($Q7=1,$Q7=2),1,0),IF($X7&lt;=20,1,0))</formula>
    </cfRule>
    <cfRule type="expression" priority="776" dxfId="2">
      <formula>AND(IF($Q7=2,1,0),IF($X7&lt;30,1,0))</formula>
    </cfRule>
    <cfRule type="expression" priority="777" dxfId="1">
      <formula>AND(IF($Q7=3,1,0),IF($X7&lt;30,1,0))</formula>
    </cfRule>
    <cfRule type="expression" priority="778" dxfId="0">
      <formula>AND(IF($Q7=3,1,IF($Q7=4,1,0)),IF($F7&lt;=85,1,0))</formula>
    </cfRule>
  </conditionalFormatting>
  <conditionalFormatting sqref="AV8">
    <cfRule type="expression" priority="773" dxfId="23">
      <formula>AV8="X"</formula>
    </cfRule>
    <cfRule type="expression" priority="774" dxfId="22">
      <formula>AV8="후보"</formula>
    </cfRule>
  </conditionalFormatting>
  <conditionalFormatting sqref="AC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8">
    <cfRule type="expression" priority="765" dxfId="3">
      <formula>AND(IF(OR($Q8=1,$Q8=2),1,0),IF($X8&lt;=20,1,0))</formula>
    </cfRule>
    <cfRule type="expression" priority="766" dxfId="2">
      <formula>AND(IF($Q8=2,1,0),IF($X8&lt;30,1,0))</formula>
    </cfRule>
    <cfRule type="expression" priority="767" dxfId="1">
      <formula>AND(IF($Q8=3,1,0),IF($X8&lt;30,1,0))</formula>
    </cfRule>
    <cfRule type="expression" priority="768" dxfId="0">
      <formula>AND(IF($Q8=3,1,IF($Q8=4,1,0)),IF($F8&lt;=85,1,0))</formula>
    </cfRule>
  </conditionalFormatting>
  <conditionalFormatting sqref="X8">
    <cfRule type="expression" priority="761" dxfId="3">
      <formula>AND(IF(OR($Q8=1,$Q8=2),1,0),IF($X8&lt;=20,1,0))</formula>
    </cfRule>
    <cfRule type="expression" priority="762" dxfId="2">
      <formula>AND(IF($Q8=2,1,0),IF($X8&lt;30,1,0))</formula>
    </cfRule>
    <cfRule type="expression" priority="763" dxfId="1">
      <formula>AND(IF($Q8=3,1,0),IF($X8&lt;30,1,0))</formula>
    </cfRule>
    <cfRule type="expression" priority="764" dxfId="0">
      <formula>AND(IF($Q8=3,1,IF($Q8=4,1,0)),IF($F8&lt;=85,1,0))</formula>
    </cfRule>
  </conditionalFormatting>
  <conditionalFormatting sqref="AI8">
    <cfRule type="expression" priority="757" dxfId="3">
      <formula>AND(IF(OR($Q8=1,$Q8=2),1,0),IF($X8&lt;=20,1,0))</formula>
    </cfRule>
    <cfRule type="expression" priority="758" dxfId="2">
      <formula>AND(IF($Q8=2,1,0),IF($X8&lt;30,1,0))</formula>
    </cfRule>
    <cfRule type="expression" priority="759" dxfId="1">
      <formula>AND(IF($Q8=3,1,0),IF($X8&lt;30,1,0))</formula>
    </cfRule>
    <cfRule type="expression" priority="760" dxfId="0">
      <formula>AND(IF($Q8=3,1,IF($Q8=4,1,0)),IF($F8&lt;=85,1,0))</formula>
    </cfRule>
  </conditionalFormatting>
  <conditionalFormatting sqref="AV9">
    <cfRule type="expression" priority="755" dxfId="23">
      <formula>AV9="X"</formula>
    </cfRule>
    <cfRule type="expression" priority="756" dxfId="22">
      <formula>AV9="후보"</formula>
    </cfRule>
  </conditionalFormatting>
  <conditionalFormatting sqref="AC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X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I9">
    <cfRule type="expression" priority="739" dxfId="3">
      <formula>AND(IF(OR($Q9=1,$Q9=2),1,0),IF($X9&lt;=20,1,0))</formula>
    </cfRule>
    <cfRule type="expression" priority="740" dxfId="2">
      <formula>AND(IF($Q9=2,1,0),IF($X9&lt;30,1,0))</formula>
    </cfRule>
    <cfRule type="expression" priority="741" dxfId="1">
      <formula>AND(IF($Q9=3,1,0),IF($X9&lt;30,1,0))</formula>
    </cfRule>
    <cfRule type="expression" priority="742" dxfId="0">
      <formula>AND(IF($Q9=3,1,IF($Q9=4,1,0)),IF($F9&lt;=85,1,0))</formula>
    </cfRule>
  </conditionalFormatting>
  <conditionalFormatting sqref="AV10">
    <cfRule type="expression" priority="737" dxfId="23">
      <formula>AV10="X"</formula>
    </cfRule>
    <cfRule type="expression" priority="738" dxfId="22">
      <formula>AV10="후보"</formula>
    </cfRule>
  </conditionalFormatting>
  <conditionalFormatting sqref="AC1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X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I10">
    <cfRule type="expression" priority="721" dxfId="3">
      <formula>AND(IF(OR($Q10=1,$Q10=2),1,0),IF($X10&lt;=20,1,0))</formula>
    </cfRule>
    <cfRule type="expression" priority="722" dxfId="2">
      <formula>AND(IF($Q10=2,1,0),IF($X10&lt;30,1,0))</formula>
    </cfRule>
    <cfRule type="expression" priority="723" dxfId="1">
      <formula>AND(IF($Q10=3,1,0),IF($X10&lt;30,1,0))</formula>
    </cfRule>
    <cfRule type="expression" priority="724" dxfId="0">
      <formula>AND(IF($Q10=3,1,IF($Q10=4,1,0)),IF($F10&lt;=85,1,0))</formula>
    </cfRule>
  </conditionalFormatting>
  <conditionalFormatting sqref="AV11">
    <cfRule type="expression" priority="719" dxfId="23">
      <formula>AV11="X"</formula>
    </cfRule>
    <cfRule type="expression" priority="720" dxfId="22">
      <formula>AV11="후보"</formula>
    </cfRule>
  </conditionalFormatting>
  <conditionalFormatting sqref="AC1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X11">
    <cfRule type="expression" priority="707" dxfId="3">
      <formula>AND(IF(OR($Q11=1,$Q11=2),1,0),IF($X11&lt;=20,1,0))</formula>
    </cfRule>
    <cfRule type="expression" priority="708" dxfId="2">
      <formula>AND(IF($Q11=2,1,0),IF($X11&lt;30,1,0))</formula>
    </cfRule>
    <cfRule type="expression" priority="709" dxfId="1">
      <formula>AND(IF($Q11=3,1,0),IF($X11&lt;30,1,0))</formula>
    </cfRule>
    <cfRule type="expression" priority="710" dxfId="0">
      <formula>AND(IF($Q11=3,1,IF($Q11=4,1,0)),IF($F11&lt;=85,1,0))</formula>
    </cfRule>
  </conditionalFormatting>
  <conditionalFormatting sqref="AI11">
    <cfRule type="expression" priority="703" dxfId="3">
      <formula>AND(IF(OR($Q11=1,$Q11=2),1,0),IF($X11&lt;=20,1,0))</formula>
    </cfRule>
    <cfRule type="expression" priority="704" dxfId="2">
      <formula>AND(IF($Q11=2,1,0),IF($X11&lt;30,1,0))</formula>
    </cfRule>
    <cfRule type="expression" priority="705" dxfId="1">
      <formula>AND(IF($Q11=3,1,0),IF($X11&lt;30,1,0))</formula>
    </cfRule>
    <cfRule type="expression" priority="706" dxfId="0">
      <formula>AND(IF($Q11=3,1,IF($Q11=4,1,0)),IF($F11&lt;=85,1,0))</formula>
    </cfRule>
  </conditionalFormatting>
  <conditionalFormatting sqref="AV12">
    <cfRule type="expression" priority="701" dxfId="23">
      <formula>AV12="X"</formula>
    </cfRule>
    <cfRule type="expression" priority="702" dxfId="22">
      <formula>AV12="후보"</formula>
    </cfRule>
  </conditionalFormatting>
  <conditionalFormatting sqref="AC1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2">
    <cfRule type="expression" priority="693" dxfId="3">
      <formula>AND(IF(OR($Q12=1,$Q12=2),1,0),IF($X12&lt;=20,1,0))</formula>
    </cfRule>
    <cfRule type="expression" priority="694" dxfId="2">
      <formula>AND(IF($Q12=2,1,0),IF($X12&lt;30,1,0))</formula>
    </cfRule>
    <cfRule type="expression" priority="695" dxfId="1">
      <formula>AND(IF($Q12=3,1,0),IF($X12&lt;30,1,0))</formula>
    </cfRule>
    <cfRule type="expression" priority="696" dxfId="0">
      <formula>AND(IF($Q12=3,1,IF($Q12=4,1,0)),IF($F12&lt;=85,1,0))</formula>
    </cfRule>
  </conditionalFormatting>
  <conditionalFormatting sqref="X12">
    <cfRule type="expression" priority="689" dxfId="3">
      <formula>AND(IF(OR($Q12=1,$Q12=2),1,0),IF($X12&lt;=20,1,0))</formula>
    </cfRule>
    <cfRule type="expression" priority="690" dxfId="2">
      <formula>AND(IF($Q12=2,1,0),IF($X12&lt;30,1,0))</formula>
    </cfRule>
    <cfRule type="expression" priority="691" dxfId="1">
      <formula>AND(IF($Q12=3,1,0),IF($X12&lt;30,1,0))</formula>
    </cfRule>
    <cfRule type="expression" priority="692" dxfId="0">
      <formula>AND(IF($Q12=3,1,IF($Q12=4,1,0)),IF($F12&lt;=85,1,0))</formula>
    </cfRule>
  </conditionalFormatting>
  <conditionalFormatting sqref="AI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AV13">
    <cfRule type="expression" priority="683" dxfId="23">
      <formula>AV13="X"</formula>
    </cfRule>
    <cfRule type="expression" priority="684" dxfId="22">
      <formula>AV13="후보"</formula>
    </cfRule>
  </conditionalFormatting>
  <conditionalFormatting sqref="AC1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3">
    <cfRule type="expression" priority="675" dxfId="3">
      <formula>AND(IF(OR($Q13=1,$Q13=2),1,0),IF($X13&lt;=20,1,0))</formula>
    </cfRule>
    <cfRule type="expression" priority="676" dxfId="2">
      <formula>AND(IF($Q13=2,1,0),IF($X13&lt;30,1,0))</formula>
    </cfRule>
    <cfRule type="expression" priority="677" dxfId="1">
      <formula>AND(IF($Q13=3,1,0),IF($X13&lt;30,1,0))</formula>
    </cfRule>
    <cfRule type="expression" priority="678" dxfId="0">
      <formula>AND(IF($Q13=3,1,IF($Q13=4,1,0)),IF($F13&lt;=85,1,0))</formula>
    </cfRule>
  </conditionalFormatting>
  <conditionalFormatting sqref="X13">
    <cfRule type="expression" priority="671" dxfId="3">
      <formula>AND(IF(OR($Q13=1,$Q13=2),1,0),IF($X13&lt;=20,1,0))</formula>
    </cfRule>
    <cfRule type="expression" priority="672" dxfId="2">
      <formula>AND(IF($Q13=2,1,0),IF($X13&lt;30,1,0))</formula>
    </cfRule>
    <cfRule type="expression" priority="673" dxfId="1">
      <formula>AND(IF($Q13=3,1,0),IF($X13&lt;30,1,0))</formula>
    </cfRule>
    <cfRule type="expression" priority="674" dxfId="0">
      <formula>AND(IF($Q13=3,1,IF($Q13=4,1,0)),IF($F13&lt;=85,1,0))</formula>
    </cfRule>
  </conditionalFormatting>
  <conditionalFormatting sqref="AI13">
    <cfRule type="expression" priority="667" dxfId="3">
      <formula>AND(IF(OR($Q13=1,$Q13=2),1,0),IF($X13&lt;=20,1,0))</formula>
    </cfRule>
    <cfRule type="expression" priority="668" dxfId="2">
      <formula>AND(IF($Q13=2,1,0),IF($X13&lt;30,1,0))</formula>
    </cfRule>
    <cfRule type="expression" priority="669" dxfId="1">
      <formula>AND(IF($Q13=3,1,0),IF($X13&lt;30,1,0))</formula>
    </cfRule>
    <cfRule type="expression" priority="670" dxfId="0">
      <formula>AND(IF($Q13=3,1,IF($Q13=4,1,0)),IF($F13&lt;=85,1,0))</formula>
    </cfRule>
  </conditionalFormatting>
  <conditionalFormatting sqref="AV14">
    <cfRule type="expression" priority="665" dxfId="23">
      <formula>AV14="X"</formula>
    </cfRule>
    <cfRule type="expression" priority="666" dxfId="22">
      <formula>AV14="후보"</formula>
    </cfRule>
  </conditionalFormatting>
  <conditionalFormatting sqref="AC1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4">
    <cfRule type="expression" priority="657" dxfId="3">
      <formula>AND(IF(OR($Q14=1,$Q14=2),1,0),IF($X14&lt;=20,1,0))</formula>
    </cfRule>
    <cfRule type="expression" priority="658" dxfId="2">
      <formula>AND(IF($Q14=2,1,0),IF($X14&lt;30,1,0))</formula>
    </cfRule>
    <cfRule type="expression" priority="659" dxfId="1">
      <formula>AND(IF($Q14=3,1,0),IF($X14&lt;30,1,0))</formula>
    </cfRule>
    <cfRule type="expression" priority="660" dxfId="0">
      <formula>AND(IF($Q14=3,1,IF($Q14=4,1,0)),IF($F14&lt;=85,1,0))</formula>
    </cfRule>
  </conditionalFormatting>
  <conditionalFormatting sqref="X14">
    <cfRule type="expression" priority="653" dxfId="3">
      <formula>AND(IF(OR($Q14=1,$Q14=2),1,0),IF($X14&lt;=20,1,0))</formula>
    </cfRule>
    <cfRule type="expression" priority="654" dxfId="2">
      <formula>AND(IF($Q14=2,1,0),IF($X14&lt;30,1,0))</formula>
    </cfRule>
    <cfRule type="expression" priority="655" dxfId="1">
      <formula>AND(IF($Q14=3,1,0),IF($X14&lt;30,1,0))</formula>
    </cfRule>
    <cfRule type="expression" priority="656" dxfId="0">
      <formula>AND(IF($Q14=3,1,IF($Q14=4,1,0)),IF($F14&lt;=85,1,0))</formula>
    </cfRule>
  </conditionalFormatting>
  <conditionalFormatting sqref="AI14">
    <cfRule type="expression" priority="649" dxfId="3">
      <formula>AND(IF(OR($Q14=1,$Q14=2),1,0),IF($X14&lt;=20,1,0))</formula>
    </cfRule>
    <cfRule type="expression" priority="650" dxfId="2">
      <formula>AND(IF($Q14=2,1,0),IF($X14&lt;30,1,0))</formula>
    </cfRule>
    <cfRule type="expression" priority="651" dxfId="1">
      <formula>AND(IF($Q14=3,1,0),IF($X14&lt;30,1,0))</formula>
    </cfRule>
    <cfRule type="expression" priority="652" dxfId="0">
      <formula>AND(IF($Q14=3,1,IF($Q14=4,1,0)),IF($F14&lt;=85,1,0))</formula>
    </cfRule>
  </conditionalFormatting>
  <conditionalFormatting sqref="AV15">
    <cfRule type="expression" priority="647" dxfId="23">
      <formula>AV15="X"</formula>
    </cfRule>
    <cfRule type="expression" priority="648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6">
    <cfRule type="expression" priority="621" dxfId="3">
      <formula>AND(IF(OR($Q16=1,$Q16=2),1,0),IF($X16&lt;=20,1,0))</formula>
    </cfRule>
    <cfRule type="expression" priority="622" dxfId="2">
      <formula>AND(IF($Q16=2,1,0),IF($X16&lt;30,1,0))</formula>
    </cfRule>
    <cfRule type="expression" priority="623" dxfId="1">
      <formula>AND(IF($Q16=3,1,0),IF($X16&lt;30,1,0))</formula>
    </cfRule>
    <cfRule type="expression" priority="624" dxfId="0">
      <formula>AND(IF($Q16=3,1,IF($Q16=4,1,0)),IF($F16&lt;=85,1,0))</formula>
    </cfRule>
  </conditionalFormatting>
  <conditionalFormatting sqref="X16">
    <cfRule type="expression" priority="617" dxfId="3">
      <formula>AND(IF(OR($Q16=1,$Q16=2),1,0),IF($X16&lt;=20,1,0))</formula>
    </cfRule>
    <cfRule type="expression" priority="618" dxfId="2">
      <formula>AND(IF($Q16=2,1,0),IF($X16&lt;30,1,0))</formula>
    </cfRule>
    <cfRule type="expression" priority="619" dxfId="1">
      <formula>AND(IF($Q16=3,1,0),IF($X16&lt;30,1,0))</formula>
    </cfRule>
    <cfRule type="expression" priority="620" dxfId="0">
      <formula>AND(IF($Q16=3,1,IF($Q16=4,1,0)),IF($F16&lt;=85,1,0))</formula>
    </cfRule>
  </conditionalFormatting>
  <conditionalFormatting sqref="AI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AV17">
    <cfRule type="expression" priority="611" dxfId="23">
      <formula>AV17="X"</formula>
    </cfRule>
    <cfRule type="expression" priority="612" dxfId="22">
      <formula>AV17="후보"</formula>
    </cfRule>
  </conditionalFormatting>
  <conditionalFormatting sqref="AC1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7">
    <cfRule type="expression" priority="603" dxfId="3">
      <formula>AND(IF(OR($Q17=1,$Q17=2),1,0),IF($X17&lt;=20,1,0))</formula>
    </cfRule>
    <cfRule type="expression" priority="604" dxfId="2">
      <formula>AND(IF($Q17=2,1,0),IF($X17&lt;30,1,0))</formula>
    </cfRule>
    <cfRule type="expression" priority="605" dxfId="1">
      <formula>AND(IF($Q17=3,1,0),IF($X17&lt;30,1,0))</formula>
    </cfRule>
    <cfRule type="expression" priority="606" dxfId="0">
      <formula>AND(IF($Q17=3,1,IF($Q17=4,1,0)),IF($F17&lt;=85,1,0))</formula>
    </cfRule>
  </conditionalFormatting>
  <conditionalFormatting sqref="X17">
    <cfRule type="expression" priority="599" dxfId="3">
      <formula>AND(IF(OR($Q17=1,$Q17=2),1,0),IF($X17&lt;=20,1,0))</formula>
    </cfRule>
    <cfRule type="expression" priority="600" dxfId="2">
      <formula>AND(IF($Q17=2,1,0),IF($X17&lt;30,1,0))</formula>
    </cfRule>
    <cfRule type="expression" priority="601" dxfId="1">
      <formula>AND(IF($Q17=3,1,0),IF($X17&lt;30,1,0))</formula>
    </cfRule>
    <cfRule type="expression" priority="602" dxfId="0">
      <formula>AND(IF($Q17=3,1,IF($Q17=4,1,0)),IF($F17&lt;=85,1,0))</formula>
    </cfRule>
  </conditionalFormatting>
  <conditionalFormatting sqref="AI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AV18">
    <cfRule type="expression" priority="593" dxfId="23">
      <formula>AV18="X"</formula>
    </cfRule>
    <cfRule type="expression" priority="594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9">
    <cfRule type="expression" priority="567" dxfId="3">
      <formula>AND(IF(OR($Q19=1,$Q19=2),1,0),IF($X19&lt;=20,1,0))</formula>
    </cfRule>
    <cfRule type="expression" priority="568" dxfId="2">
      <formula>AND(IF($Q19=2,1,0),IF($X19&lt;30,1,0))</formula>
    </cfRule>
    <cfRule type="expression" priority="569" dxfId="1">
      <formula>AND(IF($Q19=3,1,0),IF($X19&lt;30,1,0))</formula>
    </cfRule>
    <cfRule type="expression" priority="570" dxfId="0">
      <formula>AND(IF($Q19=3,1,IF($Q19=4,1,0)),IF($F19&lt;=85,1,0))</formula>
    </cfRule>
  </conditionalFormatting>
  <conditionalFormatting sqref="X19">
    <cfRule type="expression" priority="563" dxfId="3">
      <formula>AND(IF(OR($Q19=1,$Q19=2),1,0),IF($X19&lt;=20,1,0))</formula>
    </cfRule>
    <cfRule type="expression" priority="564" dxfId="2">
      <formula>AND(IF($Q19=2,1,0),IF($X19&lt;30,1,0))</formula>
    </cfRule>
    <cfRule type="expression" priority="565" dxfId="1">
      <formula>AND(IF($Q19=3,1,0),IF($X19&lt;30,1,0))</formula>
    </cfRule>
    <cfRule type="expression" priority="566" dxfId="0">
      <formula>AND(IF($Q19=3,1,IF($Q19=4,1,0)),IF($F19&lt;=85,1,0))</formula>
    </cfRule>
  </conditionalFormatting>
  <conditionalFormatting sqref="AI19">
    <cfRule type="expression" priority="559" dxfId="3">
      <formula>AND(IF(OR($Q19=1,$Q19=2),1,0),IF($X19&lt;=20,1,0))</formula>
    </cfRule>
    <cfRule type="expression" priority="560" dxfId="2">
      <formula>AND(IF($Q19=2,1,0),IF($X19&lt;30,1,0))</formula>
    </cfRule>
    <cfRule type="expression" priority="561" dxfId="1">
      <formula>AND(IF($Q19=3,1,0),IF($X19&lt;30,1,0))</formula>
    </cfRule>
    <cfRule type="expression" priority="562" dxfId="0">
      <formula>AND(IF($Q19=3,1,IF($Q19=4,1,0)),IF($F19&lt;=85,1,0))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">
    <cfRule type="expression" priority="549" dxfId="3">
      <formula>AND(IF(OR($Q20=1,$Q20=2),1,0),IF($X20&lt;=20,1,0))</formula>
    </cfRule>
    <cfRule type="expression" priority="550" dxfId="2">
      <formula>AND(IF($Q20=2,1,0),IF($X20&lt;30,1,0))</formula>
    </cfRule>
    <cfRule type="expression" priority="551" dxfId="1">
      <formula>AND(IF($Q20=3,1,0),IF($X20&lt;30,1,0))</formula>
    </cfRule>
    <cfRule type="expression" priority="552" dxfId="0">
      <formula>AND(IF($Q20=3,1,IF($Q20=4,1,0)),IF($F20&lt;=85,1,0))</formula>
    </cfRule>
  </conditionalFormatting>
  <conditionalFormatting sqref="X20">
    <cfRule type="expression" priority="545" dxfId="3">
      <formula>AND(IF(OR($Q20=1,$Q20=2),1,0),IF($X20&lt;=20,1,0))</formula>
    </cfRule>
    <cfRule type="expression" priority="546" dxfId="2">
      <formula>AND(IF($Q20=2,1,0),IF($X20&lt;30,1,0))</formula>
    </cfRule>
    <cfRule type="expression" priority="547" dxfId="1">
      <formula>AND(IF($Q20=3,1,0),IF($X20&lt;30,1,0))</formula>
    </cfRule>
    <cfRule type="expression" priority="548" dxfId="0">
      <formula>AND(IF($Q20=3,1,IF($Q20=4,1,0)),IF($F20&lt;=85,1,0))</formula>
    </cfRule>
  </conditionalFormatting>
  <conditionalFormatting sqref="AI20">
    <cfRule type="expression" priority="541" dxfId="3">
      <formula>AND(IF(OR($Q20=1,$Q20=2),1,0),IF($X20&lt;=20,1,0))</formula>
    </cfRule>
    <cfRule type="expression" priority="542" dxfId="2">
      <formula>AND(IF($Q20=2,1,0),IF($X20&lt;30,1,0))</formula>
    </cfRule>
    <cfRule type="expression" priority="543" dxfId="1">
      <formula>AND(IF($Q20=3,1,0),IF($X20&lt;30,1,0))</formula>
    </cfRule>
    <cfRule type="expression" priority="544" dxfId="0">
      <formula>AND(IF($Q20=3,1,IF($Q20=4,1,0)),IF($F20&lt;=85,1,0))</formula>
    </cfRule>
  </conditionalFormatting>
  <conditionalFormatting sqref="AV21">
    <cfRule type="expression" priority="539" dxfId="23">
      <formula>AV21="X"</formula>
    </cfRule>
    <cfRule type="expression" priority="540" dxfId="22">
      <formula>AV21="후보"</formula>
    </cfRule>
  </conditionalFormatting>
  <conditionalFormatting sqref="AC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">
    <cfRule type="expression" priority="531" dxfId="3">
      <formula>AND(IF(OR($Q21=1,$Q21=2),1,0),IF($X21&lt;=20,1,0))</formula>
    </cfRule>
    <cfRule type="expression" priority="532" dxfId="2">
      <formula>AND(IF($Q21=2,1,0),IF($X21&lt;30,1,0))</formula>
    </cfRule>
    <cfRule type="expression" priority="533" dxfId="1">
      <formula>AND(IF($Q21=3,1,0),IF($X21&lt;30,1,0))</formula>
    </cfRule>
    <cfRule type="expression" priority="534" dxfId="0">
      <formula>AND(IF($Q21=3,1,IF($Q21=4,1,0)),IF($F21&lt;=85,1,0))</formula>
    </cfRule>
  </conditionalFormatting>
  <conditionalFormatting sqref="X21">
    <cfRule type="expression" priority="527" dxfId="3">
      <formula>AND(IF(OR($Q21=1,$Q21=2),1,0),IF($X21&lt;=20,1,0))</formula>
    </cfRule>
    <cfRule type="expression" priority="528" dxfId="2">
      <formula>AND(IF($Q21=2,1,0),IF($X21&lt;30,1,0))</formula>
    </cfRule>
    <cfRule type="expression" priority="529" dxfId="1">
      <formula>AND(IF($Q21=3,1,0),IF($X21&lt;30,1,0))</formula>
    </cfRule>
    <cfRule type="expression" priority="530" dxfId="0">
      <formula>AND(IF($Q21=3,1,IF($Q21=4,1,0)),IF($F21&lt;=85,1,0))</formula>
    </cfRule>
  </conditionalFormatting>
  <conditionalFormatting sqref="AI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AV22">
    <cfRule type="expression" priority="521" dxfId="23">
      <formula>AV22="X"</formula>
    </cfRule>
    <cfRule type="expression" priority="522" dxfId="22">
      <formula>AV22="후보"</formula>
    </cfRule>
  </conditionalFormatting>
  <conditionalFormatting sqref="AC2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2">
    <cfRule type="expression" priority="513" dxfId="3">
      <formula>AND(IF(OR($Q22=1,$Q22=2),1,0),IF($X22&lt;=20,1,0))</formula>
    </cfRule>
    <cfRule type="expression" priority="514" dxfId="2">
      <formula>AND(IF($Q22=2,1,0),IF($X22&lt;30,1,0))</formula>
    </cfRule>
    <cfRule type="expression" priority="515" dxfId="1">
      <formula>AND(IF($Q22=3,1,0),IF($X22&lt;30,1,0))</formula>
    </cfRule>
    <cfRule type="expression" priority="516" dxfId="0">
      <formula>AND(IF($Q22=3,1,IF($Q22=4,1,0)),IF($F22&lt;=85,1,0))</formula>
    </cfRule>
  </conditionalFormatting>
  <conditionalFormatting sqref="X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AI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X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I24">
    <cfRule type="expression" priority="469" dxfId="3">
      <formula>AND(IF(OR($Q24=1,$Q24=2),1,0),IF($X24&lt;=20,1,0))</formula>
    </cfRule>
    <cfRule type="expression" priority="470" dxfId="2">
      <formula>AND(IF($Q24=2,1,0),IF($X24&lt;30,1,0))</formula>
    </cfRule>
    <cfRule type="expression" priority="471" dxfId="1">
      <formula>AND(IF($Q24=3,1,0),IF($X24&lt;30,1,0))</formula>
    </cfRule>
    <cfRule type="expression" priority="472" dxfId="0">
      <formula>AND(IF($Q24=3,1,IF($Q24=4,1,0)),IF($F24&lt;=85,1,0))</formula>
    </cfRule>
  </conditionalFormatting>
  <conditionalFormatting sqref="AV25">
    <cfRule type="expression" priority="467" dxfId="23">
      <formula>AV25="X"</formula>
    </cfRule>
    <cfRule type="expression" priority="468" dxfId="22">
      <formula>AV25="후보"</formula>
    </cfRule>
  </conditionalFormatting>
  <conditionalFormatting sqref="AC2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5">
    <cfRule type="expression" priority="459" dxfId="3">
      <formula>AND(IF(OR($Q25=1,$Q25=2),1,0),IF($X25&lt;=20,1,0))</formula>
    </cfRule>
    <cfRule type="expression" priority="460" dxfId="2">
      <formula>AND(IF($Q25=2,1,0),IF($X25&lt;30,1,0))</formula>
    </cfRule>
    <cfRule type="expression" priority="461" dxfId="1">
      <formula>AND(IF($Q25=3,1,0),IF($X25&lt;30,1,0))</formula>
    </cfRule>
    <cfRule type="expression" priority="462" dxfId="0">
      <formula>AND(IF($Q25=3,1,IF($Q25=4,1,0)),IF($F25&lt;=85,1,0))</formula>
    </cfRule>
  </conditionalFormatting>
  <conditionalFormatting sqref="X25">
    <cfRule type="expression" priority="455" dxfId="3">
      <formula>AND(IF(OR($Q25=1,$Q25=2),1,0),IF($X25&lt;=20,1,0))</formula>
    </cfRule>
    <cfRule type="expression" priority="456" dxfId="2">
      <formula>AND(IF($Q25=2,1,0),IF($X25&lt;30,1,0))</formula>
    </cfRule>
    <cfRule type="expression" priority="457" dxfId="1">
      <formula>AND(IF($Q25=3,1,0),IF($X25&lt;30,1,0))</formula>
    </cfRule>
    <cfRule type="expression" priority="458" dxfId="0">
      <formula>AND(IF($Q25=3,1,IF($Q25=4,1,0)),IF($F25&lt;=85,1,0))</formula>
    </cfRule>
  </conditionalFormatting>
  <conditionalFormatting sqref="AI25">
    <cfRule type="expression" priority="451" dxfId="3">
      <formula>AND(IF(OR($Q25=1,$Q25=2),1,0),IF($X25&lt;=20,1,0))</formula>
    </cfRule>
    <cfRule type="expression" priority="452" dxfId="2">
      <formula>AND(IF($Q25=2,1,0),IF($X25&lt;30,1,0))</formula>
    </cfRule>
    <cfRule type="expression" priority="453" dxfId="1">
      <formula>AND(IF($Q25=3,1,0),IF($X25&lt;30,1,0))</formula>
    </cfRule>
    <cfRule type="expression" priority="454" dxfId="0">
      <formula>AND(IF($Q25=3,1,IF($Q25=4,1,0)),IF($F25&lt;=85,1,0))</formula>
    </cfRule>
  </conditionalFormatting>
  <conditionalFormatting sqref="AV26">
    <cfRule type="expression" priority="449" dxfId="23">
      <formula>AV26="X"</formula>
    </cfRule>
    <cfRule type="expression" priority="450" dxfId="22">
      <formula>AV26="후보"</formula>
    </cfRule>
  </conditionalFormatting>
  <conditionalFormatting sqref="AC2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6">
    <cfRule type="expression" priority="441" dxfId="3">
      <formula>AND(IF(OR($Q26=1,$Q26=2),1,0),IF($X26&lt;=20,1,0))</formula>
    </cfRule>
    <cfRule type="expression" priority="442" dxfId="2">
      <formula>AND(IF($Q26=2,1,0),IF($X26&lt;30,1,0))</formula>
    </cfRule>
    <cfRule type="expression" priority="443" dxfId="1">
      <formula>AND(IF($Q26=3,1,0),IF($X26&lt;30,1,0))</formula>
    </cfRule>
    <cfRule type="expression" priority="444" dxfId="0">
      <formula>AND(IF($Q26=3,1,IF($Q26=4,1,0)),IF($F26&lt;=85,1,0))</formula>
    </cfRule>
  </conditionalFormatting>
  <conditionalFormatting sqref="X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AI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V27">
    <cfRule type="expression" priority="431" dxfId="23">
      <formula>AV27="X"</formula>
    </cfRule>
    <cfRule type="expression" priority="432" dxfId="22">
      <formula>AV27="후보"</formula>
    </cfRule>
  </conditionalFormatting>
  <conditionalFormatting sqref="AC2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7">
    <cfRule type="expression" priority="423" dxfId="3">
      <formula>AND(IF(OR($Q27=1,$Q27=2),1,0),IF($X27&lt;=20,1,0))</formula>
    </cfRule>
    <cfRule type="expression" priority="424" dxfId="2">
      <formula>AND(IF($Q27=2,1,0),IF($X27&lt;30,1,0))</formula>
    </cfRule>
    <cfRule type="expression" priority="425" dxfId="1">
      <formula>AND(IF($Q27=3,1,0),IF($X27&lt;30,1,0))</formula>
    </cfRule>
    <cfRule type="expression" priority="426" dxfId="0">
      <formula>AND(IF($Q27=3,1,IF($Q27=4,1,0)),IF($F27&lt;=85,1,0))</formula>
    </cfRule>
  </conditionalFormatting>
  <conditionalFormatting sqref="X27">
    <cfRule type="expression" priority="419" dxfId="3">
      <formula>AND(IF(OR($Q27=1,$Q27=2),1,0),IF($X27&lt;=20,1,0))</formula>
    </cfRule>
    <cfRule type="expression" priority="420" dxfId="2">
      <formula>AND(IF($Q27=2,1,0),IF($X27&lt;30,1,0))</formula>
    </cfRule>
    <cfRule type="expression" priority="421" dxfId="1">
      <formula>AND(IF($Q27=3,1,0),IF($X27&lt;30,1,0))</formula>
    </cfRule>
    <cfRule type="expression" priority="422" dxfId="0">
      <formula>AND(IF($Q27=3,1,IF($Q27=4,1,0)),IF($F27&lt;=85,1,0))</formula>
    </cfRule>
  </conditionalFormatting>
  <conditionalFormatting sqref="AI27">
    <cfRule type="expression" priority="415" dxfId="3">
      <formula>AND(IF(OR($Q27=1,$Q27=2),1,0),IF($X27&lt;=20,1,0))</formula>
    </cfRule>
    <cfRule type="expression" priority="416" dxfId="2">
      <formula>AND(IF($Q27=2,1,0),IF($X27&lt;30,1,0))</formula>
    </cfRule>
    <cfRule type="expression" priority="417" dxfId="1">
      <formula>AND(IF($Q27=3,1,0),IF($X27&lt;30,1,0))</formula>
    </cfRule>
    <cfRule type="expression" priority="418" dxfId="0">
      <formula>AND(IF($Q27=3,1,IF($Q27=4,1,0)),IF($F27&lt;=85,1,0))</formula>
    </cfRule>
  </conditionalFormatting>
  <conditionalFormatting sqref="AV28">
    <cfRule type="expression" priority="413" dxfId="23">
      <formula>AV28="X"</formula>
    </cfRule>
    <cfRule type="expression" priority="414" dxfId="22">
      <formula>AV28="후보"</formula>
    </cfRule>
  </conditionalFormatting>
  <conditionalFormatting sqref="AC2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X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I28">
    <cfRule type="expression" priority="397" dxfId="3">
      <formula>AND(IF(OR($Q28=1,$Q28=2),1,0),IF($X28&lt;=20,1,0))</formula>
    </cfRule>
    <cfRule type="expression" priority="398" dxfId="2">
      <formula>AND(IF($Q28=2,1,0),IF($X28&lt;30,1,0))</formula>
    </cfRule>
    <cfRule type="expression" priority="399" dxfId="1">
      <formula>AND(IF($Q28=3,1,0),IF($X28&lt;30,1,0))</formula>
    </cfRule>
    <cfRule type="expression" priority="400" dxfId="0">
      <formula>AND(IF($Q28=3,1,IF($Q28=4,1,0)),IF($F28&lt;=85,1,0))</formula>
    </cfRule>
  </conditionalFormatting>
  <conditionalFormatting sqref="AV29">
    <cfRule type="expression" priority="395" dxfId="23">
      <formula>AV29="X"</formula>
    </cfRule>
    <cfRule type="expression" priority="396" dxfId="22">
      <formula>AV29="후보"</formula>
    </cfRule>
  </conditionalFormatting>
  <conditionalFormatting sqref="AC2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X29">
    <cfRule type="expression" priority="383" dxfId="3">
      <formula>AND(IF(OR($Q29=1,$Q29=2),1,0),IF($X29&lt;=20,1,0))</formula>
    </cfRule>
    <cfRule type="expression" priority="384" dxfId="2">
      <formula>AND(IF($Q29=2,1,0),IF($X29&lt;30,1,0))</formula>
    </cfRule>
    <cfRule type="expression" priority="385" dxfId="1">
      <formula>AND(IF($Q29=3,1,0),IF($X29&lt;30,1,0))</formula>
    </cfRule>
    <cfRule type="expression" priority="386" dxfId="0">
      <formula>AND(IF($Q29=3,1,IF($Q29=4,1,0)),IF($F29&lt;=85,1,0))</formula>
    </cfRule>
  </conditionalFormatting>
  <conditionalFormatting sqref="AI29">
    <cfRule type="expression" priority="379" dxfId="3">
      <formula>AND(IF(OR($Q29=1,$Q29=2),1,0),IF($X29&lt;=20,1,0))</formula>
    </cfRule>
    <cfRule type="expression" priority="380" dxfId="2">
      <formula>AND(IF($Q29=2,1,0),IF($X29&lt;30,1,0))</formula>
    </cfRule>
    <cfRule type="expression" priority="381" dxfId="1">
      <formula>AND(IF($Q29=3,1,0),IF($X29&lt;30,1,0))</formula>
    </cfRule>
    <cfRule type="expression" priority="382" dxfId="0">
      <formula>AND(IF($Q29=3,1,IF($Q29=4,1,0)),IF($F29&lt;=85,1,0))</formula>
    </cfRule>
  </conditionalFormatting>
  <conditionalFormatting sqref="AV30">
    <cfRule type="expression" priority="377" dxfId="23">
      <formula>AV30="X"</formula>
    </cfRule>
    <cfRule type="expression" priority="378" dxfId="22">
      <formula>AV30="후보"</formula>
    </cfRule>
  </conditionalFormatting>
  <conditionalFormatting sqref="AC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0">
    <cfRule type="expression" priority="369" dxfId="3">
      <formula>AND(IF(OR($Q30=1,$Q30=2),1,0),IF($X30&lt;=20,1,0))</formula>
    </cfRule>
    <cfRule type="expression" priority="370" dxfId="2">
      <formula>AND(IF($Q30=2,1,0),IF($X30&lt;30,1,0))</formula>
    </cfRule>
    <cfRule type="expression" priority="371" dxfId="1">
      <formula>AND(IF($Q30=3,1,0),IF($X30&lt;30,1,0))</formula>
    </cfRule>
    <cfRule type="expression" priority="372" dxfId="0">
      <formula>AND(IF($Q30=3,1,IF($Q30=4,1,0)),IF($F30&lt;=85,1,0))</formula>
    </cfRule>
  </conditionalFormatting>
  <conditionalFormatting sqref="X30">
    <cfRule type="expression" priority="365" dxfId="3">
      <formula>AND(IF(OR($Q30=1,$Q30=2),1,0),IF($X30&lt;=20,1,0))</formula>
    </cfRule>
    <cfRule type="expression" priority="366" dxfId="2">
      <formula>AND(IF($Q30=2,1,0),IF($X30&lt;30,1,0))</formula>
    </cfRule>
    <cfRule type="expression" priority="367" dxfId="1">
      <formula>AND(IF($Q30=3,1,0),IF($X30&lt;30,1,0))</formula>
    </cfRule>
    <cfRule type="expression" priority="368" dxfId="0">
      <formula>AND(IF($Q30=3,1,IF($Q30=4,1,0)),IF($F30&lt;=85,1,0))</formula>
    </cfRule>
  </conditionalFormatting>
  <conditionalFormatting sqref="AI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AV31">
    <cfRule type="expression" priority="359" dxfId="23">
      <formula>AV31="X"</formula>
    </cfRule>
    <cfRule type="expression" priority="360" dxfId="22">
      <formula>AV31="후보"</formula>
    </cfRule>
  </conditionalFormatting>
  <conditionalFormatting sqref="AC3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1">
    <cfRule type="expression" priority="351" dxfId="3">
      <formula>AND(IF(OR($Q31=1,$Q31=2),1,0),IF($X31&lt;=20,1,0))</formula>
    </cfRule>
    <cfRule type="expression" priority="352" dxfId="2">
      <formula>AND(IF($Q31=2,1,0),IF($X31&lt;30,1,0))</formula>
    </cfRule>
    <cfRule type="expression" priority="353" dxfId="1">
      <formula>AND(IF($Q31=3,1,0),IF($X31&lt;30,1,0))</formula>
    </cfRule>
    <cfRule type="expression" priority="354" dxfId="0">
      <formula>AND(IF($Q31=3,1,IF($Q31=4,1,0)),IF($F31&lt;=85,1,0))</formula>
    </cfRule>
  </conditionalFormatting>
  <conditionalFormatting sqref="X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AI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V32">
    <cfRule type="expression" priority="341" dxfId="23">
      <formula>AV32="X"</formula>
    </cfRule>
    <cfRule type="expression" priority="342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">
    <cfRule type="expression" priority="315" dxfId="3">
      <formula>AND(IF(OR($Q33=1,$Q33=2),1,0),IF($X33&lt;=20,1,0))</formula>
    </cfRule>
    <cfRule type="expression" priority="316" dxfId="2">
      <formula>AND(IF($Q33=2,1,0),IF($X33&lt;30,1,0))</formula>
    </cfRule>
    <cfRule type="expression" priority="317" dxfId="1">
      <formula>AND(IF($Q33=3,1,0),IF($X33&lt;30,1,0))</formula>
    </cfRule>
    <cfRule type="expression" priority="318" dxfId="0">
      <formula>AND(IF($Q33=3,1,IF($Q33=4,1,0)),IF($F33&lt;=85,1,0))</formula>
    </cfRule>
  </conditionalFormatting>
  <conditionalFormatting sqref="X33">
    <cfRule type="expression" priority="311" dxfId="3">
      <formula>AND(IF(OR($Q33=1,$Q33=2),1,0),IF($X33&lt;=20,1,0))</formula>
    </cfRule>
    <cfRule type="expression" priority="312" dxfId="2">
      <formula>AND(IF($Q33=2,1,0),IF($X33&lt;30,1,0))</formula>
    </cfRule>
    <cfRule type="expression" priority="313" dxfId="1">
      <formula>AND(IF($Q33=3,1,0),IF($X33&lt;30,1,0))</formula>
    </cfRule>
    <cfRule type="expression" priority="314" dxfId="0">
      <formula>AND(IF($Q33=3,1,IF($Q33=4,1,0)),IF($F33&lt;=85,1,0))</formula>
    </cfRule>
  </conditionalFormatting>
  <conditionalFormatting sqref="AI33">
    <cfRule type="expression" priority="307" dxfId="3">
      <formula>AND(IF(OR($Q33=1,$Q33=2),1,0),IF($X33&lt;=20,1,0))</formula>
    </cfRule>
    <cfRule type="expression" priority="308" dxfId="2">
      <formula>AND(IF($Q33=2,1,0),IF($X33&lt;30,1,0))</formula>
    </cfRule>
    <cfRule type="expression" priority="309" dxfId="1">
      <formula>AND(IF($Q33=3,1,0),IF($X33&lt;30,1,0))</formula>
    </cfRule>
    <cfRule type="expression" priority="310" dxfId="0">
      <formula>AND(IF($Q33=3,1,IF($Q33=4,1,0)),IF($F33&lt;=85,1,0))</formula>
    </cfRule>
  </conditionalFormatting>
  <conditionalFormatting sqref="AV34">
    <cfRule type="expression" priority="305" dxfId="23">
      <formula>AV34="X"</formula>
    </cfRule>
    <cfRule type="expression" priority="306" dxfId="22">
      <formula>AV34="후보"</formula>
    </cfRule>
  </conditionalFormatting>
  <conditionalFormatting sqref="AC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4">
    <cfRule type="expression" priority="297" dxfId="3">
      <formula>AND(IF(OR($Q34=1,$Q34=2),1,0),IF($X34&lt;=20,1,0))</formula>
    </cfRule>
    <cfRule type="expression" priority="298" dxfId="2">
      <formula>AND(IF($Q34=2,1,0),IF($X34&lt;30,1,0))</formula>
    </cfRule>
    <cfRule type="expression" priority="299" dxfId="1">
      <formula>AND(IF($Q34=3,1,0),IF($X34&lt;30,1,0))</formula>
    </cfRule>
    <cfRule type="expression" priority="300" dxfId="0">
      <formula>AND(IF($Q34=3,1,IF($Q34=4,1,0)),IF($F34&lt;=85,1,0))</formula>
    </cfRule>
  </conditionalFormatting>
  <conditionalFormatting sqref="X34">
    <cfRule type="expression" priority="293" dxfId="3">
      <formula>AND(IF(OR($Q34=1,$Q34=2),1,0),IF($X34&lt;=20,1,0))</formula>
    </cfRule>
    <cfRule type="expression" priority="294" dxfId="2">
      <formula>AND(IF($Q34=2,1,0),IF($X34&lt;30,1,0))</formula>
    </cfRule>
    <cfRule type="expression" priority="295" dxfId="1">
      <formula>AND(IF($Q34=3,1,0),IF($X34&lt;30,1,0))</formula>
    </cfRule>
    <cfRule type="expression" priority="296" dxfId="0">
      <formula>AND(IF($Q34=3,1,IF($Q34=4,1,0)),IF($F34&lt;=85,1,0))</formula>
    </cfRule>
  </conditionalFormatting>
  <conditionalFormatting sqref="AI34">
    <cfRule type="expression" priority="289" dxfId="3">
      <formula>AND(IF(OR($Q34=1,$Q34=2),1,0),IF($X34&lt;=20,1,0))</formula>
    </cfRule>
    <cfRule type="expression" priority="290" dxfId="2">
      <formula>AND(IF($Q34=2,1,0),IF($X34&lt;30,1,0))</formula>
    </cfRule>
    <cfRule type="expression" priority="291" dxfId="1">
      <formula>AND(IF($Q34=3,1,0),IF($X34&lt;30,1,0))</formula>
    </cfRule>
    <cfRule type="expression" priority="292" dxfId="0">
      <formula>AND(IF($Q34=3,1,IF($Q34=4,1,0)),IF($F34&lt;=85,1,0))</formula>
    </cfRule>
  </conditionalFormatting>
  <conditionalFormatting sqref="AV35">
    <cfRule type="expression" priority="287" dxfId="23">
      <formula>AV35="X"</formula>
    </cfRule>
    <cfRule type="expression" priority="288" dxfId="22">
      <formula>AV35="후보"</formula>
    </cfRule>
  </conditionalFormatting>
  <conditionalFormatting sqref="AC3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5">
    <cfRule type="expression" priority="279" dxfId="3">
      <formula>AND(IF(OR($Q35=1,$Q35=2),1,0),IF($X35&lt;=20,1,0))</formula>
    </cfRule>
    <cfRule type="expression" priority="280" dxfId="2">
      <formula>AND(IF($Q35=2,1,0),IF($X35&lt;30,1,0))</formula>
    </cfRule>
    <cfRule type="expression" priority="281" dxfId="1">
      <formula>AND(IF($Q35=3,1,0),IF($X35&lt;30,1,0))</formula>
    </cfRule>
    <cfRule type="expression" priority="282" dxfId="0">
      <formula>AND(IF($Q35=3,1,IF($Q35=4,1,0)),IF($F35&lt;=85,1,0))</formula>
    </cfRule>
  </conditionalFormatting>
  <conditionalFormatting sqref="X35">
    <cfRule type="expression" priority="275" dxfId="3">
      <formula>AND(IF(OR($Q35=1,$Q35=2),1,0),IF($X35&lt;=20,1,0))</formula>
    </cfRule>
    <cfRule type="expression" priority="276" dxfId="2">
      <formula>AND(IF($Q35=2,1,0),IF($X35&lt;30,1,0))</formula>
    </cfRule>
    <cfRule type="expression" priority="277" dxfId="1">
      <formula>AND(IF($Q35=3,1,0),IF($X35&lt;30,1,0))</formula>
    </cfRule>
    <cfRule type="expression" priority="278" dxfId="0">
      <formula>AND(IF($Q35=3,1,IF($Q35=4,1,0)),IF($F35&lt;=85,1,0))</formula>
    </cfRule>
  </conditionalFormatting>
  <conditionalFormatting sqref="AI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AV36">
    <cfRule type="expression" priority="269" dxfId="23">
      <formula>AV36="X"</formula>
    </cfRule>
    <cfRule type="expression" priority="270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X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I37">
    <cfRule type="expression" priority="235" dxfId="3">
      <formula>AND(IF(OR($Q37=1,$Q37=2),1,0),IF($X37&lt;=20,1,0))</formula>
    </cfRule>
    <cfRule type="expression" priority="236" dxfId="2">
      <formula>AND(IF($Q37=2,1,0),IF($X37&lt;30,1,0))</formula>
    </cfRule>
    <cfRule type="expression" priority="237" dxfId="1">
      <formula>AND(IF($Q37=3,1,0),IF($X37&lt;30,1,0))</formula>
    </cfRule>
    <cfRule type="expression" priority="238" dxfId="0">
      <formula>AND(IF($Q37=3,1,IF($Q37=4,1,0)),IF($F37&lt;=85,1,0))</formula>
    </cfRule>
  </conditionalFormatting>
  <conditionalFormatting sqref="AV38">
    <cfRule type="expression" priority="233" dxfId="23">
      <formula>AV38="X"</formula>
    </cfRule>
    <cfRule type="expression" priority="234" dxfId="22">
      <formula>AV38="후보"</formula>
    </cfRule>
  </conditionalFormatting>
  <conditionalFormatting sqref="AC3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8">
    <cfRule type="expression" priority="225" dxfId="3">
      <formula>AND(IF(OR($Q38=1,$Q38=2),1,0),IF($X38&lt;=20,1,0))</formula>
    </cfRule>
    <cfRule type="expression" priority="226" dxfId="2">
      <formula>AND(IF($Q38=2,1,0),IF($X38&lt;30,1,0))</formula>
    </cfRule>
    <cfRule type="expression" priority="227" dxfId="1">
      <formula>AND(IF($Q38=3,1,0),IF($X38&lt;30,1,0))</formula>
    </cfRule>
    <cfRule type="expression" priority="228" dxfId="0">
      <formula>AND(IF($Q38=3,1,IF($Q38=4,1,0)),IF($F38&lt;=85,1,0))</formula>
    </cfRule>
  </conditionalFormatting>
  <conditionalFormatting sqref="X38">
    <cfRule type="expression" priority="221" dxfId="3">
      <formula>AND(IF(OR($Q38=1,$Q38=2),1,0),IF($X38&lt;=20,1,0))</formula>
    </cfRule>
    <cfRule type="expression" priority="222" dxfId="2">
      <formula>AND(IF($Q38=2,1,0),IF($X38&lt;30,1,0))</formula>
    </cfRule>
    <cfRule type="expression" priority="223" dxfId="1">
      <formula>AND(IF($Q38=3,1,0),IF($X38&lt;30,1,0))</formula>
    </cfRule>
    <cfRule type="expression" priority="224" dxfId="0">
      <formula>AND(IF($Q38=3,1,IF($Q38=4,1,0)),IF($F38&lt;=85,1,0))</formula>
    </cfRule>
  </conditionalFormatting>
  <conditionalFormatting sqref="AI38">
    <cfRule type="expression" priority="217" dxfId="3">
      <formula>AND(IF(OR($Q38=1,$Q38=2),1,0),IF($X38&lt;=20,1,0))</formula>
    </cfRule>
    <cfRule type="expression" priority="218" dxfId="2">
      <formula>AND(IF($Q38=2,1,0),IF($X38&lt;30,1,0))</formula>
    </cfRule>
    <cfRule type="expression" priority="219" dxfId="1">
      <formula>AND(IF($Q38=3,1,0),IF($X38&lt;30,1,0))</formula>
    </cfRule>
    <cfRule type="expression" priority="220" dxfId="0">
      <formula>AND(IF($Q38=3,1,IF($Q38=4,1,0)),IF($F38&lt;=85,1,0))</formula>
    </cfRule>
  </conditionalFormatting>
  <conditionalFormatting sqref="AV39">
    <cfRule type="expression" priority="215" dxfId="23">
      <formula>AV39="X"</formula>
    </cfRule>
    <cfRule type="expression" priority="216" dxfId="22">
      <formula>AV39="후보"</formula>
    </cfRule>
  </conditionalFormatting>
  <conditionalFormatting sqref="AC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">
    <cfRule type="expression" priority="207" dxfId="3">
      <formula>AND(IF(OR($Q39=1,$Q39=2),1,0),IF($X39&lt;=20,1,0))</formula>
    </cfRule>
    <cfRule type="expression" priority="208" dxfId="2">
      <formula>AND(IF($Q39=2,1,0),IF($X39&lt;30,1,0))</formula>
    </cfRule>
    <cfRule type="expression" priority="209" dxfId="1">
      <formula>AND(IF($Q39=3,1,0),IF($X39&lt;30,1,0))</formula>
    </cfRule>
    <cfRule type="expression" priority="210" dxfId="0">
      <formula>AND(IF($Q39=3,1,IF($Q39=4,1,0)),IF($F39&lt;=85,1,0))</formula>
    </cfRule>
  </conditionalFormatting>
  <conditionalFormatting sqref="X39">
    <cfRule type="expression" priority="203" dxfId="3">
      <formula>AND(IF(OR($Q39=1,$Q39=2),1,0),IF($X39&lt;=20,1,0))</formula>
    </cfRule>
    <cfRule type="expression" priority="204" dxfId="2">
      <formula>AND(IF($Q39=2,1,0),IF($X39&lt;30,1,0))</formula>
    </cfRule>
    <cfRule type="expression" priority="205" dxfId="1">
      <formula>AND(IF($Q39=3,1,0),IF($X39&lt;30,1,0))</formula>
    </cfRule>
    <cfRule type="expression" priority="206" dxfId="0">
      <formula>AND(IF($Q39=3,1,IF($Q39=4,1,0)),IF($F39&lt;=85,1,0))</formula>
    </cfRule>
  </conditionalFormatting>
  <conditionalFormatting sqref="AI39">
    <cfRule type="expression" priority="199" dxfId="3">
      <formula>AND(IF(OR($Q39=1,$Q39=2),1,0),IF($X39&lt;=20,1,0))</formula>
    </cfRule>
    <cfRule type="expression" priority="200" dxfId="2">
      <formula>AND(IF($Q39=2,1,0),IF($X39&lt;30,1,0))</formula>
    </cfRule>
    <cfRule type="expression" priority="201" dxfId="1">
      <formula>AND(IF($Q39=3,1,0),IF($X39&lt;30,1,0))</formula>
    </cfRule>
    <cfRule type="expression" priority="202" dxfId="0">
      <formula>AND(IF($Q39=3,1,IF($Q39=4,1,0)),IF($F39&lt;=85,1,0))</formula>
    </cfRule>
  </conditionalFormatting>
  <conditionalFormatting sqref="AV40">
    <cfRule type="expression" priority="197" dxfId="23">
      <formula>AV40="X"</formula>
    </cfRule>
    <cfRule type="expression" priority="198" dxfId="22">
      <formula>AV40="후보"</formula>
    </cfRule>
  </conditionalFormatting>
  <conditionalFormatting sqref="AC4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0">
    <cfRule type="expression" priority="189" dxfId="3">
      <formula>AND(IF(OR($Q40=1,$Q40=2),1,0),IF($X40&lt;=20,1,0))</formula>
    </cfRule>
    <cfRule type="expression" priority="190" dxfId="2">
      <formula>AND(IF($Q40=2,1,0),IF($X40&lt;30,1,0))</formula>
    </cfRule>
    <cfRule type="expression" priority="191" dxfId="1">
      <formula>AND(IF($Q40=3,1,0),IF($X40&lt;30,1,0))</formula>
    </cfRule>
    <cfRule type="expression" priority="192" dxfId="0">
      <formula>AND(IF($Q40=3,1,IF($Q40=4,1,0)),IF($F40&lt;=85,1,0))</formula>
    </cfRule>
  </conditionalFormatting>
  <conditionalFormatting sqref="X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AI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V41">
    <cfRule type="expression" priority="179" dxfId="23">
      <formula>AV41="X"</formula>
    </cfRule>
    <cfRule type="expression" priority="180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2">
    <cfRule type="expression" priority="153" dxfId="3">
      <formula>AND(IF(OR($Q42=1,$Q42=2),1,0),IF($X42&lt;=20,1,0))</formula>
    </cfRule>
    <cfRule type="expression" priority="154" dxfId="2">
      <formula>AND(IF($Q42=2,1,0),IF($X42&lt;30,1,0))</formula>
    </cfRule>
    <cfRule type="expression" priority="155" dxfId="1">
      <formula>AND(IF($Q42=3,1,0),IF($X42&lt;30,1,0))</formula>
    </cfRule>
    <cfRule type="expression" priority="156" dxfId="0">
      <formula>AND(IF($Q42=3,1,IF($Q42=4,1,0)),IF($F42&lt;=85,1,0))</formula>
    </cfRule>
  </conditionalFormatting>
  <conditionalFormatting sqref="X42">
    <cfRule type="expression" priority="149" dxfId="3">
      <formula>AND(IF(OR($Q42=1,$Q42=2),1,0),IF($X42&lt;=20,1,0))</formula>
    </cfRule>
    <cfRule type="expression" priority="150" dxfId="2">
      <formula>AND(IF($Q42=2,1,0),IF($X42&lt;30,1,0))</formula>
    </cfRule>
    <cfRule type="expression" priority="151" dxfId="1">
      <formula>AND(IF($Q42=3,1,0),IF($X42&lt;30,1,0))</formula>
    </cfRule>
    <cfRule type="expression" priority="152" dxfId="0">
      <formula>AND(IF($Q42=3,1,IF($Q42=4,1,0)),IF($F42&lt;=85,1,0))</formula>
    </cfRule>
  </conditionalFormatting>
  <conditionalFormatting sqref="AI42">
    <cfRule type="expression" priority="145" dxfId="3">
      <formula>AND(IF(OR($Q42=1,$Q42=2),1,0),IF($X42&lt;=20,1,0))</formula>
    </cfRule>
    <cfRule type="expression" priority="146" dxfId="2">
      <formula>AND(IF($Q42=2,1,0),IF($X42&lt;30,1,0))</formula>
    </cfRule>
    <cfRule type="expression" priority="147" dxfId="1">
      <formula>AND(IF($Q42=3,1,0),IF($X42&lt;30,1,0))</formula>
    </cfRule>
    <cfRule type="expression" priority="148" dxfId="0">
      <formula>AND(IF($Q42=3,1,IF($Q42=4,1,0)),IF($F42&lt;=85,1,0))</formula>
    </cfRule>
  </conditionalFormatting>
  <conditionalFormatting sqref="AV43">
    <cfRule type="expression" priority="143" dxfId="23">
      <formula>AV43="X"</formula>
    </cfRule>
    <cfRule type="expression" priority="144" dxfId="22">
      <formula>AV43="후보"</formula>
    </cfRule>
  </conditionalFormatting>
  <conditionalFormatting sqref="AC4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3">
    <cfRule type="expression" priority="135" dxfId="3">
      <formula>AND(IF(OR($Q43=1,$Q43=2),1,0),IF($X43&lt;=20,1,0))</formula>
    </cfRule>
    <cfRule type="expression" priority="136" dxfId="2">
      <formula>AND(IF($Q43=2,1,0),IF($X43&lt;30,1,0))</formula>
    </cfRule>
    <cfRule type="expression" priority="137" dxfId="1">
      <formula>AND(IF($Q43=3,1,0),IF($X43&lt;30,1,0))</formula>
    </cfRule>
    <cfRule type="expression" priority="138" dxfId="0">
      <formula>AND(IF($Q43=3,1,IF($Q43=4,1,0)),IF($F43&lt;=85,1,0))</formula>
    </cfRule>
  </conditionalFormatting>
  <conditionalFormatting sqref="X43">
    <cfRule type="expression" priority="131" dxfId="3">
      <formula>AND(IF(OR($Q43=1,$Q43=2),1,0),IF($X43&lt;=20,1,0))</formula>
    </cfRule>
    <cfRule type="expression" priority="132" dxfId="2">
      <formula>AND(IF($Q43=2,1,0),IF($X43&lt;30,1,0))</formula>
    </cfRule>
    <cfRule type="expression" priority="133" dxfId="1">
      <formula>AND(IF($Q43=3,1,0),IF($X43&lt;30,1,0))</formula>
    </cfRule>
    <cfRule type="expression" priority="134" dxfId="0">
      <formula>AND(IF($Q43=3,1,IF($Q43=4,1,0)),IF($F43&lt;=85,1,0))</formula>
    </cfRule>
  </conditionalFormatting>
  <conditionalFormatting sqref="AI43">
    <cfRule type="expression" priority="127" dxfId="3">
      <formula>AND(IF(OR($Q43=1,$Q43=2),1,0),IF($X43&lt;=20,1,0))</formula>
    </cfRule>
    <cfRule type="expression" priority="128" dxfId="2">
      <formula>AND(IF($Q43=2,1,0),IF($X43&lt;30,1,0))</formula>
    </cfRule>
    <cfRule type="expression" priority="129" dxfId="1">
      <formula>AND(IF($Q43=3,1,0),IF($X43&lt;30,1,0))</formula>
    </cfRule>
    <cfRule type="expression" priority="130" dxfId="0">
      <formula>AND(IF($Q43=3,1,IF($Q43=4,1,0)),IF($F43&lt;=85,1,0))</formula>
    </cfRule>
  </conditionalFormatting>
  <conditionalFormatting sqref="AV44">
    <cfRule type="expression" priority="125" dxfId="23">
      <formula>AV44="X"</formula>
    </cfRule>
    <cfRule type="expression" priority="126" dxfId="22">
      <formula>AV44="후보"</formula>
    </cfRule>
  </conditionalFormatting>
  <conditionalFormatting sqref="AC4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">
    <cfRule type="expression" priority="117" dxfId="3">
      <formula>AND(IF(OR($Q44=1,$Q44=2),1,0),IF($X44&lt;=20,1,0))</formula>
    </cfRule>
    <cfRule type="expression" priority="118" dxfId="2">
      <formula>AND(IF($Q44=2,1,0),IF($X44&lt;30,1,0))</formula>
    </cfRule>
    <cfRule type="expression" priority="119" dxfId="1">
      <formula>AND(IF($Q44=3,1,0),IF($X44&lt;30,1,0))</formula>
    </cfRule>
    <cfRule type="expression" priority="120" dxfId="0">
      <formula>AND(IF($Q44=3,1,IF($Q44=4,1,0)),IF($F44&lt;=85,1,0))</formula>
    </cfRule>
  </conditionalFormatting>
  <conditionalFormatting sqref="X44">
    <cfRule type="expression" priority="113" dxfId="3">
      <formula>AND(IF(OR($Q44=1,$Q44=2),1,0),IF($X44&lt;=20,1,0))</formula>
    </cfRule>
    <cfRule type="expression" priority="114" dxfId="2">
      <formula>AND(IF($Q44=2,1,0),IF($X44&lt;30,1,0))</formula>
    </cfRule>
    <cfRule type="expression" priority="115" dxfId="1">
      <formula>AND(IF($Q44=3,1,0),IF($X44&lt;30,1,0))</formula>
    </cfRule>
    <cfRule type="expression" priority="116" dxfId="0">
      <formula>AND(IF($Q44=3,1,IF($Q44=4,1,0)),IF($F44&lt;=85,1,0))</formula>
    </cfRule>
  </conditionalFormatting>
  <conditionalFormatting sqref="AI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AV45">
    <cfRule type="expression" priority="107" dxfId="23">
      <formula>AV45="X"</formula>
    </cfRule>
    <cfRule type="expression" priority="108" dxfId="22">
      <formula>AV45="후보"</formula>
    </cfRule>
  </conditionalFormatting>
  <conditionalFormatting sqref="AC4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5">
    <cfRule type="expression" priority="99" dxfId="3">
      <formula>AND(IF(OR($Q45=1,$Q45=2),1,0),IF($X45&lt;=20,1,0))</formula>
    </cfRule>
    <cfRule type="expression" priority="100" dxfId="2">
      <formula>AND(IF($Q45=2,1,0),IF($X45&lt;30,1,0))</formula>
    </cfRule>
    <cfRule type="expression" priority="101" dxfId="1">
      <formula>AND(IF($Q45=3,1,0),IF($X45&lt;30,1,0))</formula>
    </cfRule>
    <cfRule type="expression" priority="102" dxfId="0">
      <formula>AND(IF($Q45=3,1,IF($Q45=4,1,0)),IF($F45&lt;=85,1,0))</formula>
    </cfRule>
  </conditionalFormatting>
  <conditionalFormatting sqref="X45">
    <cfRule type="expression" priority="95" dxfId="3">
      <formula>AND(IF(OR($Q45=1,$Q45=2),1,0),IF($X45&lt;=20,1,0))</formula>
    </cfRule>
    <cfRule type="expression" priority="96" dxfId="2">
      <formula>AND(IF($Q45=2,1,0),IF($X45&lt;30,1,0))</formula>
    </cfRule>
    <cfRule type="expression" priority="97" dxfId="1">
      <formula>AND(IF($Q45=3,1,0),IF($X45&lt;30,1,0))</formula>
    </cfRule>
    <cfRule type="expression" priority="98" dxfId="0">
      <formula>AND(IF($Q45=3,1,IF($Q45=4,1,0)),IF($F45&lt;=85,1,0))</formula>
    </cfRule>
  </conditionalFormatting>
  <conditionalFormatting sqref="AI45">
    <cfRule type="expression" priority="91" dxfId="3">
      <formula>AND(IF(OR($Q45=1,$Q45=2),1,0),IF($X45&lt;=20,1,0))</formula>
    </cfRule>
    <cfRule type="expression" priority="92" dxfId="2">
      <formula>AND(IF($Q45=2,1,0),IF($X45&lt;30,1,0))</formula>
    </cfRule>
    <cfRule type="expression" priority="93" dxfId="1">
      <formula>AND(IF($Q45=3,1,0),IF($X45&lt;30,1,0))</formula>
    </cfRule>
    <cfRule type="expression" priority="94" dxfId="0">
      <formula>AND(IF($Q45=3,1,IF($Q45=4,1,0)),IF($F45&lt;=85,1,0))</formula>
    </cfRule>
  </conditionalFormatting>
  <conditionalFormatting sqref="AV46">
    <cfRule type="expression" priority="89" dxfId="23">
      <formula>AV46="X"</formula>
    </cfRule>
    <cfRule type="expression" priority="90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X47">
    <cfRule type="expression" priority="59" dxfId="3">
      <formula>AND(IF(OR($Q47=1,$Q47=2),1,0),IF($X47&lt;=20,1,0))</formula>
    </cfRule>
    <cfRule type="expression" priority="60" dxfId="2">
      <formula>AND(IF($Q47=2,1,0),IF($X47&lt;30,1,0))</formula>
    </cfRule>
    <cfRule type="expression" priority="61" dxfId="1">
      <formula>AND(IF($Q47=3,1,0),IF($X47&lt;30,1,0))</formula>
    </cfRule>
    <cfRule type="expression" priority="62" dxfId="0">
      <formula>AND(IF($Q47=3,1,IF($Q47=4,1,0)),IF($F47&lt;=85,1,0))</formula>
    </cfRule>
  </conditionalFormatting>
  <conditionalFormatting sqref="AI47">
    <cfRule type="expression" priority="55" dxfId="3">
      <formula>AND(IF(OR($Q47=1,$Q47=2),1,0),IF($X47&lt;=20,1,0))</formula>
    </cfRule>
    <cfRule type="expression" priority="56" dxfId="2">
      <formula>AND(IF($Q47=2,1,0),IF($X47&lt;30,1,0))</formula>
    </cfRule>
    <cfRule type="expression" priority="57" dxfId="1">
      <formula>AND(IF($Q47=3,1,0),IF($X47&lt;30,1,0))</formula>
    </cfRule>
    <cfRule type="expression" priority="58" dxfId="0">
      <formula>AND(IF($Q47=3,1,IF($Q47=4,1,0)),IF($F47&lt;=85,1,0))</formula>
    </cfRule>
  </conditionalFormatting>
  <conditionalFormatting sqref="AV48">
    <cfRule type="expression" priority="53" dxfId="23">
      <formula>AV48="X"</formula>
    </cfRule>
    <cfRule type="expression" priority="54" dxfId="22">
      <formula>AV48="후보"</formula>
    </cfRule>
  </conditionalFormatting>
  <conditionalFormatting sqref="AC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">
    <cfRule type="expression" priority="45" dxfId="3">
      <formula>AND(IF(OR($Q48=1,$Q48=2),1,0),IF($X48&lt;=20,1,0))</formula>
    </cfRule>
    <cfRule type="expression" priority="46" dxfId="2">
      <formula>AND(IF($Q48=2,1,0),IF($X48&lt;30,1,0))</formula>
    </cfRule>
    <cfRule type="expression" priority="47" dxfId="1">
      <formula>AND(IF($Q48=3,1,0),IF($X48&lt;30,1,0))</formula>
    </cfRule>
    <cfRule type="expression" priority="48" dxfId="0">
      <formula>AND(IF($Q48=3,1,IF($Q48=4,1,0)),IF($F48&lt;=85,1,0))</formula>
    </cfRule>
  </conditionalFormatting>
  <conditionalFormatting sqref="X48">
    <cfRule type="expression" priority="41" dxfId="3">
      <formula>AND(IF(OR($Q48=1,$Q48=2),1,0),IF($X48&lt;=20,1,0))</formula>
    </cfRule>
    <cfRule type="expression" priority="42" dxfId="2">
      <formula>AND(IF($Q48=2,1,0),IF($X48&lt;30,1,0))</formula>
    </cfRule>
    <cfRule type="expression" priority="43" dxfId="1">
      <formula>AND(IF($Q48=3,1,0),IF($X48&lt;30,1,0))</formula>
    </cfRule>
    <cfRule type="expression" priority="44" dxfId="0">
      <formula>AND(IF($Q48=3,1,IF($Q48=4,1,0)),IF($F48&lt;=85,1,0))</formula>
    </cfRule>
  </conditionalFormatting>
  <conditionalFormatting sqref="AI48">
    <cfRule type="expression" priority="37" dxfId="3">
      <formula>AND(IF(OR($Q48=1,$Q48=2),1,0),IF($X48&lt;=20,1,0))</formula>
    </cfRule>
    <cfRule type="expression" priority="38" dxfId="2">
      <formula>AND(IF($Q48=2,1,0),IF($X48&lt;30,1,0))</formula>
    </cfRule>
    <cfRule type="expression" priority="39" dxfId="1">
      <formula>AND(IF($Q48=3,1,0),IF($X48&lt;30,1,0))</formula>
    </cfRule>
    <cfRule type="expression" priority="40" dxfId="0">
      <formula>AND(IF($Q48=3,1,IF($Q48=4,1,0)),IF($F48&lt;=85,1,0))</formula>
    </cfRule>
  </conditionalFormatting>
  <conditionalFormatting sqref="AV49">
    <cfRule type="expression" priority="35" dxfId="23">
      <formula>AV49="X"</formula>
    </cfRule>
    <cfRule type="expression" priority="36" dxfId="22">
      <formula>AV49="후보"</formula>
    </cfRule>
  </conditionalFormatting>
  <conditionalFormatting sqref="AC4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9">
    <cfRule type="expression" priority="27" dxfId="3">
      <formula>AND(IF(OR($Q49=1,$Q49=2),1,0),IF($X49&lt;=20,1,0))</formula>
    </cfRule>
    <cfRule type="expression" priority="28" dxfId="2">
      <formula>AND(IF($Q49=2,1,0),IF($X49&lt;30,1,0))</formula>
    </cfRule>
    <cfRule type="expression" priority="29" dxfId="1">
      <formula>AND(IF($Q49=3,1,0),IF($X49&lt;30,1,0))</formula>
    </cfRule>
    <cfRule type="expression" priority="30" dxfId="0">
      <formula>AND(IF($Q49=3,1,IF($Q49=4,1,0)),IF($F49&lt;=85,1,0))</formula>
    </cfRule>
  </conditionalFormatting>
  <conditionalFormatting sqref="X49">
    <cfRule type="expression" priority="23" dxfId="3">
      <formula>AND(IF(OR($Q49=1,$Q49=2),1,0),IF($X49&lt;=20,1,0))</formula>
    </cfRule>
    <cfRule type="expression" priority="24" dxfId="2">
      <formula>AND(IF($Q49=2,1,0),IF($X49&lt;30,1,0))</formula>
    </cfRule>
    <cfRule type="expression" priority="25" dxfId="1">
      <formula>AND(IF($Q49=3,1,0),IF($X49&lt;30,1,0))</formula>
    </cfRule>
    <cfRule type="expression" priority="26" dxfId="0">
      <formula>AND(IF($Q49=3,1,IF($Q49=4,1,0)),IF($F49&lt;=85,1,0))</formula>
    </cfRule>
  </conditionalFormatting>
  <conditionalFormatting sqref="AI49">
    <cfRule type="expression" priority="19" dxfId="3">
      <formula>AND(IF(OR($Q49=1,$Q49=2),1,0),IF($X49&lt;=20,1,0))</formula>
    </cfRule>
    <cfRule type="expression" priority="20" dxfId="2">
      <formula>AND(IF($Q49=2,1,0),IF($X49&lt;30,1,0))</formula>
    </cfRule>
    <cfRule type="expression" priority="21" dxfId="1">
      <formula>AND(IF($Q49=3,1,0),IF($X49&lt;30,1,0))</formula>
    </cfRule>
    <cfRule type="expression" priority="22" dxfId="0">
      <formula>AND(IF($Q49=3,1,IF($Q49=4,1,0)),IF($F49&lt;=85,1,0))</formula>
    </cfRule>
  </conditionalFormatting>
  <conditionalFormatting sqref="AV50">
    <cfRule type="expression" priority="17" dxfId="23">
      <formula>AV50="X"</formula>
    </cfRule>
    <cfRule type="expression" priority="18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6" t="n">
        <v>878</v>
      </c>
      <c r="D4" s="127" t="n">
        <v>167</v>
      </c>
      <c r="E4" s="128" t="n">
        <v>51</v>
      </c>
      <c r="F4" s="127" t="n">
        <v>125.7</v>
      </c>
      <c r="G4" s="17" t="n">
        <v>38</v>
      </c>
      <c r="H4" s="129" t="n">
        <v>112</v>
      </c>
      <c r="I4" s="130" t="n">
        <v>115000</v>
      </c>
      <c r="J4" s="130" t="inlineStr">
        <is>
          <t>17</t>
        </is>
      </c>
      <c r="K4" s="130" t="n">
        <v>52000</v>
      </c>
      <c r="L4" s="130" t="inlineStr">
        <is>
          <t>7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만성동 중흥에스클래스더퍼스트</t>
        </is>
      </c>
      <c r="B5" s="74" t="inlineStr">
        <is>
          <t>18.07.</t>
        </is>
      </c>
      <c r="C5" s="126" t="n">
        <v>615</v>
      </c>
      <c r="D5" s="127" t="n">
        <v>152.2</v>
      </c>
      <c r="E5" s="128" t="n">
        <v>46</v>
      </c>
      <c r="F5" s="127" t="n">
        <v>124.2</v>
      </c>
      <c r="G5" s="17" t="n">
        <v>38</v>
      </c>
      <c r="H5" s="129" t="n">
        <v>114</v>
      </c>
      <c r="I5" s="130" t="n">
        <v>110000</v>
      </c>
      <c r="J5" s="130" t="inlineStr">
        <is>
          <t>10</t>
        </is>
      </c>
      <c r="K5" s="130" t="n">
        <v>57000</v>
      </c>
      <c r="L5" s="130" t="inlineStr">
        <is>
          <t>19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152</v>
      </c>
      <c r="U5" s="9" t="n"/>
    </row>
    <row r="6" ht="12" customFormat="1" customHeight="1" s="37">
      <c r="A6" s="73" t="inlineStr">
        <is>
          <t>송천동2가 에코시티더샵3차</t>
        </is>
      </c>
      <c r="B6" s="74" t="inlineStr">
        <is>
          <t>19.03.</t>
        </is>
      </c>
      <c r="C6" s="126" t="n">
        <v>644</v>
      </c>
      <c r="D6" s="127" t="n">
        <v>155.2</v>
      </c>
      <c r="E6" s="128" t="n">
        <v>47</v>
      </c>
      <c r="F6" s="127" t="n">
        <v>117.7</v>
      </c>
      <c r="G6" s="17" t="n">
        <v>36</v>
      </c>
      <c r="H6" s="129" t="n">
        <v>110</v>
      </c>
      <c r="I6" s="130" t="n">
        <v>110000</v>
      </c>
      <c r="J6" s="130" t="inlineStr">
        <is>
          <t>24</t>
        </is>
      </c>
      <c r="K6" s="130" t="n">
        <v>70000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155A</t>
        </is>
      </c>
      <c r="U6" s="9" t="n"/>
    </row>
    <row r="7" ht="12" customFormat="1" customHeight="1" s="37">
      <c r="A7" s="73" t="inlineStr">
        <is>
          <t>송천동2가 에코시티더샵2차</t>
        </is>
      </c>
      <c r="B7" s="74" t="inlineStr">
        <is>
          <t>18.01.</t>
        </is>
      </c>
      <c r="C7" s="126" t="n">
        <v>702</v>
      </c>
      <c r="D7" s="127" t="n">
        <v>151.7</v>
      </c>
      <c r="E7" s="128" t="n">
        <v>46</v>
      </c>
      <c r="F7" s="127" t="n">
        <v>117.9</v>
      </c>
      <c r="G7" s="17" t="n">
        <v>36</v>
      </c>
      <c r="H7" s="129" t="n">
        <v>54</v>
      </c>
      <c r="I7" s="130" t="n">
        <v>105000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151D</t>
        </is>
      </c>
      <c r="U7" s="9" t="n"/>
    </row>
    <row r="8" ht="12" customFormat="1" customHeight="1" s="37">
      <c r="A8" s="73" t="inlineStr">
        <is>
          <t>송천동2가 에코시티자이2차</t>
        </is>
      </c>
      <c r="B8" s="74" t="inlineStr">
        <is>
          <t>18.10.</t>
        </is>
      </c>
      <c r="C8" s="126" t="n">
        <v>490</v>
      </c>
      <c r="D8" s="127" t="n">
        <v>155</v>
      </c>
      <c r="E8" s="128" t="n">
        <v>47</v>
      </c>
      <c r="F8" s="127" t="n">
        <v>118.9</v>
      </c>
      <c r="G8" s="17" t="n">
        <v>36</v>
      </c>
      <c r="H8" s="129" t="n">
        <v>56</v>
      </c>
      <c r="I8" s="130" t="n">
        <v>100000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154</v>
      </c>
      <c r="U8" s="9" t="n"/>
    </row>
    <row r="9" ht="12" customFormat="1" customHeight="1" s="37">
      <c r="A9" s="73" t="inlineStr">
        <is>
          <t>중동 전북혁신호반건설더클래스2</t>
        </is>
      </c>
      <c r="B9" s="74" t="inlineStr">
        <is>
          <t>14.10.</t>
        </is>
      </c>
      <c r="C9" s="126" t="n">
        <v>455</v>
      </c>
      <c r="D9" s="127" t="n">
        <v>146.6</v>
      </c>
      <c r="E9" s="128" t="n">
        <v>44</v>
      </c>
      <c r="F9" s="127" t="n">
        <v>118.2</v>
      </c>
      <c r="G9" s="17" t="n">
        <v>36</v>
      </c>
      <c r="H9" s="129" t="n">
        <v>87</v>
      </c>
      <c r="I9" s="130" t="n">
        <v>100000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146</v>
      </c>
      <c r="U9" s="9" t="n"/>
    </row>
    <row r="10" ht="12" customFormat="1" customHeight="1" s="37">
      <c r="A10" s="73" t="inlineStr">
        <is>
          <t>송천동2가 에코시티더샵3차</t>
        </is>
      </c>
      <c r="B10" s="74" t="inlineStr">
        <is>
          <t>19.03.</t>
        </is>
      </c>
      <c r="C10" s="126" t="n">
        <v>644</v>
      </c>
      <c r="D10" s="127" t="n">
        <v>132.2</v>
      </c>
      <c r="E10" s="128" t="n">
        <v>40</v>
      </c>
      <c r="F10" s="127" t="n">
        <v>99.5</v>
      </c>
      <c r="G10" s="17" t="n">
        <v>30</v>
      </c>
      <c r="H10" s="129" t="n">
        <v>110</v>
      </c>
      <c r="I10" s="130" t="n">
        <v>88500</v>
      </c>
      <c r="J10" s="130" t="inlineStr">
        <is>
          <t>고</t>
        </is>
      </c>
      <c r="K10" s="130" t="n">
        <v>56000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132</v>
      </c>
      <c r="U10" s="9" t="n"/>
    </row>
    <row r="11" ht="12" customFormat="1" customHeight="1" s="37">
      <c r="A11" s="73" t="inlineStr">
        <is>
          <t>송천동2가 에코시티더샵2차</t>
        </is>
      </c>
      <c r="B11" s="74" t="inlineStr">
        <is>
          <t>18.01.</t>
        </is>
      </c>
      <c r="C11" s="126" t="n">
        <v>702</v>
      </c>
      <c r="D11" s="127" t="n">
        <v>131.1</v>
      </c>
      <c r="E11" s="128" t="n">
        <v>40</v>
      </c>
      <c r="F11" s="127" t="n">
        <v>101</v>
      </c>
      <c r="G11" s="17" t="n">
        <v>31</v>
      </c>
      <c r="H11" s="129" t="n">
        <v>114</v>
      </c>
      <c r="I11" s="130" t="n">
        <v>88000</v>
      </c>
      <c r="J11" s="130" t="inlineStr">
        <is>
          <t>12</t>
        </is>
      </c>
      <c r="K11" s="130" t="n">
        <v>50000</v>
      </c>
      <c r="L11" s="130" t="inlineStr">
        <is>
          <t>23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131B</t>
        </is>
      </c>
      <c r="U11" s="9" t="n"/>
    </row>
    <row r="12" ht="12" customFormat="1" customHeight="1" s="37">
      <c r="A12" s="73" t="inlineStr">
        <is>
          <t>만성동 중흥에스클래스더퍼스트</t>
        </is>
      </c>
      <c r="B12" s="74" t="inlineStr">
        <is>
          <t>18.07.</t>
        </is>
      </c>
      <c r="C12" s="126" t="n">
        <v>615</v>
      </c>
      <c r="D12" s="127" t="n">
        <v>142.1</v>
      </c>
      <c r="E12" s="128" t="n">
        <v>43</v>
      </c>
      <c r="F12" s="127" t="n">
        <v>115.9</v>
      </c>
      <c r="G12" s="17" t="n">
        <v>35</v>
      </c>
      <c r="H12" s="129" t="n">
        <v>189</v>
      </c>
      <c r="I12" s="130" t="n">
        <v>86000</v>
      </c>
      <c r="J12" s="130" t="inlineStr">
        <is>
          <t>고</t>
        </is>
      </c>
      <c r="K12" s="130" t="n">
        <v>50000</v>
      </c>
      <c r="L12" s="130" t="inlineStr">
        <is>
          <t>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7">
      <c r="A13" s="73" t="inlineStr">
        <is>
          <t>장동 전주혁신중흥에스클래스</t>
        </is>
      </c>
      <c r="B13" s="74" t="inlineStr">
        <is>
          <t>16.10.</t>
        </is>
      </c>
      <c r="C13" s="126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85000</v>
      </c>
      <c r="J13" s="130" t="inlineStr">
        <is>
          <t>6</t>
        </is>
      </c>
      <c r="K13" s="130" t="n">
        <v>60000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</row>
    <row r="14" ht="12" customFormat="1" customHeight="1" s="37">
      <c r="A14" s="73" t="inlineStr">
        <is>
          <t>송천동2가 에코시티데시앙5블럭</t>
        </is>
      </c>
      <c r="B14" s="74" t="inlineStr">
        <is>
          <t>18.01.</t>
        </is>
      </c>
      <c r="C14" s="126" t="n">
        <v>662</v>
      </c>
      <c r="D14" s="127" t="n">
        <v>133</v>
      </c>
      <c r="E14" s="128" t="n">
        <v>40</v>
      </c>
      <c r="F14" s="127" t="n">
        <v>98.7</v>
      </c>
      <c r="G14" s="17" t="n">
        <v>30</v>
      </c>
      <c r="H14" s="129" t="n">
        <v>60</v>
      </c>
      <c r="I14" s="130" t="n">
        <v>84000</v>
      </c>
      <c r="J14" s="130" t="inlineStr">
        <is>
          <t>7</t>
        </is>
      </c>
      <c r="K14" s="130" t="n">
        <v>60000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133</v>
      </c>
      <c r="U14" s="9" t="n"/>
    </row>
    <row r="15" ht="12" customFormat="1" customHeight="1" s="37">
      <c r="A15" s="73" t="inlineStr">
        <is>
          <t>송천동2가 전주3차에코시티휴먼빌</t>
        </is>
      </c>
      <c r="B15" s="74" t="inlineStr">
        <is>
          <t>19.02.</t>
        </is>
      </c>
      <c r="C15" s="126" t="n">
        <v>402</v>
      </c>
      <c r="D15" s="127" t="n">
        <v>145.4</v>
      </c>
      <c r="E15" s="128" t="n">
        <v>44</v>
      </c>
      <c r="F15" s="127" t="n">
        <v>120.2</v>
      </c>
      <c r="G15" s="17" t="n">
        <v>36</v>
      </c>
      <c r="H15" s="129" t="n">
        <v>68</v>
      </c>
      <c r="I15" s="130" t="n">
        <v>83000</v>
      </c>
      <c r="J15" s="130" t="inlineStr">
        <is>
          <t>6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5</v>
      </c>
      <c r="R15" s="117" t="n">
        <v>2</v>
      </c>
      <c r="S15" s="117" t="inlineStr">
        <is>
          <t>계</t>
        </is>
      </c>
      <c r="T15" s="5" t="n">
        <v>145</v>
      </c>
      <c r="U15" s="9" t="n"/>
    </row>
    <row r="16" ht="12" customFormat="1" customHeight="1" s="37">
      <c r="A16" s="73" t="inlineStr">
        <is>
          <t>장동 호반베르디움더센트럴1</t>
        </is>
      </c>
      <c r="B16" s="74" t="inlineStr">
        <is>
          <t>16.06.</t>
        </is>
      </c>
      <c r="C16" s="126" t="n">
        <v>457</v>
      </c>
      <c r="D16" s="127" t="n">
        <v>139.4</v>
      </c>
      <c r="E16" s="128" t="n">
        <v>42</v>
      </c>
      <c r="F16" s="127" t="n">
        <v>111</v>
      </c>
      <c r="G16" s="17" t="n">
        <v>34</v>
      </c>
      <c r="H16" s="129" t="n">
        <v>201</v>
      </c>
      <c r="I16" s="130" t="n">
        <v>81000</v>
      </c>
      <c r="J16" s="130" t="inlineStr">
        <is>
          <t>7</t>
        </is>
      </c>
      <c r="K16" s="130" t="n">
        <v>50000</v>
      </c>
      <c r="L16" s="130" t="inlineStr">
        <is>
          <t>6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139</v>
      </c>
      <c r="U16" s="9" t="n"/>
    </row>
    <row r="17" ht="12" customFormat="1" customHeight="1" s="37">
      <c r="A17" s="73" t="inlineStr">
        <is>
          <t>송천동2가 에코시티데시앙2차(7BL)</t>
        </is>
      </c>
      <c r="B17" s="74" t="inlineStr">
        <is>
          <t>19.01.</t>
        </is>
      </c>
      <c r="C17" s="126" t="n">
        <v>643</v>
      </c>
      <c r="D17" s="127" t="n">
        <v>133.5</v>
      </c>
      <c r="E17" s="128" t="n">
        <v>40</v>
      </c>
      <c r="F17" s="127" t="n">
        <v>98.5</v>
      </c>
      <c r="G17" s="17" t="n">
        <v>30</v>
      </c>
      <c r="H17" s="129" t="n">
        <v>224</v>
      </c>
      <c r="I17" s="130" t="n">
        <v>80000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133A</t>
        </is>
      </c>
      <c r="U17" s="9" t="n"/>
    </row>
    <row r="18" ht="12" customFormat="1" customHeight="1" s="37">
      <c r="A18" s="73" t="inlineStr">
        <is>
          <t>장동 호반베르디움더센트럴2</t>
        </is>
      </c>
      <c r="B18" s="74" t="inlineStr">
        <is>
          <t>16.06.</t>
        </is>
      </c>
      <c r="C18" s="126" t="n">
        <v>634</v>
      </c>
      <c r="D18" s="127" t="n">
        <v>139.2</v>
      </c>
      <c r="E18" s="128" t="n">
        <v>42</v>
      </c>
      <c r="F18" s="127" t="n">
        <v>111</v>
      </c>
      <c r="G18" s="17" t="n">
        <v>34</v>
      </c>
      <c r="H18" s="129" t="n">
        <v>201</v>
      </c>
      <c r="I18" s="130" t="n">
        <v>79000</v>
      </c>
      <c r="J18" s="130" t="inlineStr">
        <is>
          <t>13</t>
        </is>
      </c>
      <c r="K18" s="130" t="n">
        <v>48000</v>
      </c>
      <c r="L18" s="130" t="inlineStr">
        <is>
          <t>16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139</v>
      </c>
      <c r="U18" s="9" t="n"/>
    </row>
    <row r="19" ht="12" customFormat="1" customHeight="1" s="37">
      <c r="A19" s="73" t="inlineStr">
        <is>
          <t>송천동1가 송천아이파크5단지</t>
        </is>
      </c>
      <c r="B19" s="74" t="inlineStr">
        <is>
          <t>09.05.</t>
        </is>
      </c>
      <c r="C19" s="126" t="n">
        <v>478</v>
      </c>
      <c r="D19" s="127" t="n">
        <v>191.6</v>
      </c>
      <c r="E19" s="128" t="n">
        <v>58</v>
      </c>
      <c r="F19" s="127" t="n">
        <v>154</v>
      </c>
      <c r="G19" s="17" t="n">
        <v>47</v>
      </c>
      <c r="H19" s="129" t="n">
        <v>144</v>
      </c>
      <c r="I19" s="130" t="n">
        <v>78000</v>
      </c>
      <c r="J19" s="130" t="inlineStr">
        <is>
          <t>8</t>
        </is>
      </c>
      <c r="K19" s="130" t="n">
        <v>58000</v>
      </c>
      <c r="L19" s="130" t="inlineStr">
        <is>
          <t>7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191</v>
      </c>
      <c r="U19" s="9" t="n"/>
    </row>
    <row r="20" ht="12" customFormat="1" customHeight="1" s="37">
      <c r="A20" s="73" t="inlineStr">
        <is>
          <t>만성동 중흥에스클래스더퍼스트</t>
        </is>
      </c>
      <c r="B20" s="74" t="inlineStr">
        <is>
          <t>18.07.</t>
        </is>
      </c>
      <c r="C20" s="126" t="n">
        <v>615</v>
      </c>
      <c r="D20" s="127" t="n">
        <v>127.6</v>
      </c>
      <c r="E20" s="128" t="n">
        <v>39</v>
      </c>
      <c r="F20" s="127" t="n">
        <v>104.3</v>
      </c>
      <c r="G20" s="17" t="n">
        <v>32</v>
      </c>
      <c r="H20" s="129" t="n">
        <v>312</v>
      </c>
      <c r="I20" s="130" t="n">
        <v>77000</v>
      </c>
      <c r="J20" s="130" t="inlineStr">
        <is>
          <t>5</t>
        </is>
      </c>
      <c r="K20" s="130" t="n">
        <v>50000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127</v>
      </c>
      <c r="U20" s="9" t="n"/>
    </row>
    <row r="21" ht="12" customFormat="1" customHeight="1" s="37">
      <c r="A21" s="73" t="inlineStr">
        <is>
          <t>중동 전북혁신호반건설더클래스2</t>
        </is>
      </c>
      <c r="B21" s="74" t="inlineStr">
        <is>
          <t>14.10.</t>
        </is>
      </c>
      <c r="C21" s="126" t="n">
        <v>455</v>
      </c>
      <c r="D21" s="127" t="n">
        <v>131.7</v>
      </c>
      <c r="E21" s="128" t="n">
        <v>40</v>
      </c>
      <c r="F21" s="127" t="n">
        <v>102</v>
      </c>
      <c r="G21" s="17" t="n">
        <v>31</v>
      </c>
      <c r="H21" s="129" t="n">
        <v>304</v>
      </c>
      <c r="I21" s="130" t="n">
        <v>75000</v>
      </c>
      <c r="J21" s="130" t="inlineStr">
        <is>
          <t>7</t>
        </is>
      </c>
      <c r="K21" s="130" t="n">
        <v>48000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131A</t>
        </is>
      </c>
      <c r="U21" s="9" t="n"/>
    </row>
    <row r="22" ht="12" customFormat="1" customHeight="1" s="37">
      <c r="A22" s="73" t="inlineStr">
        <is>
          <t>장동 전북혁신도시호반베르디움더클래스</t>
        </is>
      </c>
      <c r="B22" s="74" t="inlineStr">
        <is>
          <t>14.06.</t>
        </is>
      </c>
      <c r="C22" s="126" t="n">
        <v>731</v>
      </c>
      <c r="D22" s="127" t="n">
        <v>143.8</v>
      </c>
      <c r="E22" s="128" t="n">
        <v>44</v>
      </c>
      <c r="F22" s="127" t="n">
        <v>118.2</v>
      </c>
      <c r="G22" s="17" t="n">
        <v>36</v>
      </c>
      <c r="H22" s="129" t="n">
        <v>224</v>
      </c>
      <c r="I22" s="130" t="n">
        <v>72000</v>
      </c>
      <c r="J22" s="130" t="inlineStr">
        <is>
          <t>6</t>
        </is>
      </c>
      <c r="K22" s="130" t="n">
        <v>48000</v>
      </c>
      <c r="L22" s="130" t="inlineStr">
        <is>
          <t>6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143C</t>
        </is>
      </c>
      <c r="U22" s="9" t="n"/>
    </row>
    <row r="23" ht="12" customFormat="1" customHeight="1" s="37">
      <c r="A23" s="73" t="inlineStr">
        <is>
          <t>만성동 제일풍경채</t>
        </is>
      </c>
      <c r="B23" s="74" t="inlineStr">
        <is>
          <t>18.02.</t>
        </is>
      </c>
      <c r="C23" s="126" t="n">
        <v>553</v>
      </c>
      <c r="D23" s="127" t="n">
        <v>133.7</v>
      </c>
      <c r="E23" s="128" t="n">
        <v>40</v>
      </c>
      <c r="F23" s="127" t="n">
        <v>103</v>
      </c>
      <c r="G23" s="17" t="n">
        <v>31</v>
      </c>
      <c r="H23" s="129" t="n">
        <v>190</v>
      </c>
      <c r="I23" s="130" t="n">
        <v>70000</v>
      </c>
      <c r="J23" s="130" t="inlineStr">
        <is>
          <t>중</t>
        </is>
      </c>
      <c r="K23" s="130" t="n">
        <v>50000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133</v>
      </c>
      <c r="U23" s="9" t="n"/>
    </row>
    <row r="24" ht="12" customFormat="1" customHeight="1" s="37">
      <c r="A24" s="73" t="inlineStr">
        <is>
          <t>장동 호반베르디움더센트럴2</t>
        </is>
      </c>
      <c r="B24" s="74" t="inlineStr">
        <is>
          <t>16.06.</t>
        </is>
      </c>
      <c r="C24" s="126" t="n">
        <v>634</v>
      </c>
      <c r="D24" s="127" t="n">
        <v>129</v>
      </c>
      <c r="E24" s="128" t="n">
        <v>39</v>
      </c>
      <c r="F24" s="127" t="n">
        <v>102</v>
      </c>
      <c r="G24" s="17" t="n">
        <v>31</v>
      </c>
      <c r="H24" s="129" t="n">
        <v>104</v>
      </c>
      <c r="I24" s="130" t="n">
        <v>69500</v>
      </c>
      <c r="J24" s="130" t="inlineStr">
        <is>
          <t>고</t>
        </is>
      </c>
      <c r="K24" s="130" t="n">
        <v>45000</v>
      </c>
      <c r="L24" s="130" t="inlineStr">
        <is>
          <t>17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128</v>
      </c>
      <c r="U24" s="9" t="n"/>
    </row>
    <row r="25" ht="12" customFormat="1" customHeight="1" s="37">
      <c r="A25" s="73" t="inlineStr">
        <is>
          <t>장동 전주혁신중흥에스클래스</t>
        </is>
      </c>
      <c r="B25" s="74" t="inlineStr">
        <is>
          <t>16.10.</t>
        </is>
      </c>
      <c r="C25" s="126" t="n">
        <v>481</v>
      </c>
      <c r="D25" s="127" t="n">
        <v>124.4</v>
      </c>
      <c r="E25" s="128" t="n">
        <v>38</v>
      </c>
      <c r="F25" s="127" t="n">
        <v>98.40000000000001</v>
      </c>
      <c r="G25" s="17" t="n">
        <v>30</v>
      </c>
      <c r="H25" s="129" t="n">
        <v>184</v>
      </c>
      <c r="I25" s="130" t="n">
        <v>68000</v>
      </c>
      <c r="J25" s="130" t="inlineStr">
        <is>
          <t>15</t>
        </is>
      </c>
      <c r="K25" s="130" t="n">
        <v>49000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124</v>
      </c>
      <c r="U25" s="9" t="n"/>
    </row>
    <row r="26" ht="12" customFormat="1" customHeight="1" s="37">
      <c r="A26" s="73" t="inlineStr">
        <is>
          <t>장동 전북혁신도시호반베르디움더클래스</t>
        </is>
      </c>
      <c r="B26" s="74" t="inlineStr">
        <is>
          <t>14.06.</t>
        </is>
      </c>
      <c r="C26" s="126" t="n">
        <v>731</v>
      </c>
      <c r="D26" s="127" t="n">
        <v>129.6</v>
      </c>
      <c r="E26" s="128" t="n">
        <v>39</v>
      </c>
      <c r="F26" s="127" t="n">
        <v>102.6</v>
      </c>
      <c r="G26" s="17" t="n">
        <v>31</v>
      </c>
      <c r="H26" s="129" t="n">
        <v>408</v>
      </c>
      <c r="I26" s="130" t="n">
        <v>67000</v>
      </c>
      <c r="J26" s="130" t="inlineStr">
        <is>
          <t>5</t>
        </is>
      </c>
      <c r="K26" s="130" t="n">
        <v>44000</v>
      </c>
      <c r="L26" s="130" t="inlineStr">
        <is>
          <t>9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129A</t>
        </is>
      </c>
      <c r="U26" s="9" t="n"/>
    </row>
    <row r="27" ht="12" customFormat="1" customHeight="1" s="37">
      <c r="A27" s="73" t="inlineStr">
        <is>
          <t>송천동1가 송천아이파크5단지</t>
        </is>
      </c>
      <c r="B27" s="74" t="inlineStr">
        <is>
          <t>09.05.</t>
        </is>
      </c>
      <c r="C27" s="126" t="n">
        <v>478</v>
      </c>
      <c r="D27" s="127" t="n">
        <v>164.5</v>
      </c>
      <c r="E27" s="128" t="n">
        <v>50</v>
      </c>
      <c r="F27" s="127" t="n">
        <v>126.5</v>
      </c>
      <c r="G27" s="17" t="n">
        <v>38</v>
      </c>
      <c r="H27" s="129" t="n">
        <v>168</v>
      </c>
      <c r="I27" s="130" t="n">
        <v>66000</v>
      </c>
      <c r="J27" s="130" t="inlineStr">
        <is>
          <t>12</t>
        </is>
      </c>
      <c r="K27" s="130" t="n">
        <v>54000</v>
      </c>
      <c r="L27" s="130" t="inlineStr">
        <is>
          <t>5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164</v>
      </c>
      <c r="U27" s="9" t="n"/>
    </row>
    <row r="28" ht="12" customFormat="1" customHeight="1" s="37">
      <c r="A28" s="73" t="inlineStr">
        <is>
          <t>송천동2가 에코시티더샵2차</t>
        </is>
      </c>
      <c r="B28" s="74" t="inlineStr">
        <is>
          <t>18.01.</t>
        </is>
      </c>
      <c r="C28" s="126" t="n">
        <v>702</v>
      </c>
      <c r="D28" s="127" t="n">
        <v>110.1</v>
      </c>
      <c r="E28" s="128" t="n">
        <v>33</v>
      </c>
      <c r="F28" s="127" t="n">
        <v>84.90000000000001</v>
      </c>
      <c r="G28" s="17" t="n">
        <v>26</v>
      </c>
      <c r="H28" s="129" t="n">
        <v>214</v>
      </c>
      <c r="I28" s="130" t="n">
        <v>66000</v>
      </c>
      <c r="J28" s="130" t="inlineStr">
        <is>
          <t>14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110A</t>
        </is>
      </c>
      <c r="U28" s="9" t="n"/>
    </row>
    <row r="29" ht="12" customFormat="1" customHeight="1" s="37">
      <c r="A29" s="73" t="inlineStr">
        <is>
          <t>송천동2가 에코시티더샵3차</t>
        </is>
      </c>
      <c r="B29" s="74" t="inlineStr">
        <is>
          <t>19.03.</t>
        </is>
      </c>
      <c r="C29" s="126" t="n">
        <v>644</v>
      </c>
      <c r="D29" s="127" t="n">
        <v>112.7</v>
      </c>
      <c r="E29" s="128" t="n">
        <v>34</v>
      </c>
      <c r="F29" s="127" t="n">
        <v>85</v>
      </c>
      <c r="G29" s="17" t="n">
        <v>26</v>
      </c>
      <c r="H29" s="129" t="n">
        <v>133</v>
      </c>
      <c r="I29" s="130" t="n">
        <v>65000</v>
      </c>
      <c r="J29" s="130" t="inlineStr">
        <is>
          <t>10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</row>
    <row r="30" ht="12" customFormat="1" customHeight="1" s="37">
      <c r="A30" s="73" t="inlineStr">
        <is>
          <t>호성동2가 진흥더블유파크3단지</t>
        </is>
      </c>
      <c r="B30" s="74" t="inlineStr">
        <is>
          <t>08.09.</t>
        </is>
      </c>
      <c r="C30" s="126" t="n">
        <v>791</v>
      </c>
      <c r="D30" s="127" t="n">
        <v>192.8</v>
      </c>
      <c r="E30" s="128" t="n">
        <v>58</v>
      </c>
      <c r="F30" s="127" t="n">
        <v>157.6</v>
      </c>
      <c r="G30" s="17" t="n">
        <v>48</v>
      </c>
      <c r="H30" s="129" t="n">
        <v>118</v>
      </c>
      <c r="I30" s="130" t="n">
        <v>65000</v>
      </c>
      <c r="J30" s="130" t="inlineStr">
        <is>
          <t>고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192</v>
      </c>
      <c r="U30" s="9" t="n"/>
    </row>
    <row r="31" ht="12" customFormat="1" customHeight="1" s="37">
      <c r="A31" s="73" t="inlineStr">
        <is>
          <t>송천동2가 에코시티더샵(에코시티1BL)</t>
        </is>
      </c>
      <c r="B31" s="74" t="inlineStr">
        <is>
          <t>18.01.</t>
        </is>
      </c>
      <c r="C31" s="126" t="n">
        <v>724</v>
      </c>
      <c r="D31" s="127" t="n">
        <v>112.8</v>
      </c>
      <c r="E31" s="128" t="n">
        <v>34</v>
      </c>
      <c r="F31" s="127" t="n">
        <v>84.90000000000001</v>
      </c>
      <c r="G31" s="17" t="n">
        <v>26</v>
      </c>
      <c r="H31" s="129" t="n">
        <v>111</v>
      </c>
      <c r="I31" s="130" t="n">
        <v>62500</v>
      </c>
      <c r="J31" s="130" t="inlineStr">
        <is>
          <t>12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112B</t>
        </is>
      </c>
      <c r="U31" s="9" t="n"/>
    </row>
    <row r="32" ht="12" customFormat="1" customHeight="1" s="37">
      <c r="A32" s="73" t="inlineStr">
        <is>
          <t>송천동2가 에코시티데시앙5블럭</t>
        </is>
      </c>
      <c r="B32" s="74" t="inlineStr">
        <is>
          <t>18.01.</t>
        </is>
      </c>
      <c r="C32" s="126" t="n">
        <v>662</v>
      </c>
      <c r="D32" s="127" t="n">
        <v>115.2</v>
      </c>
      <c r="E32" s="128" t="n">
        <v>35</v>
      </c>
      <c r="F32" s="127" t="n">
        <v>84.90000000000001</v>
      </c>
      <c r="G32" s="17" t="n">
        <v>26</v>
      </c>
      <c r="H32" s="129" t="n">
        <v>282</v>
      </c>
      <c r="I32" s="130" t="n">
        <v>62000</v>
      </c>
      <c r="J32" s="130" t="inlineStr">
        <is>
          <t>26</t>
        </is>
      </c>
      <c r="K32" s="130" t="n">
        <v>40000</v>
      </c>
      <c r="L32" s="130" t="inlineStr">
        <is>
          <t>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115A</t>
        </is>
      </c>
      <c r="U32" s="9" t="n"/>
    </row>
    <row r="33" ht="12" customFormat="1" customHeight="1" s="37">
      <c r="A33" s="73" t="inlineStr">
        <is>
          <t>송천동1가 송천아이파크6단지</t>
        </is>
      </c>
      <c r="B33" s="74" t="inlineStr">
        <is>
          <t>09.05.</t>
        </is>
      </c>
      <c r="C33" s="126" t="n">
        <v>304</v>
      </c>
      <c r="D33" s="127" t="n">
        <v>165.6</v>
      </c>
      <c r="E33" s="128" t="n">
        <v>50</v>
      </c>
      <c r="F33" s="127" t="n">
        <v>126.5</v>
      </c>
      <c r="G33" s="17" t="n">
        <v>38</v>
      </c>
      <c r="H33" s="129" t="n">
        <v>107</v>
      </c>
      <c r="I33" s="130" t="n">
        <v>61000</v>
      </c>
      <c r="J33" s="130" t="inlineStr">
        <is>
          <t>5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165</v>
      </c>
      <c r="U33" s="9" t="n"/>
    </row>
    <row r="34" ht="12" customFormat="1" customHeight="1" s="37">
      <c r="A34" s="73" t="inlineStr">
        <is>
          <t>송천동2가 에코시티데시앙(4BL)</t>
        </is>
      </c>
      <c r="B34" s="74" t="inlineStr">
        <is>
          <t>18.01.</t>
        </is>
      </c>
      <c r="C34" s="126" t="n">
        <v>720</v>
      </c>
      <c r="D34" s="127" t="n">
        <v>113.1</v>
      </c>
      <c r="E34" s="128" t="n">
        <v>34</v>
      </c>
      <c r="F34" s="127" t="n">
        <v>84.90000000000001</v>
      </c>
      <c r="G34" s="17" t="n">
        <v>26</v>
      </c>
      <c r="H34" s="129" t="n">
        <v>251</v>
      </c>
      <c r="I34" s="130" t="n">
        <v>60000</v>
      </c>
      <c r="J34" s="130" t="inlineStr">
        <is>
          <t>5</t>
        </is>
      </c>
      <c r="K34" s="130" t="n">
        <v>42000</v>
      </c>
      <c r="L34" s="130" t="inlineStr">
        <is>
          <t>10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113A</t>
        </is>
      </c>
      <c r="U34" s="9" t="n"/>
    </row>
    <row r="35" ht="12" customFormat="1" customHeight="1" s="37">
      <c r="A35" s="73" t="inlineStr">
        <is>
          <t>장동 전주혁신중흥에스클래스</t>
        </is>
      </c>
      <c r="B35" s="74" t="inlineStr">
        <is>
          <t>16.10.</t>
        </is>
      </c>
      <c r="C35" s="126" t="n">
        <v>481</v>
      </c>
      <c r="D35" s="127" t="n">
        <v>110.6</v>
      </c>
      <c r="E35" s="128" t="n">
        <v>33</v>
      </c>
      <c r="F35" s="127" t="n">
        <v>85</v>
      </c>
      <c r="G35" s="17" t="n">
        <v>26</v>
      </c>
      <c r="H35" s="129" t="n">
        <v>171</v>
      </c>
      <c r="I35" s="130" t="n">
        <v>60000</v>
      </c>
      <c r="J35" s="130" t="inlineStr">
        <is>
          <t>21</t>
        </is>
      </c>
      <c r="K35" s="130" t="n">
        <v>46000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110</v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6" t="n">
        <v>708</v>
      </c>
      <c r="D36" s="127" t="n">
        <v>117.4</v>
      </c>
      <c r="E36" s="128" t="n">
        <v>36</v>
      </c>
      <c r="F36" s="127" t="n">
        <v>85</v>
      </c>
      <c r="G36" s="17" t="n">
        <v>26</v>
      </c>
      <c r="H36" s="129" t="n">
        <v>505</v>
      </c>
      <c r="I36" s="130" t="n">
        <v>59000</v>
      </c>
      <c r="J36" s="130" t="inlineStr">
        <is>
          <t>11</t>
        </is>
      </c>
      <c r="K36" s="130" t="n">
        <v>41000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에코시티데시앙2차(7BL)</t>
        </is>
      </c>
      <c r="B37" s="74" t="inlineStr">
        <is>
          <t>19.01.</t>
        </is>
      </c>
      <c r="C37" s="126" t="n">
        <v>643</v>
      </c>
      <c r="D37" s="127" t="n">
        <v>115.9</v>
      </c>
      <c r="E37" s="128" t="n">
        <v>35</v>
      </c>
      <c r="F37" s="127" t="n">
        <v>85</v>
      </c>
      <c r="G37" s="17" t="n">
        <v>26</v>
      </c>
      <c r="H37" s="129" t="n">
        <v>274</v>
      </c>
      <c r="I37" s="130" t="n">
        <v>59000</v>
      </c>
      <c r="J37" s="130" t="inlineStr">
        <is>
          <t>7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3" t="inlineStr">
        <is>
          <t>송천동2가 에코시티자이2차</t>
        </is>
      </c>
      <c r="B38" s="74" t="inlineStr">
        <is>
          <t>18.10.</t>
        </is>
      </c>
      <c r="C38" s="126" t="n">
        <v>490</v>
      </c>
      <c r="D38" s="127" t="n">
        <v>110.9</v>
      </c>
      <c r="E38" s="128" t="n">
        <v>34</v>
      </c>
      <c r="F38" s="127" t="n">
        <v>84.8</v>
      </c>
      <c r="G38" s="17" t="n">
        <v>26</v>
      </c>
      <c r="H38" s="129" t="n">
        <v>260</v>
      </c>
      <c r="I38" s="130" t="n">
        <v>59000</v>
      </c>
      <c r="J38" s="130" t="inlineStr">
        <is>
          <t>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3" t="inlineStr">
        <is>
          <t>송천동2가 전주에코시티KCC스위첸</t>
        </is>
      </c>
      <c r="B39" s="74" t="inlineStr">
        <is>
          <t>19.02.</t>
        </is>
      </c>
      <c r="C39" s="126" t="n">
        <v>948</v>
      </c>
      <c r="D39" s="127" t="n">
        <v>114.8</v>
      </c>
      <c r="E39" s="128" t="n">
        <v>35</v>
      </c>
      <c r="F39" s="127" t="n">
        <v>85</v>
      </c>
      <c r="G39" s="17" t="n">
        <v>26</v>
      </c>
      <c r="H39" s="129" t="n">
        <v>492</v>
      </c>
      <c r="I39" s="130" t="n">
        <v>58000</v>
      </c>
      <c r="J39" s="130" t="inlineStr">
        <is>
          <t>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114A</t>
        </is>
      </c>
      <c r="U39" s="9" t="n"/>
    </row>
    <row r="40" ht="12" customFormat="1" customHeight="1" s="37">
      <c r="A40" s="73" t="inlineStr">
        <is>
          <t>송천동2가 에코시티자이</t>
        </is>
      </c>
      <c r="B40" s="74" t="inlineStr">
        <is>
          <t>17.12.</t>
        </is>
      </c>
      <c r="C40" s="126" t="n">
        <v>640</v>
      </c>
      <c r="D40" s="127" t="n">
        <v>115.2</v>
      </c>
      <c r="E40" s="128" t="n">
        <v>35</v>
      </c>
      <c r="F40" s="127" t="n">
        <v>85</v>
      </c>
      <c r="G40" s="17" t="n">
        <v>26</v>
      </c>
      <c r="H40" s="129" t="n">
        <v>464</v>
      </c>
      <c r="I40" s="130" t="n">
        <v>56500</v>
      </c>
      <c r="J40" s="130" t="inlineStr">
        <is>
          <t>11</t>
        </is>
      </c>
      <c r="K40" s="130" t="n">
        <v>41000</v>
      </c>
      <c r="L40" s="130" t="inlineStr">
        <is>
          <t>12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115</v>
      </c>
      <c r="U40" s="9" t="n"/>
    </row>
    <row r="41" ht="12" customFormat="1" customHeight="1" s="37">
      <c r="A41" s="73" t="inlineStr">
        <is>
          <t>송천동1가 송천센트럴파크1단지</t>
        </is>
      </c>
      <c r="B41" s="74" t="inlineStr">
        <is>
          <t>08.04.</t>
        </is>
      </c>
      <c r="C41" s="126" t="n">
        <v>520</v>
      </c>
      <c r="D41" s="127" t="n">
        <v>184.4</v>
      </c>
      <c r="E41" s="128" t="n">
        <v>56</v>
      </c>
      <c r="F41" s="127" t="n">
        <v>143.8</v>
      </c>
      <c r="G41" s="17" t="n">
        <v>43</v>
      </c>
      <c r="H41" s="129" t="n">
        <v>140</v>
      </c>
      <c r="I41" s="130" t="n">
        <v>55000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184</v>
      </c>
      <c r="U41" s="9" t="n"/>
    </row>
    <row r="42" ht="12" customFormat="1" customHeight="1" s="37">
      <c r="A42" s="73" t="inlineStr">
        <is>
          <t>송천동1가 송천아이파크6단지</t>
        </is>
      </c>
      <c r="B42" s="74" t="inlineStr">
        <is>
          <t>09.05.</t>
        </is>
      </c>
      <c r="C42" s="126" t="n">
        <v>304</v>
      </c>
      <c r="D42" s="127" t="n">
        <v>135.8</v>
      </c>
      <c r="E42" s="128" t="n">
        <v>41</v>
      </c>
      <c r="F42" s="127" t="n">
        <v>101.9</v>
      </c>
      <c r="G42" s="17" t="n">
        <v>31</v>
      </c>
      <c r="H42" s="129" t="n">
        <v>197</v>
      </c>
      <c r="I42" s="130" t="n">
        <v>55000</v>
      </c>
      <c r="J42" s="130" t="inlineStr">
        <is>
          <t>9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135</v>
      </c>
      <c r="U42" s="9" t="n"/>
    </row>
    <row r="43" ht="12" customFormat="1" customHeight="1" s="37">
      <c r="A43" s="73" t="inlineStr">
        <is>
          <t>송천동1가 송천센트럴파크2단지</t>
        </is>
      </c>
      <c r="B43" s="74" t="inlineStr">
        <is>
          <t>08.01.</t>
        </is>
      </c>
      <c r="C43" s="126" t="n">
        <v>468</v>
      </c>
      <c r="D43" s="127" t="n">
        <v>127.4</v>
      </c>
      <c r="E43" s="128" t="n">
        <v>39</v>
      </c>
      <c r="F43" s="127" t="n">
        <v>103.2</v>
      </c>
      <c r="G43" s="17" t="n">
        <v>31</v>
      </c>
      <c r="H43" s="129" t="n">
        <v>180</v>
      </c>
      <c r="I43" s="130" t="n">
        <v>55000</v>
      </c>
      <c r="J43" s="130" t="inlineStr">
        <is>
          <t>15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127A</t>
        </is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6" t="n">
        <v>1070</v>
      </c>
      <c r="D44" s="127" t="n">
        <v>111.3</v>
      </c>
      <c r="E44" s="128" t="n">
        <v>34</v>
      </c>
      <c r="F44" s="127" t="n">
        <v>85</v>
      </c>
      <c r="G44" s="17" t="n">
        <v>26</v>
      </c>
      <c r="H44" s="129" t="n">
        <v>776</v>
      </c>
      <c r="I44" s="130" t="n">
        <v>54000</v>
      </c>
      <c r="J44" s="130" t="inlineStr">
        <is>
          <t>5</t>
        </is>
      </c>
      <c r="K44" s="130" t="n">
        <v>41000</v>
      </c>
      <c r="L44" s="130" t="inlineStr">
        <is>
          <t>16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송천동2가 전주3차에코시티휴먼빌</t>
        </is>
      </c>
      <c r="B45" s="74" t="inlineStr">
        <is>
          <t>19.02.</t>
        </is>
      </c>
      <c r="C45" s="126" t="n">
        <v>402</v>
      </c>
      <c r="D45" s="127" t="n">
        <v>111.9</v>
      </c>
      <c r="E45" s="128" t="n">
        <v>34</v>
      </c>
      <c r="F45" s="127" t="n">
        <v>84.90000000000001</v>
      </c>
      <c r="G45" s="17" t="n">
        <v>26</v>
      </c>
      <c r="H45" s="129" t="n">
        <v>156</v>
      </c>
      <c r="I45" s="130" t="n">
        <v>53500</v>
      </c>
      <c r="J45" s="130" t="inlineStr">
        <is>
          <t>7</t>
        </is>
      </c>
      <c r="K45" s="130" t="n">
        <v>38000</v>
      </c>
      <c r="L45" s="130" t="inlineStr">
        <is>
          <t>29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우아동3가 KTX전주역클래시아더스카이</t>
        </is>
      </c>
      <c r="B46" s="74" t="inlineStr">
        <is>
          <t>21.02.</t>
        </is>
      </c>
      <c r="C46" s="126" t="n">
        <v>323</v>
      </c>
      <c r="D46" s="127" t="n">
        <v>112</v>
      </c>
      <c r="E46" s="128" t="n">
        <v>34</v>
      </c>
      <c r="F46" s="127" t="n">
        <v>84.59999999999999</v>
      </c>
      <c r="G46" s="17" t="n">
        <v>26</v>
      </c>
      <c r="H46" s="129" t="n">
        <v>109</v>
      </c>
      <c r="I46" s="130" t="n">
        <v>53000</v>
      </c>
      <c r="J46" s="130" t="inlineStr">
        <is>
          <t>중</t>
        </is>
      </c>
      <c r="K46" s="130" t="n">
        <v>33000</v>
      </c>
      <c r="L46" s="130" t="inlineStr">
        <is>
          <t>12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111A</t>
        </is>
      </c>
      <c r="U46" s="9" t="n"/>
    </row>
    <row r="47" ht="12" customFormat="1" customHeight="1" s="37">
      <c r="A47" s="73" t="inlineStr">
        <is>
          <t>중동 전북혁신도시호반베르디움(B-11BL)</t>
        </is>
      </c>
      <c r="B47" s="74" t="inlineStr">
        <is>
          <t>13.12.</t>
        </is>
      </c>
      <c r="C47" s="126" t="n">
        <v>808</v>
      </c>
      <c r="D47" s="127" t="n">
        <v>110.3</v>
      </c>
      <c r="E47" s="128" t="n">
        <v>33</v>
      </c>
      <c r="F47" s="127" t="n">
        <v>84.90000000000001</v>
      </c>
      <c r="G47" s="17" t="n">
        <v>26</v>
      </c>
      <c r="H47" s="129" t="n">
        <v>472</v>
      </c>
      <c r="I47" s="130" t="n">
        <v>53000</v>
      </c>
      <c r="J47" s="130" t="inlineStr">
        <is>
          <t>5</t>
        </is>
      </c>
      <c r="K47" s="130" t="n">
        <v>40000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3" t="inlineStr">
        <is>
          <t>인후동1가 인후한신휴플러스</t>
        </is>
      </c>
      <c r="B48" s="74" t="inlineStr">
        <is>
          <t>06.11.</t>
        </is>
      </c>
      <c r="C48" s="126" t="n">
        <v>1236</v>
      </c>
      <c r="D48" s="127" t="n">
        <v>191.3</v>
      </c>
      <c r="E48" s="128" t="n">
        <v>58</v>
      </c>
      <c r="F48" s="127" t="n">
        <v>157.9</v>
      </c>
      <c r="G48" s="17" t="n">
        <v>48</v>
      </c>
      <c r="H48" s="129" t="n">
        <v>80</v>
      </c>
      <c r="I48" s="130" t="n">
        <v>52000</v>
      </c>
      <c r="J48" s="130" t="inlineStr">
        <is>
          <t>12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191</v>
      </c>
      <c r="U48" s="9" t="n"/>
    </row>
    <row r="49" ht="12" customFormat="1" customHeight="1" s="37">
      <c r="A49" s="73" t="inlineStr">
        <is>
          <t>장동 호반베르디움더센트럴2</t>
        </is>
      </c>
      <c r="B49" s="74" t="inlineStr">
        <is>
          <t>16.06.</t>
        </is>
      </c>
      <c r="C49" s="126" t="n">
        <v>634</v>
      </c>
      <c r="D49" s="127" t="n">
        <v>112.9</v>
      </c>
      <c r="E49" s="128" t="n">
        <v>34</v>
      </c>
      <c r="F49" s="127" t="n">
        <v>84.8</v>
      </c>
      <c r="G49" s="17" t="n">
        <v>26</v>
      </c>
      <c r="H49" s="129" t="n">
        <v>267</v>
      </c>
      <c r="I49" s="130" t="n">
        <v>52000</v>
      </c>
      <c r="J49" s="130" t="inlineStr">
        <is>
          <t>중</t>
        </is>
      </c>
      <c r="K49" s="130" t="n">
        <v>41000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112A</t>
        </is>
      </c>
      <c r="U49" s="9" t="n"/>
    </row>
    <row r="50" ht="12" customFormat="1" customHeight="1" s="37">
      <c r="A50" s="73" t="inlineStr">
        <is>
          <t>송천동1가 송천센트럴파크2단지</t>
        </is>
      </c>
      <c r="B50" s="74" t="inlineStr">
        <is>
          <t>08.01.</t>
        </is>
      </c>
      <c r="C50" s="126" t="n">
        <v>468</v>
      </c>
      <c r="D50" s="127" t="n">
        <v>149.4</v>
      </c>
      <c r="E50" s="128" t="n">
        <v>45</v>
      </c>
      <c r="F50" s="127" t="n">
        <v>117.1</v>
      </c>
      <c r="G50" s="17" t="n">
        <v>35</v>
      </c>
      <c r="H50" s="129" t="n">
        <v>110</v>
      </c>
      <c r="I50" s="130" t="n">
        <v>51000</v>
      </c>
      <c r="J50" s="130" t="inlineStr">
        <is>
          <t>고</t>
        </is>
      </c>
      <c r="K50" s="130" t="n">
        <v>38000</v>
      </c>
      <c r="L50" s="130" t="inlineStr">
        <is>
          <t>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149</v>
      </c>
      <c r="U50" s="9" t="n"/>
    </row>
    <row r="51" ht="12" customFormat="1" customHeight="1" s="37">
      <c r="A51" s="73" t="inlineStr">
        <is>
          <t>호성동1가 진흥더블파크1단지</t>
        </is>
      </c>
      <c r="B51" s="74" t="inlineStr">
        <is>
          <t>05.11.</t>
        </is>
      </c>
      <c r="C51" s="126" t="n">
        <v>644</v>
      </c>
      <c r="D51" s="127" t="n">
        <v>175.3</v>
      </c>
      <c r="E51" s="128" t="n">
        <v>53</v>
      </c>
      <c r="F51" s="127" t="n">
        <v>144.6</v>
      </c>
      <c r="G51" s="17" t="n">
        <v>44</v>
      </c>
      <c r="H51" s="129" t="n">
        <v>166</v>
      </c>
      <c r="I51" s="130" t="n">
        <v>50000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inlineStr">
        <is>
          <t>175A</t>
        </is>
      </c>
      <c r="U51" s="9" t="n"/>
    </row>
    <row r="52" ht="12" customFormat="1" customHeight="1" s="37">
      <c r="A52" s="73" t="inlineStr">
        <is>
          <t>만성동 전주만성시티프라디움</t>
        </is>
      </c>
      <c r="B52" s="74" t="inlineStr">
        <is>
          <t>19.01.</t>
        </is>
      </c>
      <c r="C52" s="126" t="n">
        <v>625</v>
      </c>
      <c r="D52" s="127" t="n">
        <v>109.2</v>
      </c>
      <c r="E52" s="128" t="n">
        <v>33</v>
      </c>
      <c r="F52" s="127" t="n">
        <v>85</v>
      </c>
      <c r="G52" s="17" t="n">
        <v>26</v>
      </c>
      <c r="H52" s="129" t="n">
        <v>517</v>
      </c>
      <c r="I52" s="130" t="n">
        <v>49800</v>
      </c>
      <c r="J52" s="130" t="inlineStr">
        <is>
          <t>중</t>
        </is>
      </c>
      <c r="K52" s="130" t="n">
        <v>43000</v>
      </c>
      <c r="L52" s="130" t="inlineStr">
        <is>
          <t>고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109A</t>
        </is>
      </c>
      <c r="U52" s="9" t="n"/>
    </row>
    <row r="53" ht="12" customFormat="1" customHeight="1" s="37">
      <c r="A53" s="73" t="inlineStr">
        <is>
          <t>만성동 제일풍경채</t>
        </is>
      </c>
      <c r="B53" s="74" t="inlineStr">
        <is>
          <t>18.02.</t>
        </is>
      </c>
      <c r="C53" s="126" t="n">
        <v>553</v>
      </c>
      <c r="D53" s="127" t="n">
        <v>111.5</v>
      </c>
      <c r="E53" s="128" t="n">
        <v>34</v>
      </c>
      <c r="F53" s="127" t="n">
        <v>84.90000000000001</v>
      </c>
      <c r="G53" s="17" t="n">
        <v>26</v>
      </c>
      <c r="H53" s="129" t="n">
        <v>344</v>
      </c>
      <c r="I53" s="130" t="n">
        <v>49500</v>
      </c>
      <c r="J53" s="130" t="inlineStr">
        <is>
          <t>중</t>
        </is>
      </c>
      <c r="K53" s="130" t="n">
        <v>41000</v>
      </c>
      <c r="L53" s="130" t="inlineStr">
        <is>
          <t>중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111A</t>
        </is>
      </c>
      <c r="U53" s="9" t="n"/>
    </row>
    <row r="54" ht="12" customFormat="1" customHeight="1" s="37">
      <c r="A54" s="73" t="inlineStr">
        <is>
          <t>송천동1가 진흥더블파크</t>
        </is>
      </c>
      <c r="B54" s="74" t="inlineStr">
        <is>
          <t>08.04.</t>
        </is>
      </c>
      <c r="C54" s="126" t="n">
        <v>900</v>
      </c>
      <c r="D54" s="127" t="n">
        <v>151.8</v>
      </c>
      <c r="E54" s="128" t="n">
        <v>46</v>
      </c>
      <c r="F54" s="127" t="n">
        <v>122</v>
      </c>
      <c r="G54" s="17" t="n">
        <v>37</v>
      </c>
      <c r="H54" s="129" t="n">
        <v>216</v>
      </c>
      <c r="I54" s="130" t="n">
        <v>49500</v>
      </c>
      <c r="J54" s="130" t="inlineStr">
        <is>
          <t>11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151</v>
      </c>
      <c r="U54" s="9" t="n"/>
    </row>
    <row r="55" ht="12" customFormat="1" customHeight="1" s="37">
      <c r="A55" s="73" t="inlineStr">
        <is>
          <t>장동 전북혁신우미린2단지</t>
        </is>
      </c>
      <c r="B55" s="74" t="inlineStr">
        <is>
          <t>13.12.</t>
        </is>
      </c>
      <c r="C55" s="126" t="n">
        <v>462</v>
      </c>
      <c r="D55" s="127" t="n">
        <v>110.8</v>
      </c>
      <c r="E55" s="128" t="n">
        <v>34</v>
      </c>
      <c r="F55" s="127" t="n">
        <v>85</v>
      </c>
      <c r="G55" s="17" t="n">
        <v>26</v>
      </c>
      <c r="H55" s="129" t="n">
        <v>462</v>
      </c>
      <c r="I55" s="130" t="n">
        <v>49000</v>
      </c>
      <c r="J55" s="130" t="inlineStr">
        <is>
          <t>5</t>
        </is>
      </c>
      <c r="K55" s="130" t="n">
        <v>37000</v>
      </c>
      <c r="L55" s="130" t="inlineStr">
        <is>
          <t>고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110</v>
      </c>
      <c r="U55" s="9" t="n"/>
    </row>
    <row r="56" ht="12" customFormat="1" customHeight="1" s="37">
      <c r="A56" s="73" t="inlineStr">
        <is>
          <t>중동 전북혁신우미린1단지</t>
        </is>
      </c>
      <c r="B56" s="74" t="inlineStr">
        <is>
          <t>13.12.</t>
        </is>
      </c>
      <c r="C56" s="126" t="n">
        <v>680</v>
      </c>
      <c r="D56" s="127" t="n">
        <v>108.9</v>
      </c>
      <c r="E56" s="128" t="n">
        <v>33</v>
      </c>
      <c r="F56" s="127" t="n">
        <v>83.8</v>
      </c>
      <c r="G56" s="17" t="n">
        <v>25</v>
      </c>
      <c r="H56" s="129" t="n">
        <v>188</v>
      </c>
      <c r="I56" s="130" t="n">
        <v>49000</v>
      </c>
      <c r="J56" s="130" t="inlineStr">
        <is>
          <t>15</t>
        </is>
      </c>
      <c r="K56" s="130" t="n">
        <v>40000</v>
      </c>
      <c r="L56" s="130" t="inlineStr">
        <is>
          <t>8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108</v>
      </c>
      <c r="U56" s="9" t="n"/>
    </row>
    <row r="57" ht="12" customFormat="1" customHeight="1" s="37">
      <c r="A57" s="73" t="inlineStr">
        <is>
          <t>만성동 만성법조타운골드클래스</t>
        </is>
      </c>
      <c r="B57" s="74" t="inlineStr">
        <is>
          <t>18.02.</t>
        </is>
      </c>
      <c r="C57" s="126" t="n">
        <v>1070</v>
      </c>
      <c r="D57" s="127" t="n">
        <v>99.5</v>
      </c>
      <c r="E57" s="128" t="n">
        <v>30</v>
      </c>
      <c r="F57" s="127" t="n">
        <v>74.09999999999999</v>
      </c>
      <c r="G57" s="17" t="n">
        <v>22</v>
      </c>
      <c r="H57" s="129" t="n">
        <v>294</v>
      </c>
      <c r="I57" s="130" t="n">
        <v>48000</v>
      </c>
      <c r="J57" s="130" t="inlineStr">
        <is>
          <t>7</t>
        </is>
      </c>
      <c r="K57" s="130" t="n">
        <v>37000</v>
      </c>
      <c r="L57" s="130" t="inlineStr">
        <is>
          <t>10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n">
        <v>99</v>
      </c>
      <c r="U57" s="9" t="n"/>
    </row>
    <row r="58" ht="12" customFormat="1" customHeight="1" s="37">
      <c r="A58" s="73" t="inlineStr">
        <is>
          <t>우아동3가 e편한세상우아</t>
        </is>
      </c>
      <c r="B58" s="74" t="inlineStr">
        <is>
          <t>18.12.</t>
        </is>
      </c>
      <c r="C58" s="126" t="n">
        <v>750</v>
      </c>
      <c r="D58" s="127" t="n">
        <v>111.3</v>
      </c>
      <c r="E58" s="128" t="n">
        <v>34</v>
      </c>
      <c r="F58" s="127" t="n">
        <v>85</v>
      </c>
      <c r="G58" s="17" t="n">
        <v>26</v>
      </c>
      <c r="H58" s="129" t="n">
        <v>245</v>
      </c>
      <c r="I58" s="130" t="n">
        <v>48000</v>
      </c>
      <c r="J58" s="130" t="inlineStr">
        <is>
          <t>20</t>
        </is>
      </c>
      <c r="K58" s="130" t="n">
        <v>38000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111B</t>
        </is>
      </c>
      <c r="U58" s="9" t="n"/>
    </row>
    <row r="59" ht="12" customFormat="1" customHeight="1" s="37">
      <c r="A59" s="73" t="inlineStr">
        <is>
          <t>송천동1가 송천센트럴파크1단지</t>
        </is>
      </c>
      <c r="B59" s="74" t="inlineStr">
        <is>
          <t>08.04.</t>
        </is>
      </c>
      <c r="C59" s="126" t="n">
        <v>520</v>
      </c>
      <c r="D59" s="127" t="n">
        <v>144.6</v>
      </c>
      <c r="E59" s="128" t="n">
        <v>44</v>
      </c>
      <c r="F59" s="127" t="n">
        <v>112.9</v>
      </c>
      <c r="G59" s="17" t="n">
        <v>34</v>
      </c>
      <c r="H59" s="129" t="n">
        <v>218</v>
      </c>
      <c r="I59" s="130" t="n">
        <v>47500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144</v>
      </c>
      <c r="U59" s="9" t="n"/>
    </row>
    <row r="60" ht="12" customFormat="1" customHeight="1" s="37">
      <c r="A60" s="73" t="inlineStr">
        <is>
          <t>호성동1가 진흥더블파크1단지</t>
        </is>
      </c>
      <c r="B60" s="74" t="inlineStr">
        <is>
          <t>05.11.</t>
        </is>
      </c>
      <c r="C60" s="126" t="n">
        <v>644</v>
      </c>
      <c r="D60" s="127" t="n">
        <v>149</v>
      </c>
      <c r="E60" s="128" t="n">
        <v>45</v>
      </c>
      <c r="F60" s="127" t="n">
        <v>117.9</v>
      </c>
      <c r="G60" s="17" t="n">
        <v>36</v>
      </c>
      <c r="H60" s="129" t="n">
        <v>192</v>
      </c>
      <c r="I60" s="130" t="n">
        <v>47000</v>
      </c>
      <c r="J60" s="130" t="inlineStr">
        <is>
          <t>10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149</v>
      </c>
      <c r="U60" s="9" t="n"/>
    </row>
    <row r="61" ht="12" customFormat="1" customHeight="1" s="37">
      <c r="A61" s="73" t="inlineStr">
        <is>
          <t>덕진동2가 전주덕진휴먼빌2차</t>
        </is>
      </c>
      <c r="B61" s="74" t="inlineStr">
        <is>
          <t>16.12.</t>
        </is>
      </c>
      <c r="C61" s="126" t="n">
        <v>367</v>
      </c>
      <c r="D61" s="127" t="n">
        <v>112.6</v>
      </c>
      <c r="E61" s="128" t="n">
        <v>34</v>
      </c>
      <c r="F61" s="127" t="n">
        <v>84.90000000000001</v>
      </c>
      <c r="G61" s="17" t="n">
        <v>26</v>
      </c>
      <c r="H61" s="129" t="n">
        <v>78</v>
      </c>
      <c r="I61" s="130" t="n">
        <v>46000</v>
      </c>
      <c r="J61" s="130" t="inlineStr">
        <is>
          <t>8</t>
        </is>
      </c>
      <c r="K61" s="130" t="n">
        <v>35000</v>
      </c>
      <c r="L61" s="130" t="inlineStr">
        <is>
          <t>12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112A</t>
        </is>
      </c>
      <c r="U61" s="9" t="n"/>
    </row>
    <row r="62" ht="12" customFormat="1" customHeight="1" s="37">
      <c r="A62" s="73" t="inlineStr">
        <is>
          <t>송천동1가 송천자이</t>
        </is>
      </c>
      <c r="B62" s="74" t="inlineStr">
        <is>
          <t>06.06.</t>
        </is>
      </c>
      <c r="C62" s="126" t="n">
        <v>428</v>
      </c>
      <c r="D62" s="127" t="n">
        <v>157.8</v>
      </c>
      <c r="E62" s="128" t="n">
        <v>48</v>
      </c>
      <c r="F62" s="127" t="n">
        <v>125.6</v>
      </c>
      <c r="G62" s="17" t="n">
        <v>38</v>
      </c>
      <c r="H62" s="129" t="n">
        <v>104</v>
      </c>
      <c r="I62" s="130" t="n">
        <v>46000</v>
      </c>
      <c r="J62" s="130" t="inlineStr">
        <is>
          <t>17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157</v>
      </c>
      <c r="U62" s="9" t="n"/>
    </row>
    <row r="63" ht="12" customFormat="1" customHeight="1" s="37">
      <c r="A63" s="73" t="inlineStr">
        <is>
          <t>송천동1가 송천KCC스위첸</t>
        </is>
      </c>
      <c r="B63" s="74" t="inlineStr">
        <is>
          <t>16.11.</t>
        </is>
      </c>
      <c r="C63" s="126" t="n">
        <v>480</v>
      </c>
      <c r="D63" s="127" t="n">
        <v>110.3</v>
      </c>
      <c r="E63" s="128" t="n">
        <v>33</v>
      </c>
      <c r="F63" s="127" t="n">
        <v>84.90000000000001</v>
      </c>
      <c r="G63" s="17" t="n">
        <v>26</v>
      </c>
      <c r="H63" s="129" t="n">
        <v>222</v>
      </c>
      <c r="I63" s="130" t="n">
        <v>45000</v>
      </c>
      <c r="J63" s="130" t="inlineStr">
        <is>
          <t>5</t>
        </is>
      </c>
      <c r="K63" s="130" t="n">
        <v>39000</v>
      </c>
      <c r="L63" s="130" t="inlineStr">
        <is>
          <t>8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110B</t>
        </is>
      </c>
      <c r="U63" s="9" t="n"/>
    </row>
    <row r="64" ht="12" customFormat="1" customHeight="1" s="37">
      <c r="A64" s="73" t="inlineStr">
        <is>
          <t>우아동3가 e편한세상우아</t>
        </is>
      </c>
      <c r="B64" s="74" t="inlineStr">
        <is>
          <t>18.12.</t>
        </is>
      </c>
      <c r="C64" s="126" t="n">
        <v>750</v>
      </c>
      <c r="D64" s="127" t="n">
        <v>98.40000000000001</v>
      </c>
      <c r="E64" s="128" t="n">
        <v>30</v>
      </c>
      <c r="F64" s="127" t="n">
        <v>74.90000000000001</v>
      </c>
      <c r="G64" s="17" t="n">
        <v>23</v>
      </c>
      <c r="H64" s="129" t="n">
        <v>189</v>
      </c>
      <c r="I64" s="130" t="n">
        <v>45000</v>
      </c>
      <c r="J64" s="130" t="inlineStr">
        <is>
          <t>15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98</v>
      </c>
      <c r="U64" s="9" t="n"/>
    </row>
    <row r="65" ht="12" customFormat="1" customHeight="1" s="37">
      <c r="A65" s="73" t="inlineStr">
        <is>
          <t>우아동3가 전주우아한시티</t>
        </is>
      </c>
      <c r="B65" s="74" t="inlineStr">
        <is>
          <t>21.09.</t>
        </is>
      </c>
      <c r="C65" s="126" t="n">
        <v>998</v>
      </c>
      <c r="D65" s="127" t="n">
        <v>99.2</v>
      </c>
      <c r="E65" s="128" t="n">
        <v>30</v>
      </c>
      <c r="F65" s="127" t="n">
        <v>75</v>
      </c>
      <c r="G65" s="17" t="n">
        <v>23</v>
      </c>
      <c r="H65" s="129" t="n">
        <v>79</v>
      </c>
      <c r="I65" s="130" t="n">
        <v>45000</v>
      </c>
      <c r="J65" s="130" t="inlineStr">
        <is>
          <t>고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99B</t>
        </is>
      </c>
      <c r="U65" s="9" t="n"/>
    </row>
    <row r="66" ht="12" customFormat="1" customHeight="1" s="37">
      <c r="A66" s="73" t="inlineStr">
        <is>
          <t>인후동1가 아중현대</t>
        </is>
      </c>
      <c r="B66" s="74" t="inlineStr">
        <is>
          <t>98.01.</t>
        </is>
      </c>
      <c r="C66" s="126" t="n">
        <v>1153</v>
      </c>
      <c r="D66" s="127" t="n">
        <v>162.2</v>
      </c>
      <c r="E66" s="128" t="n">
        <v>49</v>
      </c>
      <c r="F66" s="127" t="n">
        <v>134.6</v>
      </c>
      <c r="G66" s="17" t="n">
        <v>41</v>
      </c>
      <c r="H66" s="129" t="n">
        <v>178</v>
      </c>
      <c r="I66" s="130" t="n">
        <v>45000</v>
      </c>
      <c r="J66" s="130" t="inlineStr">
        <is>
          <t>13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162</v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6" t="n">
        <v>1236</v>
      </c>
      <c r="D67" s="127" t="n">
        <v>143.5</v>
      </c>
      <c r="E67" s="128" t="n">
        <v>43</v>
      </c>
      <c r="F67" s="127" t="n">
        <v>114.8</v>
      </c>
      <c r="G67" s="17" t="n">
        <v>35</v>
      </c>
      <c r="H67" s="129" t="n">
        <v>284</v>
      </c>
      <c r="I67" s="130" t="n">
        <v>45000</v>
      </c>
      <c r="J67" s="130" t="inlineStr">
        <is>
          <t>7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송천동2가 전주송천한라비발디2단지</t>
        </is>
      </c>
      <c r="B68" s="74" t="inlineStr">
        <is>
          <t>13.10.</t>
        </is>
      </c>
      <c r="C68" s="126" t="n">
        <v>381</v>
      </c>
      <c r="D68" s="127" t="n">
        <v>109.3</v>
      </c>
      <c r="E68" s="128" t="n">
        <v>33</v>
      </c>
      <c r="F68" s="127" t="n">
        <v>85</v>
      </c>
      <c r="G68" s="17" t="n">
        <v>26</v>
      </c>
      <c r="H68" s="129" t="n">
        <v>346</v>
      </c>
      <c r="I68" s="130" t="n">
        <v>43100</v>
      </c>
      <c r="J68" s="130" t="inlineStr">
        <is>
          <t>8</t>
        </is>
      </c>
      <c r="K68" s="130" t="n">
        <v>35000</v>
      </c>
      <c r="L68" s="130" t="inlineStr">
        <is>
          <t>12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109A</t>
        </is>
      </c>
      <c r="U68" s="9" t="n"/>
    </row>
    <row r="69" ht="12" customFormat="1" customHeight="1" s="37">
      <c r="A69" s="73" t="inlineStr">
        <is>
          <t>송천동2가 전주에코시티데시앙2차(12BL)</t>
        </is>
      </c>
      <c r="B69" s="74" t="inlineStr">
        <is>
          <t>19.01.</t>
        </is>
      </c>
      <c r="C69" s="126" t="n">
        <v>708</v>
      </c>
      <c r="D69" s="127" t="n">
        <v>83.5</v>
      </c>
      <c r="E69" s="128" t="n">
        <v>25</v>
      </c>
      <c r="F69" s="127" t="n">
        <v>60</v>
      </c>
      <c r="G69" s="17" t="n">
        <v>18</v>
      </c>
      <c r="H69" s="129" t="n">
        <v>116</v>
      </c>
      <c r="I69" s="130" t="n">
        <v>43000</v>
      </c>
      <c r="J69" s="130" t="inlineStr">
        <is>
          <t>26</t>
        </is>
      </c>
      <c r="K69" s="130" t="n">
        <v>32000</v>
      </c>
      <c r="L69" s="130" t="inlineStr">
        <is>
          <t>21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83A</t>
        </is>
      </c>
      <c r="U69" s="9" t="n"/>
    </row>
    <row r="70" ht="12" customFormat="1" customHeight="1" s="37">
      <c r="A70" s="73" t="inlineStr">
        <is>
          <t>송천동2가 에코시티데시앙5블럭</t>
        </is>
      </c>
      <c r="B70" s="74" t="inlineStr">
        <is>
          <t>18.01.</t>
        </is>
      </c>
      <c r="C70" s="126" t="n">
        <v>662</v>
      </c>
      <c r="D70" s="127" t="n">
        <v>81.8</v>
      </c>
      <c r="E70" s="128" t="n">
        <v>25</v>
      </c>
      <c r="F70" s="127" t="n">
        <v>60</v>
      </c>
      <c r="G70" s="17" t="n">
        <v>18</v>
      </c>
      <c r="H70" s="129" t="n">
        <v>92</v>
      </c>
      <c r="I70" s="130" t="n">
        <v>43000</v>
      </c>
      <c r="J70" s="130" t="inlineStr">
        <is>
          <t>12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7">
      <c r="A71" s="73" t="inlineStr">
        <is>
          <t>송천동2가 전주송천한라비발디1단지</t>
        </is>
      </c>
      <c r="B71" s="74" t="inlineStr">
        <is>
          <t>13.10.</t>
        </is>
      </c>
      <c r="C71" s="126" t="n">
        <v>585</v>
      </c>
      <c r="D71" s="127" t="n">
        <v>109.4</v>
      </c>
      <c r="E71" s="128" t="n">
        <v>33</v>
      </c>
      <c r="F71" s="127" t="n">
        <v>85</v>
      </c>
      <c r="G71" s="17" t="n">
        <v>26</v>
      </c>
      <c r="H71" s="129" t="n">
        <v>539</v>
      </c>
      <c r="I71" s="130" t="n">
        <v>43000</v>
      </c>
      <c r="J71" s="130" t="inlineStr">
        <is>
          <t>5</t>
        </is>
      </c>
      <c r="K71" s="130" t="n">
        <v>38000</v>
      </c>
      <c r="L71" s="130" t="inlineStr">
        <is>
          <t>12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109A</t>
        </is>
      </c>
      <c r="U71" s="9" t="n"/>
    </row>
    <row r="72" ht="12" customFormat="1" customHeight="1" s="37">
      <c r="A72" s="73" t="inlineStr">
        <is>
          <t>송천동2가 에코시티데시앙(4BL)</t>
        </is>
      </c>
      <c r="B72" s="74" t="inlineStr">
        <is>
          <t>18.01.</t>
        </is>
      </c>
      <c r="C72" s="126" t="n">
        <v>720</v>
      </c>
      <c r="D72" s="127" t="n">
        <v>80.3</v>
      </c>
      <c r="E72" s="128" t="n">
        <v>24</v>
      </c>
      <c r="F72" s="127" t="n">
        <v>60</v>
      </c>
      <c r="G72" s="17" t="n">
        <v>18</v>
      </c>
      <c r="H72" s="129" t="n">
        <v>108</v>
      </c>
      <c r="I72" s="130" t="n">
        <v>42500</v>
      </c>
      <c r="J72" s="130" t="inlineStr">
        <is>
          <t>6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80</v>
      </c>
      <c r="U72" s="9" t="n"/>
    </row>
    <row r="73" ht="12" customFormat="1" customHeight="1" s="37">
      <c r="A73" s="73" t="inlineStr">
        <is>
          <t>송천동2가 에코시티더샵3차</t>
        </is>
      </c>
      <c r="B73" s="74" t="inlineStr">
        <is>
          <t>19.03.</t>
        </is>
      </c>
      <c r="C73" s="126" t="n">
        <v>644</v>
      </c>
      <c r="D73" s="127" t="n">
        <v>80.59999999999999</v>
      </c>
      <c r="E73" s="128" t="n">
        <v>24</v>
      </c>
      <c r="F73" s="127" t="n">
        <v>59.8</v>
      </c>
      <c r="G73" s="17" t="n">
        <v>18</v>
      </c>
      <c r="H73" s="129" t="n">
        <v>117</v>
      </c>
      <c r="I73" s="130" t="n">
        <v>42500</v>
      </c>
      <c r="J73" s="130" t="inlineStr">
        <is>
          <t>5</t>
        </is>
      </c>
      <c r="K73" s="130" t="n">
        <v>32000</v>
      </c>
      <c r="L73" s="130" t="inlineStr">
        <is>
          <t>24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80A</t>
        </is>
      </c>
      <c r="U73" s="9" t="n"/>
    </row>
    <row r="74" ht="12" customFormat="1" customHeight="1" s="37">
      <c r="A74" s="73" t="inlineStr">
        <is>
          <t>송천동2가 에코시티데시앙2차(7BL)</t>
        </is>
      </c>
      <c r="B74" s="74" t="inlineStr">
        <is>
          <t>19.01.</t>
        </is>
      </c>
      <c r="C74" s="126" t="n">
        <v>643</v>
      </c>
      <c r="D74" s="127" t="n">
        <v>82.40000000000001</v>
      </c>
      <c r="E74" s="128" t="n">
        <v>25</v>
      </c>
      <c r="F74" s="127" t="n">
        <v>60</v>
      </c>
      <c r="G74" s="17" t="n">
        <v>18</v>
      </c>
      <c r="H74" s="129" t="n">
        <v>116</v>
      </c>
      <c r="I74" s="130" t="n">
        <v>42000</v>
      </c>
      <c r="J74" s="130" t="inlineStr">
        <is>
          <t>중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82A</t>
        </is>
      </c>
      <c r="U74" s="9" t="n"/>
    </row>
    <row r="75" ht="12" customFormat="1" customHeight="1" s="37">
      <c r="A75" s="73" t="inlineStr">
        <is>
          <t>장동 LH이노팰리스</t>
        </is>
      </c>
      <c r="B75" s="74" t="inlineStr">
        <is>
          <t>13.12.</t>
        </is>
      </c>
      <c r="C75" s="126" t="n">
        <v>316</v>
      </c>
      <c r="D75" s="127" t="n">
        <v>97.59999999999999</v>
      </c>
      <c r="E75" s="128" t="n">
        <v>30</v>
      </c>
      <c r="F75" s="127" t="n">
        <v>75</v>
      </c>
      <c r="G75" s="17" t="n">
        <v>23</v>
      </c>
      <c r="H75" s="129" t="n">
        <v>60</v>
      </c>
      <c r="I75" s="130" t="n">
        <v>42000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97</v>
      </c>
      <c r="U75" s="9" t="n"/>
    </row>
    <row r="76" ht="12" customFormat="1" customHeight="1" s="37">
      <c r="A76" s="73" t="inlineStr">
        <is>
          <t>송천동2가 에코시티자이</t>
        </is>
      </c>
      <c r="B76" s="74" t="inlineStr">
        <is>
          <t>17.12.</t>
        </is>
      </c>
      <c r="C76" s="126" t="n">
        <v>640</v>
      </c>
      <c r="D76" s="127" t="n">
        <v>82.3</v>
      </c>
      <c r="E76" s="128" t="n">
        <v>25</v>
      </c>
      <c r="F76" s="127" t="n">
        <v>60</v>
      </c>
      <c r="G76" s="17" t="n">
        <v>18</v>
      </c>
      <c r="H76" s="129" t="n">
        <v>130</v>
      </c>
      <c r="I76" s="130" t="n">
        <v>41500</v>
      </c>
      <c r="J76" s="130" t="inlineStr">
        <is>
          <t>10</t>
        </is>
      </c>
      <c r="K76" s="130" t="n">
        <v>32000</v>
      </c>
      <c r="L76" s="130" t="inlineStr">
        <is>
          <t>7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82</v>
      </c>
      <c r="U76" s="9" t="n"/>
    </row>
    <row r="77" ht="12" customFormat="1" customHeight="1" s="37">
      <c r="A77" s="73" t="inlineStr">
        <is>
          <t>송천동2가 전주에코시티KCC스위첸</t>
        </is>
      </c>
      <c r="B77" s="74" t="inlineStr">
        <is>
          <t>19.02.</t>
        </is>
      </c>
      <c r="C77" s="126" t="n">
        <v>948</v>
      </c>
      <c r="D77" s="127" t="n">
        <v>82.3</v>
      </c>
      <c r="E77" s="128" t="n">
        <v>25</v>
      </c>
      <c r="F77" s="127" t="n">
        <v>60</v>
      </c>
      <c r="G77" s="17" t="n">
        <v>18</v>
      </c>
      <c r="H77" s="129" t="n">
        <v>250</v>
      </c>
      <c r="I77" s="130" t="n">
        <v>41500</v>
      </c>
      <c r="J77" s="130" t="inlineStr">
        <is>
          <t>19</t>
        </is>
      </c>
      <c r="K77" s="130" t="n">
        <v>32000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82</v>
      </c>
      <c r="U77" s="9" t="n"/>
    </row>
    <row r="78" ht="12" customFormat="1" customHeight="1" s="37">
      <c r="A78" s="73" t="inlineStr">
        <is>
          <t>우아동3가 KTX전주역클래시아더스카이</t>
        </is>
      </c>
      <c r="B78" s="74" t="inlineStr">
        <is>
          <t>21.02.</t>
        </is>
      </c>
      <c r="C78" s="126" t="n">
        <v>323</v>
      </c>
      <c r="D78" s="127" t="n">
        <v>95.8</v>
      </c>
      <c r="E78" s="128" t="n">
        <v>29</v>
      </c>
      <c r="F78" s="127" t="n">
        <v>72</v>
      </c>
      <c r="G78" s="17" t="n">
        <v>22</v>
      </c>
      <c r="H78" s="129" t="n">
        <v>53</v>
      </c>
      <c r="I78" s="130" t="n">
        <v>40000</v>
      </c>
      <c r="J78" s="130" t="inlineStr">
        <is>
          <t>중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95</v>
      </c>
      <c r="U78" s="9" t="n"/>
    </row>
    <row r="79" ht="12" customFormat="1" customHeight="1" s="37">
      <c r="A79" s="73" t="inlineStr">
        <is>
          <t>덕진동2가 제일오투그란데</t>
        </is>
      </c>
      <c r="B79" s="74" t="inlineStr">
        <is>
          <t>13.01.</t>
        </is>
      </c>
      <c r="C79" s="126" t="n">
        <v>319</v>
      </c>
      <c r="D79" s="127" t="n">
        <v>117.5</v>
      </c>
      <c r="E79" s="128" t="n">
        <v>36</v>
      </c>
      <c r="F79" s="127" t="n">
        <v>84.59999999999999</v>
      </c>
      <c r="G79" s="17" t="n">
        <v>26</v>
      </c>
      <c r="H79" s="129" t="n">
        <v>127</v>
      </c>
      <c r="I79" s="130" t="n">
        <v>39500</v>
      </c>
      <c r="J79" s="130" t="inlineStr">
        <is>
          <t>7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117D</t>
        </is>
      </c>
      <c r="U79" s="9" t="n"/>
    </row>
    <row r="80" ht="12" customFormat="1" customHeight="1" s="37">
      <c r="A80" s="73" t="inlineStr">
        <is>
          <t>송천동1가 진흥더블파크</t>
        </is>
      </c>
      <c r="B80" s="74" t="inlineStr">
        <is>
          <t>08.04.</t>
        </is>
      </c>
      <c r="C80" s="126" t="n">
        <v>900</v>
      </c>
      <c r="D80" s="127" t="n">
        <v>114.7</v>
      </c>
      <c r="E80" s="128" t="n">
        <v>35</v>
      </c>
      <c r="F80" s="127" t="n">
        <v>85</v>
      </c>
      <c r="G80" s="17" t="n">
        <v>26</v>
      </c>
      <c r="H80" s="129" t="n">
        <v>612</v>
      </c>
      <c r="I80" s="130" t="n">
        <v>39000</v>
      </c>
      <c r="J80" s="130" t="inlineStr">
        <is>
          <t>13</t>
        </is>
      </c>
      <c r="K80" s="130" t="n">
        <v>35000</v>
      </c>
      <c r="L80" s="130" t="inlineStr">
        <is>
          <t>6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114</v>
      </c>
      <c r="U80" s="9" t="n"/>
    </row>
    <row r="81" ht="12" customFormat="1" customHeight="1" s="37">
      <c r="A81" s="73" t="inlineStr">
        <is>
          <t>송천동2가 전주3차에코시티휴먼빌</t>
        </is>
      </c>
      <c r="B81" s="74" t="inlineStr">
        <is>
          <t>19.02.</t>
        </is>
      </c>
      <c r="C81" s="126" t="n">
        <v>402</v>
      </c>
      <c r="D81" s="127" t="n">
        <v>82.59999999999999</v>
      </c>
      <c r="E81" s="128" t="n">
        <v>25</v>
      </c>
      <c r="F81" s="127" t="n">
        <v>60</v>
      </c>
      <c r="G81" s="17" t="n">
        <v>18</v>
      </c>
      <c r="H81" s="129" t="n">
        <v>96</v>
      </c>
      <c r="I81" s="130" t="n">
        <v>39000</v>
      </c>
      <c r="J81" s="130" t="inlineStr">
        <is>
          <t>8</t>
        </is>
      </c>
      <c r="K81" s="130" t="n">
        <v>32000</v>
      </c>
      <c r="L81" s="130" t="inlineStr">
        <is>
          <t>고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82A</t>
        </is>
      </c>
      <c r="U81" s="9" t="n"/>
    </row>
    <row r="82" ht="12" customFormat="1" customHeight="1" s="37">
      <c r="A82" s="73" t="inlineStr">
        <is>
          <t>송천동2가 에코시티더샵(에코시티1BL)</t>
        </is>
      </c>
      <c r="B82" s="74" t="inlineStr">
        <is>
          <t>18.01.</t>
        </is>
      </c>
      <c r="C82" s="126" t="n">
        <v>724</v>
      </c>
      <c r="D82" s="127" t="n">
        <v>80.3</v>
      </c>
      <c r="E82" s="128" t="n">
        <v>24</v>
      </c>
      <c r="F82" s="127" t="n">
        <v>59.9</v>
      </c>
      <c r="G82" s="17" t="n">
        <v>18</v>
      </c>
      <c r="H82" s="129" t="n">
        <v>105</v>
      </c>
      <c r="I82" s="130" t="n">
        <v>39000</v>
      </c>
      <c r="J82" s="130" t="inlineStr">
        <is>
          <t>10</t>
        </is>
      </c>
      <c r="K82" s="130" t="n">
        <v>30000</v>
      </c>
      <c r="L82" s="130" t="inlineStr">
        <is>
          <t>15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80A</t>
        </is>
      </c>
      <c r="U82" s="9" t="n"/>
    </row>
    <row r="83" ht="12" customFormat="1" customHeight="1" s="37">
      <c r="A83" s="73" t="inlineStr">
        <is>
          <t>장동 LH이노팰리스</t>
        </is>
      </c>
      <c r="B83" s="74" t="inlineStr">
        <is>
          <t>13.12.</t>
        </is>
      </c>
      <c r="C83" s="126" t="n">
        <v>316</v>
      </c>
      <c r="D83" s="127" t="n">
        <v>110.7</v>
      </c>
      <c r="E83" s="128" t="n">
        <v>33</v>
      </c>
      <c r="F83" s="127" t="n">
        <v>85</v>
      </c>
      <c r="G83" s="17" t="n">
        <v>26</v>
      </c>
      <c r="H83" s="129" t="n">
        <v>181</v>
      </c>
      <c r="I83" s="130" t="n">
        <v>39000</v>
      </c>
      <c r="J83" s="130" t="inlineStr">
        <is>
          <t>5</t>
        </is>
      </c>
      <c r="K83" s="130" t="n">
        <v>33000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110A</t>
        </is>
      </c>
      <c r="U83" s="9" t="n"/>
    </row>
    <row r="84" ht="12" customFormat="1" customHeight="1" s="37">
      <c r="A84" s="73" t="inlineStr">
        <is>
          <t>덕진동2가 하가더루벤스</t>
        </is>
      </c>
      <c r="B84" s="74" t="inlineStr">
        <is>
          <t>12.06.</t>
        </is>
      </c>
      <c r="C84" s="126" t="n">
        <v>413</v>
      </c>
      <c r="D84" s="127" t="n">
        <v>109.7</v>
      </c>
      <c r="E84" s="128" t="n">
        <v>33</v>
      </c>
      <c r="F84" s="127" t="n">
        <v>84.8</v>
      </c>
      <c r="G84" s="17" t="n">
        <v>26</v>
      </c>
      <c r="H84" s="129" t="n">
        <v>140</v>
      </c>
      <c r="I84" s="130" t="n">
        <v>38800</v>
      </c>
      <c r="J84" s="130" t="inlineStr">
        <is>
          <t>중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109C</t>
        </is>
      </c>
      <c r="U84" s="9" t="n"/>
    </row>
    <row r="85" ht="12" customFormat="1" customHeight="1" s="37">
      <c r="A85" s="73" t="inlineStr">
        <is>
          <t>송천동2가 송천현대3차</t>
        </is>
      </c>
      <c r="B85" s="74" t="inlineStr">
        <is>
          <t>98.10.</t>
        </is>
      </c>
      <c r="C85" s="126" t="n">
        <v>915</v>
      </c>
      <c r="D85" s="127" t="n">
        <v>157.7</v>
      </c>
      <c r="E85" s="128" t="n">
        <v>48</v>
      </c>
      <c r="F85" s="127" t="n">
        <v>134.7</v>
      </c>
      <c r="G85" s="17" t="n">
        <v>41</v>
      </c>
      <c r="H85" s="129" t="n">
        <v>105</v>
      </c>
      <c r="I85" s="130" t="n">
        <v>38000</v>
      </c>
      <c r="J85" s="130" t="inlineStr">
        <is>
          <t>5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157</v>
      </c>
      <c r="U85" s="9" t="n"/>
    </row>
    <row r="86" ht="12" customFormat="1" customHeight="1" s="37">
      <c r="A86" s="73" t="inlineStr">
        <is>
          <t>인후동1가 위브어울림</t>
        </is>
      </c>
      <c r="B86" s="74" t="inlineStr">
        <is>
          <t>07.01.</t>
        </is>
      </c>
      <c r="C86" s="126" t="n">
        <v>1549</v>
      </c>
      <c r="D86" s="127" t="n">
        <v>149.5</v>
      </c>
      <c r="E86" s="128" t="n">
        <v>45</v>
      </c>
      <c r="F86" s="127" t="n">
        <v>122.1</v>
      </c>
      <c r="G86" s="17" t="n">
        <v>37</v>
      </c>
      <c r="H86" s="129" t="n">
        <v>130</v>
      </c>
      <c r="I86" s="130" t="n">
        <v>38000</v>
      </c>
      <c r="J86" s="130" t="inlineStr">
        <is>
          <t>고</t>
        </is>
      </c>
      <c r="K86" s="130" t="n">
        <v>35000</v>
      </c>
      <c r="L86" s="130" t="inlineStr">
        <is>
          <t>고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149A</t>
        </is>
      </c>
      <c r="U86" s="9" t="n"/>
    </row>
    <row r="87" ht="12" customFormat="1" customHeight="1" s="37">
      <c r="A87" s="73" t="inlineStr">
        <is>
          <t>호성동2가 진흥더블유파크3단지</t>
        </is>
      </c>
      <c r="B87" s="74" t="inlineStr">
        <is>
          <t>08.09.</t>
        </is>
      </c>
      <c r="C87" s="126" t="n">
        <v>791</v>
      </c>
      <c r="D87" s="127" t="n">
        <v>132.2</v>
      </c>
      <c r="E87" s="128" t="n">
        <v>40</v>
      </c>
      <c r="F87" s="127" t="n">
        <v>103.2</v>
      </c>
      <c r="G87" s="17" t="n">
        <v>31</v>
      </c>
      <c r="H87" s="129" t="n">
        <v>534</v>
      </c>
      <c r="I87" s="130" t="n">
        <v>38000</v>
      </c>
      <c r="J87" s="130" t="inlineStr">
        <is>
          <t>9</t>
        </is>
      </c>
      <c r="K87" s="130" t="n">
        <v>30000</v>
      </c>
      <c r="L87" s="130" t="inlineStr">
        <is>
          <t>고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132</v>
      </c>
      <c r="U87" s="9" t="n"/>
    </row>
    <row r="88" ht="12" customFormat="1" customHeight="1" s="37">
      <c r="A88" s="73" t="inlineStr">
        <is>
          <t>송천동1가 송천센트럴파크2단지</t>
        </is>
      </c>
      <c r="B88" s="74" t="inlineStr">
        <is>
          <t>08.01.</t>
        </is>
      </c>
      <c r="C88" s="126" t="n">
        <v>468</v>
      </c>
      <c r="D88" s="127" t="n">
        <v>105.9</v>
      </c>
      <c r="E88" s="128" t="n">
        <v>32</v>
      </c>
      <c r="F88" s="127" t="n">
        <v>84.8</v>
      </c>
      <c r="G88" s="17" t="n">
        <v>26</v>
      </c>
      <c r="H88" s="129" t="n">
        <v>118</v>
      </c>
      <c r="I88" s="130" t="n">
        <v>37500</v>
      </c>
      <c r="J88" s="130" t="inlineStr">
        <is>
          <t>11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105</v>
      </c>
      <c r="U88" s="9" t="n"/>
    </row>
    <row r="89" ht="12" customFormat="1" customHeight="1" s="37">
      <c r="A89" s="73" t="inlineStr">
        <is>
          <t>덕진동2가 제일오투그란데</t>
        </is>
      </c>
      <c r="B89" s="74" t="inlineStr">
        <is>
          <t>13.01.</t>
        </is>
      </c>
      <c r="C89" s="126" t="n">
        <v>319</v>
      </c>
      <c r="D89" s="127" t="n">
        <v>106.4</v>
      </c>
      <c r="E89" s="128" t="n">
        <v>32</v>
      </c>
      <c r="F89" s="127" t="n">
        <v>76.59999999999999</v>
      </c>
      <c r="G89" s="17" t="n">
        <v>23</v>
      </c>
      <c r="H89" s="129" t="n">
        <v>117</v>
      </c>
      <c r="I89" s="130" t="n">
        <v>37000</v>
      </c>
      <c r="J89" s="130" t="inlineStr">
        <is>
          <t>8</t>
        </is>
      </c>
      <c r="K89" s="130" t="n">
        <v>33000</v>
      </c>
      <c r="L89" s="130" t="inlineStr">
        <is>
          <t>11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106A</t>
        </is>
      </c>
      <c r="U89" s="9" t="n"/>
    </row>
    <row r="90" ht="12" customFormat="1" customHeight="1" s="37">
      <c r="A90" s="73" t="inlineStr">
        <is>
          <t>반월동 반월세움펠리피아2차</t>
        </is>
      </c>
      <c r="B90" s="74" t="inlineStr">
        <is>
          <t>19.10.</t>
        </is>
      </c>
      <c r="C90" s="126" t="n">
        <v>505</v>
      </c>
      <c r="D90" s="127" t="n">
        <v>114.2</v>
      </c>
      <c r="E90" s="128" t="n">
        <v>35</v>
      </c>
      <c r="F90" s="127" t="n">
        <v>84.8</v>
      </c>
      <c r="G90" s="17" t="n">
        <v>26</v>
      </c>
      <c r="H90" s="129" t="n">
        <v>158</v>
      </c>
      <c r="I90" s="130" t="n">
        <v>37000</v>
      </c>
      <c r="J90" s="130" t="inlineStr">
        <is>
          <t>고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114</v>
      </c>
      <c r="U90" s="9" t="n"/>
    </row>
    <row r="91" ht="12" customFormat="1" customHeight="1" s="37">
      <c r="A91" s="73" t="inlineStr">
        <is>
          <t>송천동1가 KJ라미안</t>
        </is>
      </c>
      <c r="B91" s="74" t="inlineStr">
        <is>
          <t>06.06.</t>
        </is>
      </c>
      <c r="C91" s="126" t="n">
        <v>360</v>
      </c>
      <c r="D91" s="127" t="n">
        <v>135.2</v>
      </c>
      <c r="E91" s="128" t="n">
        <v>41</v>
      </c>
      <c r="F91" s="127" t="n">
        <v>102.9</v>
      </c>
      <c r="G91" s="17" t="n">
        <v>31</v>
      </c>
      <c r="H91" s="129" t="n">
        <v>360</v>
      </c>
      <c r="I91" s="130" t="n">
        <v>37000</v>
      </c>
      <c r="J91" s="130" t="inlineStr">
        <is>
          <t>8</t>
        </is>
      </c>
      <c r="K91" s="130" t="n">
        <v>31000</v>
      </c>
      <c r="L91" s="130" t="inlineStr">
        <is>
          <t>10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135</v>
      </c>
      <c r="U91" s="9" t="n"/>
    </row>
    <row r="92" ht="12" customFormat="1" customHeight="1" s="37">
      <c r="A92" s="73" t="inlineStr">
        <is>
          <t>우아동3가 KTX전주역클래시아더스카이</t>
        </is>
      </c>
      <c r="B92" s="74" t="inlineStr">
        <is>
          <t>21.02.</t>
        </is>
      </c>
      <c r="C92" s="126" t="n">
        <v>323</v>
      </c>
      <c r="D92" s="127" t="n">
        <v>81.7</v>
      </c>
      <c r="E92" s="128" t="n">
        <v>25</v>
      </c>
      <c r="F92" s="127" t="n">
        <v>59.9</v>
      </c>
      <c r="G92" s="17" t="n">
        <v>18</v>
      </c>
      <c r="H92" s="129" t="n">
        <v>82</v>
      </c>
      <c r="I92" s="130" t="n">
        <v>37000</v>
      </c>
      <c r="J92" s="130" t="inlineStr">
        <is>
          <t>8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81A</t>
        </is>
      </c>
      <c r="U92" s="9" t="n"/>
    </row>
    <row r="93" ht="12" customFormat="1" customHeight="1" s="37">
      <c r="A93" s="73" t="inlineStr">
        <is>
          <t>송천동1가 벽산e-리버파크</t>
        </is>
      </c>
      <c r="B93" s="74" t="inlineStr">
        <is>
          <t>13.10.</t>
        </is>
      </c>
      <c r="C93" s="126" t="n">
        <v>464</v>
      </c>
      <c r="D93" s="127" t="n">
        <v>110.9</v>
      </c>
      <c r="E93" s="128" t="n">
        <v>34</v>
      </c>
      <c r="F93" s="127" t="n">
        <v>84.90000000000001</v>
      </c>
      <c r="G93" s="17" t="n">
        <v>26</v>
      </c>
      <c r="H93" s="129" t="n">
        <v>180</v>
      </c>
      <c r="I93" s="130" t="n">
        <v>36000</v>
      </c>
      <c r="J93" s="130" t="inlineStr">
        <is>
          <t>8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</row>
    <row r="94" ht="12" customFormat="1" customHeight="1" s="37">
      <c r="A94" s="73" t="inlineStr">
        <is>
          <t>덕진동2가 전주하가휴먼빌</t>
        </is>
      </c>
      <c r="B94" s="74" t="inlineStr">
        <is>
          <t>10.04.</t>
        </is>
      </c>
      <c r="C94" s="126" t="n">
        <v>331</v>
      </c>
      <c r="D94" s="127" t="n">
        <v>109.5</v>
      </c>
      <c r="E94" s="128" t="n">
        <v>33</v>
      </c>
      <c r="F94" s="127" t="n">
        <v>85</v>
      </c>
      <c r="G94" s="17" t="n">
        <v>26</v>
      </c>
      <c r="H94" s="129" t="n">
        <v>211</v>
      </c>
      <c r="I94" s="130" t="n">
        <v>35500</v>
      </c>
      <c r="J94" s="130" t="inlineStr">
        <is>
          <t>11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inlineStr">
        <is>
          <t>109B</t>
        </is>
      </c>
      <c r="U94" s="9" t="n"/>
    </row>
    <row r="95" ht="12" customFormat="1" customHeight="1" s="37">
      <c r="A95" s="73" t="inlineStr">
        <is>
          <t>우아동3가 e편한세상우아</t>
        </is>
      </c>
      <c r="B95" s="74" t="inlineStr">
        <is>
          <t>18.12.</t>
        </is>
      </c>
      <c r="C95" s="126" t="n">
        <v>750</v>
      </c>
      <c r="D95" s="127" t="n">
        <v>82.3</v>
      </c>
      <c r="E95" s="128" t="n">
        <v>25</v>
      </c>
      <c r="F95" s="127" t="n">
        <v>59.9</v>
      </c>
      <c r="G95" s="17" t="n">
        <v>18</v>
      </c>
      <c r="H95" s="129" t="n">
        <v>162</v>
      </c>
      <c r="I95" s="130" t="n">
        <v>35500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82</v>
      </c>
      <c r="U95" s="9" t="n"/>
    </row>
    <row r="96" ht="12" customFormat="1" customHeight="1" s="37">
      <c r="A96" s="73" t="inlineStr">
        <is>
          <t>호성동2가 진흥더블유파크3단지</t>
        </is>
      </c>
      <c r="B96" s="74" t="inlineStr">
        <is>
          <t>08.09.</t>
        </is>
      </c>
      <c r="C96" s="126" t="n">
        <v>791</v>
      </c>
      <c r="D96" s="127" t="n">
        <v>112.5</v>
      </c>
      <c r="E96" s="128" t="n">
        <v>34</v>
      </c>
      <c r="F96" s="127" t="n">
        <v>84.7</v>
      </c>
      <c r="G96" s="17" t="n">
        <v>26</v>
      </c>
      <c r="H96" s="129" t="n">
        <v>46</v>
      </c>
      <c r="I96" s="130" t="n">
        <v>35500</v>
      </c>
      <c r="J96" s="130" t="inlineStr">
        <is>
          <t>11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112</v>
      </c>
      <c r="U96" s="9" t="n"/>
    </row>
    <row r="97" ht="12" customFormat="1" customHeight="1" s="37">
      <c r="A97" s="73" t="inlineStr">
        <is>
          <t>만성동 LH퍼스트리움</t>
        </is>
      </c>
      <c r="B97" s="74" t="inlineStr">
        <is>
          <t>18.01.</t>
        </is>
      </c>
      <c r="C97" s="126" t="n">
        <v>711</v>
      </c>
      <c r="D97" s="127" t="n">
        <v>84</v>
      </c>
      <c r="E97" s="128" t="n">
        <v>25</v>
      </c>
      <c r="F97" s="127" t="n">
        <v>60</v>
      </c>
      <c r="G97" s="17" t="n">
        <v>18</v>
      </c>
      <c r="H97" s="129" t="n">
        <v>546</v>
      </c>
      <c r="I97" s="130" t="n">
        <v>35000</v>
      </c>
      <c r="J97" s="130" t="inlineStr">
        <is>
          <t>7</t>
        </is>
      </c>
      <c r="K97" s="130" t="n">
        <v>31000</v>
      </c>
      <c r="L97" s="130" t="inlineStr">
        <is>
          <t>14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84A</t>
        </is>
      </c>
      <c r="U97" s="9" t="n"/>
    </row>
    <row r="98" ht="12" customFormat="1" customHeight="1" s="37">
      <c r="A98" s="73" t="inlineStr">
        <is>
          <t>송천동1가 송천자이</t>
        </is>
      </c>
      <c r="B98" s="74" t="inlineStr">
        <is>
          <t>06.06.</t>
        </is>
      </c>
      <c r="C98" s="126" t="n">
        <v>428</v>
      </c>
      <c r="D98" s="127" t="n">
        <v>113.2</v>
      </c>
      <c r="E98" s="128" t="n">
        <v>34</v>
      </c>
      <c r="F98" s="127" t="n">
        <v>85</v>
      </c>
      <c r="G98" s="17" t="n">
        <v>26</v>
      </c>
      <c r="H98" s="129" t="n">
        <v>324</v>
      </c>
      <c r="I98" s="130" t="n">
        <v>35000</v>
      </c>
      <c r="J98" s="130" t="inlineStr">
        <is>
          <t>12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113</v>
      </c>
      <c r="U98" s="9" t="n"/>
    </row>
    <row r="99" ht="12" customFormat="1" customHeight="1" s="37">
      <c r="A99" s="73" t="inlineStr">
        <is>
          <t>인후동1가 인후한신휴플러스</t>
        </is>
      </c>
      <c r="B99" s="74" t="inlineStr">
        <is>
          <t>06.11.</t>
        </is>
      </c>
      <c r="C99" s="126" t="n">
        <v>1236</v>
      </c>
      <c r="D99" s="127" t="n">
        <v>108.4</v>
      </c>
      <c r="E99" s="128" t="n">
        <v>33</v>
      </c>
      <c r="F99" s="127" t="n">
        <v>85</v>
      </c>
      <c r="G99" s="17" t="n">
        <v>26</v>
      </c>
      <c r="H99" s="129" t="n">
        <v>382</v>
      </c>
      <c r="I99" s="130" t="n">
        <v>35000</v>
      </c>
      <c r="J99" s="130" t="inlineStr">
        <is>
          <t>중</t>
        </is>
      </c>
      <c r="K99" s="130" t="n">
        <v>30000</v>
      </c>
      <c r="L99" s="130" t="inlineStr">
        <is>
          <t>고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108</v>
      </c>
      <c r="U99" s="9" t="n"/>
    </row>
    <row r="100" ht="12" customFormat="1" customHeight="1" s="37">
      <c r="A100" s="73" t="inlineStr">
        <is>
          <t>금암동 금암중앙하이츠</t>
        </is>
      </c>
      <c r="B100" s="74" t="inlineStr">
        <is>
          <t>07.07.</t>
        </is>
      </c>
      <c r="C100" s="126" t="n">
        <v>602</v>
      </c>
      <c r="D100" s="127" t="n">
        <v>173</v>
      </c>
      <c r="E100" s="128" t="n">
        <v>52</v>
      </c>
      <c r="F100" s="127" t="n">
        <v>145.6</v>
      </c>
      <c r="G100" s="17" t="n">
        <v>44</v>
      </c>
      <c r="H100" s="129" t="n">
        <v>69</v>
      </c>
      <c r="I100" s="130" t="n">
        <v>33000</v>
      </c>
      <c r="J100" s="130" t="inlineStr">
        <is>
          <t>중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5</v>
      </c>
      <c r="R100" s="117" t="n">
        <v>2</v>
      </c>
      <c r="S100" s="117" t="inlineStr">
        <is>
          <t>계</t>
        </is>
      </c>
      <c r="T100" s="5" t="n">
        <v>173</v>
      </c>
      <c r="U100" s="9" t="n"/>
    </row>
    <row r="101" ht="12" customFormat="1" customHeight="1" s="37">
      <c r="A101" s="73" t="inlineStr">
        <is>
          <t>덕진동2가 전주덕진휴먼빌2차</t>
        </is>
      </c>
      <c r="B101" s="74" t="inlineStr">
        <is>
          <t>16.12.</t>
        </is>
      </c>
      <c r="C101" s="126" t="n">
        <v>367</v>
      </c>
      <c r="D101" s="127" t="n">
        <v>81.3</v>
      </c>
      <c r="E101" s="128" t="n">
        <v>25</v>
      </c>
      <c r="F101" s="127" t="n">
        <v>60</v>
      </c>
      <c r="G101" s="17" t="n">
        <v>18</v>
      </c>
      <c r="H101" s="129" t="n">
        <v>94</v>
      </c>
      <c r="I101" s="130" t="n">
        <v>31000</v>
      </c>
      <c r="J101" s="130" t="inlineStr">
        <is>
          <t>12</t>
        </is>
      </c>
      <c r="K101" s="130" t="n">
        <v>27000</v>
      </c>
      <c r="L101" s="130" t="inlineStr">
        <is>
          <t>9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81B</t>
        </is>
      </c>
      <c r="U101" s="9" t="n"/>
    </row>
    <row r="102" ht="12" customFormat="1" customHeight="1" s="37">
      <c r="A102" s="73" t="inlineStr">
        <is>
          <t>인후동2가 건지산이지움</t>
        </is>
      </c>
      <c r="B102" s="74" t="inlineStr">
        <is>
          <t>16.08.</t>
        </is>
      </c>
      <c r="C102" s="126" t="n">
        <v>371</v>
      </c>
      <c r="D102" s="127" t="n">
        <v>83.7</v>
      </c>
      <c r="E102" s="128" t="n">
        <v>25</v>
      </c>
      <c r="F102" s="127" t="n">
        <v>59.9</v>
      </c>
      <c r="G102" s="17" t="n">
        <v>18</v>
      </c>
      <c r="H102" s="129" t="n">
        <v>179</v>
      </c>
      <c r="I102" s="130" t="n">
        <v>31000</v>
      </c>
      <c r="J102" s="130" t="inlineStr">
        <is>
          <t>15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inlineStr">
        <is>
          <t>83A</t>
        </is>
      </c>
      <c r="U102" s="9" t="n"/>
    </row>
    <row r="103" ht="12" customFormat="1" customHeight="1" s="37">
      <c r="A103" s="73" t="inlineStr">
        <is>
          <t>송천동1가 송천신일</t>
        </is>
      </c>
      <c r="B103" s="74" t="inlineStr">
        <is>
          <t>93.12.</t>
        </is>
      </c>
      <c r="C103" s="126" t="n">
        <v>753</v>
      </c>
      <c r="D103" s="127" t="n">
        <v>152.9</v>
      </c>
      <c r="E103" s="128" t="n">
        <v>46</v>
      </c>
      <c r="F103" s="127" t="n">
        <v>130.4</v>
      </c>
      <c r="G103" s="17" t="n">
        <v>39</v>
      </c>
      <c r="H103" s="129" t="n">
        <v>160</v>
      </c>
      <c r="I103" s="130" t="n">
        <v>30000</v>
      </c>
      <c r="J103" s="130" t="inlineStr">
        <is>
          <t>13</t>
        </is>
      </c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4</v>
      </c>
      <c r="R103" s="117" t="n">
        <v>2</v>
      </c>
      <c r="S103" s="117" t="inlineStr">
        <is>
          <t>계</t>
        </is>
      </c>
      <c r="T103" s="5" t="n">
        <v>152</v>
      </c>
      <c r="U103" s="9" t="n"/>
    </row>
    <row r="104" ht="12" customFormat="1" customHeight="1" s="37">
      <c r="A104" s="73" t="inlineStr">
        <is>
          <t>송천동2가 송천현대3차</t>
        </is>
      </c>
      <c r="B104" s="74" t="inlineStr">
        <is>
          <t>98.10.</t>
        </is>
      </c>
      <c r="C104" s="126" t="n">
        <v>915</v>
      </c>
      <c r="D104" s="127" t="n">
        <v>106.5</v>
      </c>
      <c r="E104" s="128" t="n">
        <v>32</v>
      </c>
      <c r="F104" s="127" t="n">
        <v>85</v>
      </c>
      <c r="G104" s="17" t="n">
        <v>26</v>
      </c>
      <c r="H104" s="129" t="n">
        <v>438</v>
      </c>
      <c r="I104" s="130" t="n">
        <v>29500</v>
      </c>
      <c r="J104" s="130" t="inlineStr">
        <is>
          <t>5</t>
        </is>
      </c>
      <c r="K104" s="130" t="n">
        <v>28000</v>
      </c>
      <c r="L104" s="130" t="inlineStr">
        <is>
          <t>17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n">
        <v>106</v>
      </c>
      <c r="U104" s="9" t="n"/>
    </row>
    <row r="105" ht="12" customFormat="1" customHeight="1" s="37">
      <c r="A105" s="73" t="inlineStr">
        <is>
          <t>인후동1가 아중현대</t>
        </is>
      </c>
      <c r="B105" s="74" t="inlineStr">
        <is>
          <t>98.01.</t>
        </is>
      </c>
      <c r="C105" s="126" t="n">
        <v>1153</v>
      </c>
      <c r="D105" s="127" t="n">
        <v>138.5</v>
      </c>
      <c r="E105" s="128" t="n">
        <v>42</v>
      </c>
      <c r="F105" s="127" t="n">
        <v>114.9</v>
      </c>
      <c r="G105" s="17" t="n">
        <v>35</v>
      </c>
      <c r="H105" s="129" t="n">
        <v>148</v>
      </c>
      <c r="I105" s="130" t="n">
        <v>29000</v>
      </c>
      <c r="J105" s="130" t="inlineStr">
        <is>
          <t>중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138</v>
      </c>
      <c r="U105" s="9" t="n"/>
    </row>
    <row r="106" ht="12" customFormat="1" customHeight="1" s="37">
      <c r="A106" s="73" t="inlineStr">
        <is>
          <t>여의동2가 동산골드클래스</t>
        </is>
      </c>
      <c r="B106" s="74" t="inlineStr">
        <is>
          <t>15.12.</t>
        </is>
      </c>
      <c r="C106" s="126" t="n">
        <v>310</v>
      </c>
      <c r="D106" s="127" t="n">
        <v>112.3</v>
      </c>
      <c r="E106" s="128" t="n">
        <v>34</v>
      </c>
      <c r="F106" s="127" t="n">
        <v>84.7</v>
      </c>
      <c r="G106" s="17" t="n">
        <v>26</v>
      </c>
      <c r="H106" s="129" t="n">
        <v>310</v>
      </c>
      <c r="I106" s="130" t="n">
        <v>28000</v>
      </c>
      <c r="J106" s="130" t="inlineStr">
        <is>
          <t>17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112</v>
      </c>
      <c r="U106" s="9" t="n"/>
    </row>
    <row r="107" ht="12" customFormat="1" customHeight="1" s="37">
      <c r="A107" s="73" t="inlineStr">
        <is>
          <t>반월동 반월세움펠리피아2차</t>
        </is>
      </c>
      <c r="B107" s="74" t="inlineStr">
        <is>
          <t>19.10.</t>
        </is>
      </c>
      <c r="C107" s="126" t="n">
        <v>505</v>
      </c>
      <c r="D107" s="127" t="n">
        <v>87</v>
      </c>
      <c r="E107" s="128" t="n">
        <v>26</v>
      </c>
      <c r="F107" s="127" t="n">
        <v>64.59999999999999</v>
      </c>
      <c r="G107" s="17" t="n">
        <v>20</v>
      </c>
      <c r="H107" s="129" t="n">
        <v>159</v>
      </c>
      <c r="I107" s="130" t="n">
        <v>27000</v>
      </c>
      <c r="J107" s="130" t="inlineStr">
        <is>
          <t>중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87</v>
      </c>
      <c r="U107" s="9" t="n"/>
    </row>
    <row r="108" ht="12" customFormat="1" customHeight="1" s="37">
      <c r="A108" s="73" t="inlineStr">
        <is>
          <t>송천동2가 송천주공</t>
        </is>
      </c>
      <c r="B108" s="74" t="inlineStr">
        <is>
          <t>98.12.</t>
        </is>
      </c>
      <c r="C108" s="126" t="n">
        <v>1992</v>
      </c>
      <c r="D108" s="127" t="n">
        <v>109.1</v>
      </c>
      <c r="E108" s="128" t="n">
        <v>33</v>
      </c>
      <c r="F108" s="127" t="n">
        <v>84.90000000000001</v>
      </c>
      <c r="G108" s="17" t="n">
        <v>26</v>
      </c>
      <c r="H108" s="129" t="n">
        <v>195</v>
      </c>
      <c r="I108" s="130" t="n">
        <v>27000</v>
      </c>
      <c r="J108" s="130" t="inlineStr">
        <is>
          <t>중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109B</t>
        </is>
      </c>
      <c r="U108" s="9" t="n"/>
    </row>
    <row r="109" ht="12" customFormat="1" customHeight="1" s="37">
      <c r="A109" s="73" t="inlineStr">
        <is>
          <t>진북동 동국해성</t>
        </is>
      </c>
      <c r="B109" s="74" t="inlineStr">
        <is>
          <t>95.10.</t>
        </is>
      </c>
      <c r="C109" s="126" t="n">
        <v>643</v>
      </c>
      <c r="D109" s="127" t="n">
        <v>158.8</v>
      </c>
      <c r="E109" s="128" t="n">
        <v>48</v>
      </c>
      <c r="F109" s="127" t="n">
        <v>134.9</v>
      </c>
      <c r="G109" s="17" t="n">
        <v>41</v>
      </c>
      <c r="H109" s="129" t="n">
        <v>60</v>
      </c>
      <c r="I109" s="130" t="n">
        <v>27000</v>
      </c>
      <c r="J109" s="130" t="inlineStr">
        <is>
          <t>중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4</v>
      </c>
      <c r="R109" s="117" t="n">
        <v>2</v>
      </c>
      <c r="S109" s="117" t="inlineStr">
        <is>
          <t>계</t>
        </is>
      </c>
      <c r="T109" s="5" t="n">
        <v>158</v>
      </c>
      <c r="U109" s="9" t="n"/>
    </row>
    <row r="110" ht="12" customFormat="1" customHeight="1" s="37">
      <c r="A110" s="73" t="inlineStr">
        <is>
          <t>호성동1가 LG동아</t>
        </is>
      </c>
      <c r="B110" s="74" t="inlineStr">
        <is>
          <t>95.04.</t>
        </is>
      </c>
      <c r="C110" s="126" t="n">
        <v>796</v>
      </c>
      <c r="D110" s="127" t="n">
        <v>150.6</v>
      </c>
      <c r="E110" s="128" t="n">
        <v>46</v>
      </c>
      <c r="F110" s="127" t="n">
        <v>126.3</v>
      </c>
      <c r="G110" s="17" t="n">
        <v>38</v>
      </c>
      <c r="H110" s="129" t="n">
        <v>172</v>
      </c>
      <c r="I110" s="130" t="n">
        <v>27000</v>
      </c>
      <c r="J110" s="130" t="inlineStr">
        <is>
          <t>18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n">
        <v>150</v>
      </c>
      <c r="U110" s="9" t="n"/>
    </row>
    <row r="111" ht="12" customFormat="1" customHeight="1" s="37">
      <c r="A111" s="73" t="inlineStr">
        <is>
          <t>금암동 금암중앙하이츠</t>
        </is>
      </c>
      <c r="B111" s="74" t="inlineStr">
        <is>
          <t>07.07.</t>
        </is>
      </c>
      <c r="C111" s="126" t="n">
        <v>602</v>
      </c>
      <c r="D111" s="127" t="n">
        <v>109.5</v>
      </c>
      <c r="E111" s="128" t="n">
        <v>33</v>
      </c>
      <c r="F111" s="127" t="n">
        <v>84.90000000000001</v>
      </c>
      <c r="G111" s="17" t="n">
        <v>26</v>
      </c>
      <c r="H111" s="129" t="n">
        <v>244</v>
      </c>
      <c r="I111" s="130" t="n">
        <v>26500</v>
      </c>
      <c r="J111" s="130" t="inlineStr">
        <is>
          <t>중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109A</t>
        </is>
      </c>
      <c r="U111" s="9" t="n"/>
    </row>
    <row r="112" ht="12" customFormat="1" customHeight="1" s="37">
      <c r="A112" s="73" t="inlineStr">
        <is>
          <t>우아동2가 진버들마을대우2차</t>
        </is>
      </c>
      <c r="B112" s="74" t="inlineStr">
        <is>
          <t>99.11.</t>
        </is>
      </c>
      <c r="C112" s="126" t="n">
        <v>450</v>
      </c>
      <c r="D112" s="127" t="n">
        <v>126.7</v>
      </c>
      <c r="E112" s="128" t="n">
        <v>38</v>
      </c>
      <c r="F112" s="127" t="n">
        <v>103.3</v>
      </c>
      <c r="G112" s="17" t="n">
        <v>31</v>
      </c>
      <c r="H112" s="129" t="n">
        <v>114</v>
      </c>
      <c r="I112" s="130" t="n">
        <v>26500</v>
      </c>
      <c r="J112" s="130" t="inlineStr">
        <is>
          <t>중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126</v>
      </c>
      <c r="U112" s="9" t="n"/>
    </row>
    <row r="113" ht="12" customFormat="1" customHeight="1" s="37">
      <c r="A113" s="73" t="inlineStr">
        <is>
          <t>인후동1가 인후한신휴플러스</t>
        </is>
      </c>
      <c r="B113" s="74" t="inlineStr">
        <is>
          <t>06.11.</t>
        </is>
      </c>
      <c r="C113" s="126" t="n">
        <v>1236</v>
      </c>
      <c r="D113" s="127" t="n">
        <v>83.7</v>
      </c>
      <c r="E113" s="128" t="n">
        <v>25</v>
      </c>
      <c r="F113" s="127" t="n">
        <v>60</v>
      </c>
      <c r="G113" s="17" t="n">
        <v>18</v>
      </c>
      <c r="H113" s="129" t="n">
        <v>198</v>
      </c>
      <c r="I113" s="130" t="n">
        <v>26500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83</v>
      </c>
      <c r="U113" s="9" t="n"/>
    </row>
    <row r="114" ht="12" customFormat="1" customHeight="1" s="37">
      <c r="A114" s="73" t="inlineStr">
        <is>
          <t>인후동1가 위브어울림</t>
        </is>
      </c>
      <c r="B114" s="74" t="inlineStr">
        <is>
          <t>07.01.</t>
        </is>
      </c>
      <c r="C114" s="126" t="n">
        <v>1549</v>
      </c>
      <c r="D114" s="127" t="n">
        <v>80.59999999999999</v>
      </c>
      <c r="E114" s="128" t="n">
        <v>24</v>
      </c>
      <c r="F114" s="127" t="n">
        <v>59.6</v>
      </c>
      <c r="G114" s="17" t="n">
        <v>18</v>
      </c>
      <c r="H114" s="129" t="n">
        <v>238</v>
      </c>
      <c r="I114" s="130" t="n">
        <v>26000</v>
      </c>
      <c r="J114" s="130" t="inlineStr">
        <is>
          <t>고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80C</t>
        </is>
      </c>
      <c r="U114" s="9" t="n"/>
    </row>
    <row r="115" ht="12" customFormat="1" customHeight="1" s="37">
      <c r="A115" s="73" t="inlineStr">
        <is>
          <t>진북동 우성</t>
        </is>
      </c>
      <c r="B115" s="74" t="inlineStr">
        <is>
          <t>95.10.</t>
        </is>
      </c>
      <c r="C115" s="126" t="n">
        <v>2102</v>
      </c>
      <c r="D115" s="127" t="n">
        <v>192.5</v>
      </c>
      <c r="E115" s="128" t="n">
        <v>58</v>
      </c>
      <c r="F115" s="127" t="n">
        <v>165.5</v>
      </c>
      <c r="G115" s="17" t="n">
        <v>50</v>
      </c>
      <c r="H115" s="129" t="n">
        <v>80</v>
      </c>
      <c r="I115" s="130" t="n">
        <v>25500</v>
      </c>
      <c r="J115" s="130" t="inlineStr">
        <is>
          <t>중</t>
        </is>
      </c>
      <c r="K115" s="130" t="n"/>
      <c r="L115" s="130" t="n"/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4</v>
      </c>
      <c r="R115" s="117" t="n">
        <v>2</v>
      </c>
      <c r="S115" s="117" t="inlineStr">
        <is>
          <t>계</t>
        </is>
      </c>
      <c r="T115" s="5" t="n">
        <v>192</v>
      </c>
      <c r="U115" s="9" t="n"/>
    </row>
    <row r="116" ht="12" customFormat="1" customHeight="1" s="37">
      <c r="A116" s="73" t="inlineStr">
        <is>
          <t>송천동1가 서호1단지</t>
        </is>
      </c>
      <c r="B116" s="74" t="inlineStr">
        <is>
          <t>92.11.</t>
        </is>
      </c>
      <c r="C116" s="126" t="n">
        <v>480</v>
      </c>
      <c r="D116" s="127" t="n">
        <v>152.8</v>
      </c>
      <c r="E116" s="128" t="n">
        <v>46</v>
      </c>
      <c r="F116" s="127" t="n">
        <v>130.9</v>
      </c>
      <c r="G116" s="17" t="n">
        <v>40</v>
      </c>
      <c r="H116" s="129" t="n">
        <v>60</v>
      </c>
      <c r="I116" s="130" t="n">
        <v>25000</v>
      </c>
      <c r="J116" s="130" t="inlineStr">
        <is>
          <t>11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n">
        <v>152</v>
      </c>
      <c r="U116" s="9" t="n"/>
    </row>
    <row r="117" ht="12" customFormat="1" customHeight="1" s="37">
      <c r="A117" s="73" t="inlineStr">
        <is>
          <t>인후동1가 아중현대</t>
        </is>
      </c>
      <c r="B117" s="74" t="inlineStr">
        <is>
          <t>98.01.</t>
        </is>
      </c>
      <c r="C117" s="126" t="n">
        <v>1153</v>
      </c>
      <c r="D117" s="127" t="n">
        <v>102.4</v>
      </c>
      <c r="E117" s="128" t="n">
        <v>31</v>
      </c>
      <c r="F117" s="127" t="n">
        <v>85</v>
      </c>
      <c r="G117" s="17" t="n">
        <v>26</v>
      </c>
      <c r="H117" s="129" t="n">
        <v>649</v>
      </c>
      <c r="I117" s="130" t="n">
        <v>24200</v>
      </c>
      <c r="J117" s="130" t="inlineStr">
        <is>
          <t>10</t>
        </is>
      </c>
      <c r="K117" s="130" t="n">
        <v>21500</v>
      </c>
      <c r="L117" s="130" t="inlineStr">
        <is>
          <t>고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102</v>
      </c>
      <c r="U117" s="9" t="n"/>
    </row>
    <row r="118" ht="12" customFormat="1" customHeight="1" s="37">
      <c r="A118" s="73" t="inlineStr">
        <is>
          <t>인후동1가 전주인후휴먼시아</t>
        </is>
      </c>
      <c r="B118" s="74" t="inlineStr">
        <is>
          <t>08.02.</t>
        </is>
      </c>
      <c r="C118" s="126" t="n">
        <v>423</v>
      </c>
      <c r="D118" s="127" t="n">
        <v>99</v>
      </c>
      <c r="E118" s="128" t="n">
        <v>30</v>
      </c>
      <c r="F118" s="127" t="n">
        <v>75.90000000000001</v>
      </c>
      <c r="G118" s="17" t="n">
        <v>23</v>
      </c>
      <c r="H118" s="129" t="n">
        <v>112</v>
      </c>
      <c r="I118" s="130" t="n">
        <v>24000</v>
      </c>
      <c r="J118" s="130" t="inlineStr">
        <is>
          <t>15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99</v>
      </c>
      <c r="U118" s="9" t="n"/>
    </row>
    <row r="119" ht="12" customFormat="1" customHeight="1" s="37">
      <c r="A119" s="73" t="inlineStr">
        <is>
          <t>송천동1가 현대2차</t>
        </is>
      </c>
      <c r="B119" s="74" t="inlineStr">
        <is>
          <t>97.05.</t>
        </is>
      </c>
      <c r="C119" s="126" t="n">
        <v>585</v>
      </c>
      <c r="D119" s="127" t="n">
        <v>106.7</v>
      </c>
      <c r="E119" s="128" t="n">
        <v>32</v>
      </c>
      <c r="F119" s="127" t="n">
        <v>85</v>
      </c>
      <c r="G119" s="17" t="n">
        <v>26</v>
      </c>
      <c r="H119" s="129" t="n">
        <v>215</v>
      </c>
      <c r="I119" s="130" t="n">
        <v>23800</v>
      </c>
      <c r="J119" s="130" t="inlineStr">
        <is>
          <t>18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106</v>
      </c>
      <c r="U119" s="9" t="n"/>
    </row>
    <row r="120" ht="12" customFormat="1" customHeight="1" s="37">
      <c r="A120" s="73" t="inlineStr">
        <is>
          <t>반월동 반월세움펠리피아2차</t>
        </is>
      </c>
      <c r="B120" s="74" t="inlineStr">
        <is>
          <t>19.10.</t>
        </is>
      </c>
      <c r="C120" s="126" t="n">
        <v>505</v>
      </c>
      <c r="D120" s="127" t="n">
        <v>80.40000000000001</v>
      </c>
      <c r="E120" s="128" t="n">
        <v>24</v>
      </c>
      <c r="F120" s="127" t="n">
        <v>59.7</v>
      </c>
      <c r="G120" s="17" t="n">
        <v>18</v>
      </c>
      <c r="H120" s="129" t="n">
        <v>188</v>
      </c>
      <c r="I120" s="130" t="n">
        <v>23500</v>
      </c>
      <c r="J120" s="130" t="inlineStr">
        <is>
          <t>중</t>
        </is>
      </c>
      <c r="K120" s="130" t="n">
        <v>21000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80</v>
      </c>
      <c r="U120" s="9" t="n"/>
    </row>
    <row r="121" ht="12" customFormat="1" customHeight="1" s="37">
      <c r="A121" s="73" t="inlineStr">
        <is>
          <t>인후동1가 아중마을부영6차</t>
        </is>
      </c>
      <c r="B121" s="74" t="inlineStr">
        <is>
          <t>03.09.</t>
        </is>
      </c>
      <c r="C121" s="126" t="n">
        <v>800</v>
      </c>
      <c r="D121" s="127" t="n">
        <v>104</v>
      </c>
      <c r="E121" s="128" t="n">
        <v>31</v>
      </c>
      <c r="F121" s="127" t="n">
        <v>84.8</v>
      </c>
      <c r="G121" s="17" t="n">
        <v>26</v>
      </c>
      <c r="H121" s="129" t="n">
        <v>694</v>
      </c>
      <c r="I121" s="130" t="n">
        <v>23000</v>
      </c>
      <c r="J121" s="130" t="inlineStr">
        <is>
          <t>6</t>
        </is>
      </c>
      <c r="K121" s="130" t="n">
        <v>23000</v>
      </c>
      <c r="L121" s="130" t="inlineStr">
        <is>
          <t>11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104</v>
      </c>
      <c r="U121" s="9" t="n"/>
    </row>
    <row r="122" ht="12" customFormat="1" customHeight="1" s="37">
      <c r="A122" s="73" t="inlineStr">
        <is>
          <t>송천동1가 한양</t>
        </is>
      </c>
      <c r="B122" s="74" t="inlineStr">
        <is>
          <t>93.05.</t>
        </is>
      </c>
      <c r="C122" s="126" t="n">
        <v>782</v>
      </c>
      <c r="D122" s="127" t="n">
        <v>141.2</v>
      </c>
      <c r="E122" s="128" t="n">
        <v>43</v>
      </c>
      <c r="F122" s="127" t="n">
        <v>116.7</v>
      </c>
      <c r="G122" s="17" t="n">
        <v>35</v>
      </c>
      <c r="H122" s="129" t="n">
        <v>162</v>
      </c>
      <c r="I122" s="130" t="n">
        <v>22000</v>
      </c>
      <c r="J122" s="130" t="inlineStr">
        <is>
          <t>6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4</v>
      </c>
      <c r="R122" s="117" t="n">
        <v>2</v>
      </c>
      <c r="S122" s="117" t="inlineStr">
        <is>
          <t>계</t>
        </is>
      </c>
      <c r="T122" s="5" t="n">
        <v>141</v>
      </c>
      <c r="U122" s="9" t="n"/>
    </row>
    <row r="123" ht="12" customFormat="1" customHeight="1" s="37">
      <c r="A123" s="73" t="inlineStr">
        <is>
          <t>호성동1가 동아</t>
        </is>
      </c>
      <c r="B123" s="74" t="inlineStr">
        <is>
          <t>94.12.</t>
        </is>
      </c>
      <c r="C123" s="126" t="n">
        <v>684</v>
      </c>
      <c r="D123" s="127" t="n">
        <v>149.1</v>
      </c>
      <c r="E123" s="128" t="n">
        <v>45</v>
      </c>
      <c r="F123" s="127" t="n">
        <v>128</v>
      </c>
      <c r="G123" s="17" t="n">
        <v>39</v>
      </c>
      <c r="H123" s="129" t="n">
        <v>60</v>
      </c>
      <c r="I123" s="130" t="n">
        <v>22000</v>
      </c>
      <c r="J123" s="130" t="inlineStr">
        <is>
          <t>중</t>
        </is>
      </c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4</v>
      </c>
      <c r="R123" s="117" t="n">
        <v>2</v>
      </c>
      <c r="S123" s="117" t="inlineStr">
        <is>
          <t>계</t>
        </is>
      </c>
      <c r="T123" s="5" t="n">
        <v>149</v>
      </c>
      <c r="U123" s="9" t="n"/>
    </row>
    <row r="124" ht="12" customFormat="1" customHeight="1" s="37">
      <c r="A124" s="73" t="inlineStr">
        <is>
          <t>인후동1가 아중제일</t>
        </is>
      </c>
      <c r="B124" s="74" t="inlineStr">
        <is>
          <t>97.11.</t>
        </is>
      </c>
      <c r="C124" s="126" t="n">
        <v>464</v>
      </c>
      <c r="D124" s="127" t="n">
        <v>103.3</v>
      </c>
      <c r="E124" s="128" t="n">
        <v>31</v>
      </c>
      <c r="F124" s="127" t="n">
        <v>84.90000000000001</v>
      </c>
      <c r="G124" s="17" t="n">
        <v>26</v>
      </c>
      <c r="H124" s="129" t="n">
        <v>240</v>
      </c>
      <c r="I124" s="130" t="n">
        <v>21700</v>
      </c>
      <c r="J124" s="130" t="inlineStr">
        <is>
          <t>중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103A</t>
        </is>
      </c>
      <c r="U124" s="9" t="n"/>
    </row>
    <row r="125" ht="12" customFormat="1" customHeight="1" s="37">
      <c r="A125" s="73" t="inlineStr">
        <is>
          <t>송천동1가 현대2차</t>
        </is>
      </c>
      <c r="B125" s="74" t="inlineStr">
        <is>
          <t>97.05.</t>
        </is>
      </c>
      <c r="C125" s="126" t="n">
        <v>585</v>
      </c>
      <c r="D125" s="127" t="n">
        <v>96</v>
      </c>
      <c r="E125" s="128" t="n">
        <v>29</v>
      </c>
      <c r="F125" s="127" t="n">
        <v>75.09999999999999</v>
      </c>
      <c r="G125" s="17" t="n">
        <v>23</v>
      </c>
      <c r="H125" s="129" t="n">
        <v>108</v>
      </c>
      <c r="I125" s="130" t="n">
        <v>21500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96</v>
      </c>
      <c r="U125" s="9" t="n"/>
    </row>
    <row r="126" ht="12" customFormat="1" customHeight="1" s="37">
      <c r="A126" s="73" t="inlineStr">
        <is>
          <t>인후동1가 아중1차대우</t>
        </is>
      </c>
      <c r="B126" s="74" t="inlineStr">
        <is>
          <t>98.03.</t>
        </is>
      </c>
      <c r="C126" s="126" t="n">
        <v>870</v>
      </c>
      <c r="D126" s="127" t="n">
        <v>104.3</v>
      </c>
      <c r="E126" s="128" t="n">
        <v>32</v>
      </c>
      <c r="F126" s="127" t="n">
        <v>84.7</v>
      </c>
      <c r="G126" s="17" t="n">
        <v>26</v>
      </c>
      <c r="H126" s="129" t="n">
        <v>538</v>
      </c>
      <c r="I126" s="130" t="n">
        <v>20500</v>
      </c>
      <c r="J126" s="130" t="inlineStr">
        <is>
          <t>고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104A</t>
        </is>
      </c>
      <c r="U126" s="9" t="n"/>
    </row>
    <row r="127" ht="12" customFormat="1" customHeight="1" s="37">
      <c r="A127" s="73" t="inlineStr">
        <is>
          <t>진북동 우성</t>
        </is>
      </c>
      <c r="B127" s="74" t="inlineStr">
        <is>
          <t>95.10.</t>
        </is>
      </c>
      <c r="C127" s="126" t="n">
        <v>2102</v>
      </c>
      <c r="D127" s="127" t="n">
        <v>105</v>
      </c>
      <c r="E127" s="128" t="n">
        <v>32</v>
      </c>
      <c r="F127" s="127" t="n">
        <v>85</v>
      </c>
      <c r="G127" s="17" t="n">
        <v>26</v>
      </c>
      <c r="H127" s="129" t="n">
        <v>750</v>
      </c>
      <c r="I127" s="130" t="n">
        <v>20300</v>
      </c>
      <c r="J127" s="130" t="inlineStr">
        <is>
          <t>9</t>
        </is>
      </c>
      <c r="K127" s="130" t="n">
        <v>17000</v>
      </c>
      <c r="L127" s="130" t="inlineStr">
        <is>
          <t>9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104</v>
      </c>
      <c r="U127" s="9" t="n"/>
    </row>
    <row r="128" ht="12" customFormat="1" customHeight="1" s="37">
      <c r="A128" s="73" t="inlineStr">
        <is>
          <t>송천동1가 송천우림</t>
        </is>
      </c>
      <c r="B128" s="74" t="inlineStr">
        <is>
          <t>96.10.</t>
        </is>
      </c>
      <c r="C128" s="126" t="n">
        <v>417</v>
      </c>
      <c r="D128" s="127" t="n">
        <v>108.7</v>
      </c>
      <c r="E128" s="128" t="n">
        <v>33</v>
      </c>
      <c r="F128" s="127" t="n">
        <v>84.90000000000001</v>
      </c>
      <c r="G128" s="17" t="n">
        <v>26</v>
      </c>
      <c r="H128" s="129" t="n">
        <v>119</v>
      </c>
      <c r="I128" s="130" t="n">
        <v>20000</v>
      </c>
      <c r="J128" s="130" t="inlineStr">
        <is>
          <t>18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108B</t>
        </is>
      </c>
      <c r="U128" s="9" t="n"/>
    </row>
    <row r="129" ht="12" customFormat="1" customHeight="1" s="37">
      <c r="A129" s="73" t="inlineStr">
        <is>
          <t>반월동 전주반월남해오네뜨하이뷰</t>
        </is>
      </c>
      <c r="B129" s="74" t="inlineStr">
        <is>
          <t>18.06.</t>
        </is>
      </c>
      <c r="C129" s="126" t="n">
        <v>328</v>
      </c>
      <c r="D129" s="127" t="n">
        <v>83</v>
      </c>
      <c r="E129" s="128" t="n">
        <v>25</v>
      </c>
      <c r="F129" s="127" t="n">
        <v>59.8</v>
      </c>
      <c r="G129" s="17" t="n">
        <v>18</v>
      </c>
      <c r="H129" s="129" t="n">
        <v>312</v>
      </c>
      <c r="I129" s="130" t="n">
        <v>19200</v>
      </c>
      <c r="J129" s="130" t="inlineStr">
        <is>
          <t>고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83A</t>
        </is>
      </c>
      <c r="U129" s="9" t="n"/>
    </row>
    <row r="130" ht="12" customFormat="1" customHeight="1" s="37">
      <c r="A130" s="73" t="inlineStr">
        <is>
          <t>인후동1가 전주인후휴먼시아</t>
        </is>
      </c>
      <c r="B130" s="74" t="inlineStr">
        <is>
          <t>08.02.</t>
        </is>
      </c>
      <c r="C130" s="126" t="n">
        <v>423</v>
      </c>
      <c r="D130" s="127" t="n">
        <v>82.59999999999999</v>
      </c>
      <c r="E130" s="128" t="n">
        <v>25</v>
      </c>
      <c r="F130" s="127" t="n">
        <v>59.6</v>
      </c>
      <c r="G130" s="17" t="n">
        <v>18</v>
      </c>
      <c r="H130" s="129" t="n">
        <v>273</v>
      </c>
      <c r="I130" s="130" t="n">
        <v>19200</v>
      </c>
      <c r="J130" s="130" t="inlineStr">
        <is>
          <t>고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82</v>
      </c>
      <c r="U130" s="9" t="n"/>
    </row>
    <row r="131" ht="12" customFormat="1" customHeight="1" s="37">
      <c r="A131" s="73" t="inlineStr">
        <is>
          <t>송천동1가 송천신일</t>
        </is>
      </c>
      <c r="B131" s="74" t="inlineStr">
        <is>
          <t>93.12.</t>
        </is>
      </c>
      <c r="C131" s="126" t="n">
        <v>753</v>
      </c>
      <c r="D131" s="127" t="n">
        <v>104.1</v>
      </c>
      <c r="E131" s="128" t="n">
        <v>31</v>
      </c>
      <c r="F131" s="127" t="n">
        <v>85</v>
      </c>
      <c r="G131" s="17" t="n">
        <v>26</v>
      </c>
      <c r="H131" s="129" t="n">
        <v>281</v>
      </c>
      <c r="I131" s="130" t="n">
        <v>19000</v>
      </c>
      <c r="J131" s="130" t="inlineStr">
        <is>
          <t>20</t>
        </is>
      </c>
      <c r="K131" s="130" t="n">
        <v>19500</v>
      </c>
      <c r="L131" s="130" t="inlineStr">
        <is>
          <t>10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104B</t>
        </is>
      </c>
      <c r="U131" s="9" t="n"/>
    </row>
    <row r="132" ht="12" customFormat="1" customHeight="1" s="37">
      <c r="A132" s="73" t="inlineStr">
        <is>
          <t>송천동2가 송천현대3차</t>
        </is>
      </c>
      <c r="B132" s="74" t="inlineStr">
        <is>
          <t>98.10.</t>
        </is>
      </c>
      <c r="C132" s="126" t="n">
        <v>915</v>
      </c>
      <c r="D132" s="127" t="n">
        <v>77.90000000000001</v>
      </c>
      <c r="E132" s="128" t="n">
        <v>24</v>
      </c>
      <c r="F132" s="127" t="n">
        <v>60</v>
      </c>
      <c r="G132" s="17" t="n">
        <v>18</v>
      </c>
      <c r="H132" s="129" t="n">
        <v>372</v>
      </c>
      <c r="I132" s="130" t="n">
        <v>19000</v>
      </c>
      <c r="J132" s="130" t="inlineStr">
        <is>
          <t>5</t>
        </is>
      </c>
      <c r="K132" s="130" t="n">
        <v>16000</v>
      </c>
      <c r="L132" s="130" t="inlineStr">
        <is>
          <t>11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3" t="inlineStr">
        <is>
          <t>송천동2가 송천주공2차</t>
        </is>
      </c>
      <c r="B133" s="74" t="inlineStr">
        <is>
          <t>04.07.</t>
        </is>
      </c>
      <c r="C133" s="126" t="n">
        <v>710</v>
      </c>
      <c r="D133" s="127" t="n">
        <v>77.5</v>
      </c>
      <c r="E133" s="128" t="n">
        <v>23</v>
      </c>
      <c r="F133" s="127" t="n">
        <v>59.6</v>
      </c>
      <c r="G133" s="17" t="n">
        <v>18</v>
      </c>
      <c r="H133" s="129" t="n">
        <v>452</v>
      </c>
      <c r="I133" s="130" t="n">
        <v>19000</v>
      </c>
      <c r="J133" s="130" t="inlineStr">
        <is>
          <t>15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3</v>
      </c>
      <c r="R133" s="117" t="n">
        <v>1</v>
      </c>
      <c r="S133" s="117" t="inlineStr">
        <is>
          <t>계</t>
        </is>
      </c>
      <c r="T133" s="5" t="n">
        <v>77</v>
      </c>
      <c r="U133" s="9" t="n"/>
    </row>
    <row r="134" ht="12" customFormat="1" customHeight="1" s="37">
      <c r="A134" s="73" t="inlineStr">
        <is>
          <t>여의동 동국</t>
        </is>
      </c>
      <c r="B134" s="74" t="inlineStr">
        <is>
          <t>98.05.</t>
        </is>
      </c>
      <c r="C134" s="126" t="n">
        <v>360</v>
      </c>
      <c r="D134" s="127" t="n">
        <v>105.4</v>
      </c>
      <c r="E134" s="128" t="n">
        <v>32</v>
      </c>
      <c r="F134" s="127" t="n">
        <v>84.90000000000001</v>
      </c>
      <c r="G134" s="17" t="n">
        <v>26</v>
      </c>
      <c r="H134" s="129" t="n">
        <v>133</v>
      </c>
      <c r="I134" s="130" t="n">
        <v>18800</v>
      </c>
      <c r="J134" s="130" t="inlineStr">
        <is>
          <t>중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105</v>
      </c>
      <c r="U134" s="9" t="n"/>
    </row>
    <row r="135" ht="12" customFormat="1" customHeight="1" s="37">
      <c r="A135" s="73" t="inlineStr">
        <is>
          <t>송천동1가 현대2차</t>
        </is>
      </c>
      <c r="B135" s="74" t="inlineStr">
        <is>
          <t>97.05.</t>
        </is>
      </c>
      <c r="C135" s="126" t="n">
        <v>585</v>
      </c>
      <c r="D135" s="127" t="n">
        <v>79.3</v>
      </c>
      <c r="E135" s="128" t="n">
        <v>24</v>
      </c>
      <c r="F135" s="127" t="n">
        <v>60</v>
      </c>
      <c r="G135" s="17" t="n">
        <v>18</v>
      </c>
      <c r="H135" s="129" t="n">
        <v>262</v>
      </c>
      <c r="I135" s="130" t="n">
        <v>18500</v>
      </c>
      <c r="J135" s="130" t="inlineStr">
        <is>
          <t>13</t>
        </is>
      </c>
      <c r="K135" s="130" t="n">
        <v>17000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1</v>
      </c>
      <c r="S135" s="117" t="inlineStr">
        <is>
          <t>계</t>
        </is>
      </c>
      <c r="T135" s="5" t="n">
        <v>79</v>
      </c>
      <c r="U135" s="9" t="n"/>
    </row>
    <row r="136" ht="12" customFormat="1" customHeight="1" s="37">
      <c r="A136" s="73" t="inlineStr">
        <is>
          <t>송천동2가 솔내마을동아</t>
        </is>
      </c>
      <c r="B136" s="74" t="inlineStr">
        <is>
          <t>99.10.</t>
        </is>
      </c>
      <c r="C136" s="126" t="n">
        <v>505</v>
      </c>
      <c r="D136" s="127" t="n">
        <v>107.1</v>
      </c>
      <c r="E136" s="128" t="n">
        <v>32</v>
      </c>
      <c r="F136" s="127" t="n">
        <v>85</v>
      </c>
      <c r="G136" s="17" t="n">
        <v>26</v>
      </c>
      <c r="H136" s="129" t="n">
        <v>261</v>
      </c>
      <c r="I136" s="130" t="n">
        <v>18300</v>
      </c>
      <c r="J136" s="130" t="inlineStr">
        <is>
          <t>13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107</v>
      </c>
      <c r="U136" s="9" t="n"/>
    </row>
    <row r="137" ht="12" customFormat="1" customHeight="1" s="37">
      <c r="A137" s="73" t="inlineStr">
        <is>
          <t>금암동 금암중앙하이츠</t>
        </is>
      </c>
      <c r="B137" s="74" t="inlineStr">
        <is>
          <t>07.07.</t>
        </is>
      </c>
      <c r="C137" s="126" t="n">
        <v>602</v>
      </c>
      <c r="D137" s="127" t="n">
        <v>82.40000000000001</v>
      </c>
      <c r="E137" s="128" t="n">
        <v>25</v>
      </c>
      <c r="F137" s="127" t="n">
        <v>60</v>
      </c>
      <c r="G137" s="17" t="n">
        <v>18</v>
      </c>
      <c r="H137" s="129" t="n">
        <v>98</v>
      </c>
      <c r="I137" s="130" t="n">
        <v>18000</v>
      </c>
      <c r="J137" s="130" t="inlineStr">
        <is>
          <t>고</t>
        </is>
      </c>
      <c r="K137" s="130" t="n"/>
      <c r="L137" s="130" t="n"/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82</v>
      </c>
      <c r="U137" s="9" t="n"/>
    </row>
    <row r="138" ht="12" customFormat="1" customHeight="1" s="37">
      <c r="A138" s="73" t="inlineStr">
        <is>
          <t>호성동1가 LG동아</t>
        </is>
      </c>
      <c r="B138" s="74" t="inlineStr">
        <is>
          <t>95.04.</t>
        </is>
      </c>
      <c r="C138" s="126" t="n">
        <v>796</v>
      </c>
      <c r="D138" s="127" t="n">
        <v>106.1</v>
      </c>
      <c r="E138" s="128" t="n">
        <v>32</v>
      </c>
      <c r="F138" s="127" t="n">
        <v>84.90000000000001</v>
      </c>
      <c r="G138" s="17" t="n">
        <v>26</v>
      </c>
      <c r="H138" s="129" t="n">
        <v>336</v>
      </c>
      <c r="I138" s="130" t="n">
        <v>18000</v>
      </c>
      <c r="J138" s="130" t="inlineStr">
        <is>
          <t>8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송천동2가 송천주공</t>
        </is>
      </c>
      <c r="B139" s="74" t="inlineStr">
        <is>
          <t>98.12.</t>
        </is>
      </c>
      <c r="C139" s="126" t="n">
        <v>1992</v>
      </c>
      <c r="D139" s="127" t="n">
        <v>77.09999999999999</v>
      </c>
      <c r="E139" s="128" t="n">
        <v>23</v>
      </c>
      <c r="F139" s="127" t="n">
        <v>60</v>
      </c>
      <c r="G139" s="17" t="n">
        <v>18</v>
      </c>
      <c r="H139" s="129" t="n">
        <v>1593</v>
      </c>
      <c r="I139" s="130" t="n">
        <v>17300</v>
      </c>
      <c r="J139" s="130" t="inlineStr">
        <is>
          <t>6</t>
        </is>
      </c>
      <c r="K139" s="130" t="n">
        <v>15500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inlineStr">
        <is>
          <t>77B</t>
        </is>
      </c>
      <c r="U139" s="9" t="n"/>
    </row>
    <row r="140" ht="12" customFormat="1" customHeight="1" s="37">
      <c r="A140" s="73" t="inlineStr">
        <is>
          <t>호성동1가 동아</t>
        </is>
      </c>
      <c r="B140" s="74" t="inlineStr">
        <is>
          <t>94.12.</t>
        </is>
      </c>
      <c r="C140" s="126" t="n">
        <v>684</v>
      </c>
      <c r="D140" s="127" t="n">
        <v>105.5</v>
      </c>
      <c r="E140" s="128" t="n">
        <v>32</v>
      </c>
      <c r="F140" s="127" t="n">
        <v>84.90000000000001</v>
      </c>
      <c r="G140" s="17" t="n">
        <v>26</v>
      </c>
      <c r="H140" s="129" t="n">
        <v>224</v>
      </c>
      <c r="I140" s="130" t="n">
        <v>17000</v>
      </c>
      <c r="J140" s="130" t="inlineStr">
        <is>
          <t>11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105</v>
      </c>
      <c r="U140" s="9" t="n"/>
    </row>
    <row r="141" ht="12" customFormat="1" customHeight="1" s="37">
      <c r="A141" s="73" t="inlineStr">
        <is>
          <t>송천동2가 쌍용2단지</t>
        </is>
      </c>
      <c r="B141" s="74" t="inlineStr">
        <is>
          <t>98.09.</t>
        </is>
      </c>
      <c r="C141" s="126" t="n">
        <v>308</v>
      </c>
      <c r="D141" s="127" t="n">
        <v>95.8</v>
      </c>
      <c r="E141" s="128" t="n">
        <v>29</v>
      </c>
      <c r="F141" s="127" t="n">
        <v>76.8</v>
      </c>
      <c r="G141" s="17" t="n">
        <v>23</v>
      </c>
      <c r="H141" s="129" t="n">
        <v>164</v>
      </c>
      <c r="I141" s="130" t="n">
        <v>16600</v>
      </c>
      <c r="J141" s="130" t="inlineStr">
        <is>
          <t>9</t>
        </is>
      </c>
      <c r="K141" s="130" t="n">
        <v>17500</v>
      </c>
      <c r="L141" s="130" t="inlineStr">
        <is>
          <t>중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n">
        <v>95</v>
      </c>
      <c r="U141" s="9" t="n"/>
    </row>
    <row r="142" ht="12" customFormat="1" customHeight="1" s="37">
      <c r="A142" s="73" t="inlineStr">
        <is>
          <t>송천동2가 송천주공2차</t>
        </is>
      </c>
      <c r="B142" s="74" t="inlineStr">
        <is>
          <t>04.07.</t>
        </is>
      </c>
      <c r="C142" s="126" t="n">
        <v>710</v>
      </c>
      <c r="D142" s="127" t="n">
        <v>67.5</v>
      </c>
      <c r="E142" s="128" t="n">
        <v>20</v>
      </c>
      <c r="F142" s="127" t="n">
        <v>51.9</v>
      </c>
      <c r="G142" s="17" t="n">
        <v>16</v>
      </c>
      <c r="H142" s="129" t="n">
        <v>258</v>
      </c>
      <c r="I142" s="130" t="n">
        <v>16300</v>
      </c>
      <c r="J142" s="130" t="inlineStr">
        <is>
          <t>14</t>
        </is>
      </c>
      <c r="K142" s="130" t="n">
        <v>15000</v>
      </c>
      <c r="L142" s="130" t="inlineStr">
        <is>
          <t>11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67</v>
      </c>
      <c r="U142" s="9" t="n"/>
    </row>
    <row r="143" ht="12" customFormat="1" customHeight="1" s="37">
      <c r="A143" s="73" t="inlineStr">
        <is>
          <t>호성동1가 호성동신</t>
        </is>
      </c>
      <c r="B143" s="74" t="inlineStr">
        <is>
          <t>91.09.</t>
        </is>
      </c>
      <c r="C143" s="126" t="n">
        <v>530</v>
      </c>
      <c r="D143" s="127" t="n">
        <v>103.5</v>
      </c>
      <c r="E143" s="128" t="n">
        <v>31</v>
      </c>
      <c r="F143" s="127" t="n">
        <v>84.7</v>
      </c>
      <c r="G143" s="17" t="n">
        <v>26</v>
      </c>
      <c r="H143" s="129" t="n">
        <v>262</v>
      </c>
      <c r="I143" s="130" t="n">
        <v>16200</v>
      </c>
      <c r="J143" s="130" t="inlineStr">
        <is>
          <t>고</t>
        </is>
      </c>
      <c r="K143" s="130" t="n">
        <v>15000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103</v>
      </c>
      <c r="U143" s="9" t="n"/>
    </row>
    <row r="144" ht="12" customFormat="1" customHeight="1" s="37">
      <c r="A144" s="73" t="inlineStr">
        <is>
          <t>송천동1가 한양</t>
        </is>
      </c>
      <c r="B144" s="74" t="inlineStr">
        <is>
          <t>93.05.</t>
        </is>
      </c>
      <c r="C144" s="126" t="n">
        <v>782</v>
      </c>
      <c r="D144" s="127" t="n">
        <v>102.3</v>
      </c>
      <c r="E144" s="128" t="n">
        <v>31</v>
      </c>
      <c r="F144" s="127" t="n">
        <v>84.59999999999999</v>
      </c>
      <c r="G144" s="17" t="n">
        <v>26</v>
      </c>
      <c r="H144" s="129" t="n">
        <v>395</v>
      </c>
      <c r="I144" s="130" t="n">
        <v>16000</v>
      </c>
      <c r="J144" s="130" t="inlineStr">
        <is>
          <t>6</t>
        </is>
      </c>
      <c r="K144" s="130" t="n">
        <v>16000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102B</t>
        </is>
      </c>
      <c r="U144" s="9" t="n"/>
    </row>
    <row r="145" ht="12" customFormat="1" customHeight="1" s="37">
      <c r="A145" s="73" t="inlineStr">
        <is>
          <t>여의동 여의제이파크(제일)</t>
        </is>
      </c>
      <c r="B145" s="74" t="inlineStr">
        <is>
          <t>03.12.</t>
        </is>
      </c>
      <c r="C145" s="126" t="n">
        <v>737</v>
      </c>
      <c r="D145" s="127" t="n">
        <v>77.3</v>
      </c>
      <c r="E145" s="128" t="n">
        <v>23</v>
      </c>
      <c r="F145" s="127" t="n">
        <v>59.7</v>
      </c>
      <c r="G145" s="17" t="n">
        <v>18</v>
      </c>
      <c r="H145" s="129" t="n">
        <v>47</v>
      </c>
      <c r="I145" s="130" t="n">
        <v>15500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1</v>
      </c>
      <c r="S145" s="117" t="inlineStr">
        <is>
          <t>계</t>
        </is>
      </c>
      <c r="T145" s="5" t="n">
        <v>77</v>
      </c>
      <c r="U145" s="9" t="n"/>
    </row>
    <row r="146" ht="12" customFormat="1" customHeight="1" s="37">
      <c r="A146" s="73" t="inlineStr">
        <is>
          <t>송천동2가 송천주공</t>
        </is>
      </c>
      <c r="B146" s="74" t="inlineStr">
        <is>
          <t>98.12.</t>
        </is>
      </c>
      <c r="C146" s="126" t="n">
        <v>1992</v>
      </c>
      <c r="D146" s="127" t="n">
        <v>62.9</v>
      </c>
      <c r="E146" s="128" t="n">
        <v>19</v>
      </c>
      <c r="F146" s="127" t="n">
        <v>49.1</v>
      </c>
      <c r="G146" s="17" t="n">
        <v>15</v>
      </c>
      <c r="H146" s="129" t="n">
        <v>84</v>
      </c>
      <c r="I146" s="130" t="n">
        <v>15000</v>
      </c>
      <c r="J146" s="130" t="inlineStr">
        <is>
          <t>15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n">
        <v>62</v>
      </c>
      <c r="U146" s="9" t="n"/>
    </row>
    <row r="147" ht="12" customFormat="1" customHeight="1" s="37">
      <c r="A147" s="73" t="inlineStr">
        <is>
          <t>인후동1가 아중제일2차</t>
        </is>
      </c>
      <c r="B147" s="74" t="inlineStr">
        <is>
          <t>00.10.</t>
        </is>
      </c>
      <c r="C147" s="126" t="n">
        <v>360</v>
      </c>
      <c r="D147" s="127" t="n">
        <v>81.8</v>
      </c>
      <c r="E147" s="128" t="n">
        <v>25</v>
      </c>
      <c r="F147" s="127" t="n">
        <v>59.6</v>
      </c>
      <c r="G147" s="17" t="n">
        <v>18</v>
      </c>
      <c r="H147" s="129" t="n">
        <v>360</v>
      </c>
      <c r="I147" s="130" t="n">
        <v>15000</v>
      </c>
      <c r="J147" s="130" t="inlineStr">
        <is>
          <t>중</t>
        </is>
      </c>
      <c r="K147" s="130" t="n">
        <v>13500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n">
        <v>81</v>
      </c>
      <c r="U147" s="9" t="n"/>
    </row>
    <row r="148" ht="12" customFormat="1" customHeight="1" s="37">
      <c r="A148" s="73" t="inlineStr">
        <is>
          <t>호성동1가 LG동아</t>
        </is>
      </c>
      <c r="B148" s="74" t="inlineStr">
        <is>
          <t>95.04.</t>
        </is>
      </c>
      <c r="C148" s="126" t="n">
        <v>796</v>
      </c>
      <c r="D148" s="127" t="n">
        <v>79.2</v>
      </c>
      <c r="E148" s="128" t="n">
        <v>24</v>
      </c>
      <c r="F148" s="127" t="n">
        <v>60</v>
      </c>
      <c r="G148" s="17" t="n">
        <v>18</v>
      </c>
      <c r="H148" s="129" t="n">
        <v>288</v>
      </c>
      <c r="I148" s="130" t="n">
        <v>14500</v>
      </c>
      <c r="J148" s="130" t="inlineStr">
        <is>
          <t>고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1</v>
      </c>
      <c r="S148" s="117" t="inlineStr">
        <is>
          <t>계</t>
        </is>
      </c>
      <c r="T148" s="5" t="n">
        <v>79</v>
      </c>
      <c r="U148" s="9" t="n"/>
    </row>
    <row r="149" ht="12" customFormat="1" customHeight="1" s="37">
      <c r="A149" s="73" t="inlineStr">
        <is>
          <t>호성동1가 호성주공</t>
        </is>
      </c>
      <c r="B149" s="74" t="inlineStr">
        <is>
          <t>97.06.</t>
        </is>
      </c>
      <c r="C149" s="126" t="n">
        <v>1911</v>
      </c>
      <c r="D149" s="127" t="n">
        <v>79.90000000000001</v>
      </c>
      <c r="E149" s="128" t="n">
        <v>24</v>
      </c>
      <c r="F149" s="127" t="n">
        <v>60</v>
      </c>
      <c r="G149" s="17" t="n">
        <v>18</v>
      </c>
      <c r="H149" s="129" t="n">
        <v>900</v>
      </c>
      <c r="I149" s="130" t="n">
        <v>14500</v>
      </c>
      <c r="J149" s="130" t="inlineStr">
        <is>
          <t>22</t>
        </is>
      </c>
      <c r="K149" s="130" t="n">
        <v>14000</v>
      </c>
      <c r="L149" s="130" t="inlineStr">
        <is>
          <t>12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79</v>
      </c>
      <c r="U149" s="9" t="n"/>
    </row>
    <row r="150" ht="12" customFormat="1" customHeight="1" s="37">
      <c r="A150" s="73" t="inlineStr">
        <is>
          <t>반월동 삼오</t>
        </is>
      </c>
      <c r="B150" s="74" t="inlineStr">
        <is>
          <t>96.02.</t>
        </is>
      </c>
      <c r="C150" s="126" t="n">
        <v>418</v>
      </c>
      <c r="D150" s="127" t="n">
        <v>107.3</v>
      </c>
      <c r="E150" s="128" t="n">
        <v>32</v>
      </c>
      <c r="F150" s="127" t="n">
        <v>84.5</v>
      </c>
      <c r="G150" s="17" t="n">
        <v>26</v>
      </c>
      <c r="H150" s="129" t="n">
        <v>204</v>
      </c>
      <c r="I150" s="130" t="n">
        <v>14000</v>
      </c>
      <c r="J150" s="130" t="inlineStr">
        <is>
          <t>16</t>
        </is>
      </c>
      <c r="K150" s="130" t="n">
        <v>17000</v>
      </c>
      <c r="L150" s="130" t="inlineStr">
        <is>
          <t>고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107</v>
      </c>
      <c r="U150" s="9" t="n"/>
    </row>
    <row r="151" ht="12" customFormat="1" customHeight="1" s="37">
      <c r="A151" s="73" t="inlineStr">
        <is>
          <t>송천동1가 한양</t>
        </is>
      </c>
      <c r="B151" s="74" t="inlineStr">
        <is>
          <t>93.05.</t>
        </is>
      </c>
      <c r="C151" s="126" t="n">
        <v>782</v>
      </c>
      <c r="D151" s="127" t="n">
        <v>90.90000000000001</v>
      </c>
      <c r="E151" s="128" t="n">
        <v>28</v>
      </c>
      <c r="F151" s="127" t="n">
        <v>75.2</v>
      </c>
      <c r="G151" s="17" t="n">
        <v>23</v>
      </c>
      <c r="H151" s="129" t="n">
        <v>165</v>
      </c>
      <c r="I151" s="130" t="n">
        <v>14000</v>
      </c>
      <c r="J151" s="130" t="inlineStr">
        <is>
          <t>15</t>
        </is>
      </c>
      <c r="K151" s="130" t="n">
        <v>12000</v>
      </c>
      <c r="L151" s="130" t="inlineStr">
        <is>
          <t>6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90A</t>
        </is>
      </c>
      <c r="U151" s="9" t="n"/>
    </row>
    <row r="152" ht="12" customFormat="1" customHeight="1" s="37">
      <c r="A152" s="73" t="inlineStr">
        <is>
          <t>송천동1가 성원무지개</t>
        </is>
      </c>
      <c r="B152" s="74" t="inlineStr">
        <is>
          <t>88.01.</t>
        </is>
      </c>
      <c r="C152" s="126" t="n">
        <v>317</v>
      </c>
      <c r="D152" s="127" t="n">
        <v>69.7</v>
      </c>
      <c r="E152" s="128" t="n">
        <v>21</v>
      </c>
      <c r="F152" s="127" t="n">
        <v>59.9</v>
      </c>
      <c r="G152" s="17" t="n">
        <v>18</v>
      </c>
      <c r="H152" s="129" t="n">
        <v>314</v>
      </c>
      <c r="I152" s="130" t="n">
        <v>14000</v>
      </c>
      <c r="J152" s="130" t="inlineStr">
        <is>
          <t>5</t>
        </is>
      </c>
      <c r="K152" s="130" t="n">
        <v>5500</v>
      </c>
      <c r="L152" s="130" t="inlineStr">
        <is>
          <t>5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2</v>
      </c>
      <c r="R152" s="117" t="n">
        <v>1</v>
      </c>
      <c r="S152" s="117" t="inlineStr">
        <is>
          <t>계</t>
        </is>
      </c>
      <c r="T152" s="5" t="n">
        <v>69</v>
      </c>
      <c r="U152" s="9" t="n"/>
    </row>
    <row r="153" ht="12" customFormat="1" customHeight="1" s="37">
      <c r="A153" s="73" t="inlineStr">
        <is>
          <t>송천동1가 송천우림</t>
        </is>
      </c>
      <c r="B153" s="74" t="inlineStr">
        <is>
          <t>96.10.</t>
        </is>
      </c>
      <c r="C153" s="126" t="n">
        <v>417</v>
      </c>
      <c r="D153" s="127" t="n">
        <v>76.59999999999999</v>
      </c>
      <c r="E153" s="128" t="n">
        <v>23</v>
      </c>
      <c r="F153" s="127" t="n">
        <v>59.8</v>
      </c>
      <c r="G153" s="17" t="n">
        <v>18</v>
      </c>
      <c r="H153" s="129" t="n">
        <v>198</v>
      </c>
      <c r="I153" s="130" t="n">
        <v>13500</v>
      </c>
      <c r="J153" s="130" t="inlineStr">
        <is>
          <t>16</t>
        </is>
      </c>
      <c r="K153" s="130" t="n">
        <v>14000</v>
      </c>
      <c r="L153" s="130" t="inlineStr">
        <is>
          <t>16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76</v>
      </c>
      <c r="U153" s="9" t="n"/>
    </row>
    <row r="154" ht="12" customFormat="1" customHeight="1" s="37">
      <c r="A154" s="73" t="inlineStr">
        <is>
          <t>여의동 동국</t>
        </is>
      </c>
      <c r="B154" s="74" t="inlineStr">
        <is>
          <t>98.05.</t>
        </is>
      </c>
      <c r="C154" s="126" t="n">
        <v>360</v>
      </c>
      <c r="D154" s="127" t="n">
        <v>79.7</v>
      </c>
      <c r="E154" s="128" t="n">
        <v>24</v>
      </c>
      <c r="F154" s="127" t="n">
        <v>59.7</v>
      </c>
      <c r="G154" s="17" t="n">
        <v>18</v>
      </c>
      <c r="H154" s="129" t="n">
        <v>125</v>
      </c>
      <c r="I154" s="130" t="n">
        <v>13500</v>
      </c>
      <c r="J154" s="130" t="inlineStr">
        <is>
          <t>고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n">
        <v>79</v>
      </c>
      <c r="U154" s="9" t="n"/>
    </row>
    <row r="155" ht="12" customFormat="1" customHeight="1" s="37">
      <c r="A155" s="73" t="inlineStr">
        <is>
          <t>우아동3가 진흥하이츠</t>
        </is>
      </c>
      <c r="B155" s="74" t="inlineStr">
        <is>
          <t>95.07.</t>
        </is>
      </c>
      <c r="C155" s="126" t="n">
        <v>371</v>
      </c>
      <c r="D155" s="127" t="n">
        <v>108.1</v>
      </c>
      <c r="E155" s="128" t="n">
        <v>33</v>
      </c>
      <c r="F155" s="127" t="n">
        <v>84.40000000000001</v>
      </c>
      <c r="G155" s="17" t="n">
        <v>26</v>
      </c>
      <c r="H155" s="129" t="n">
        <v>134</v>
      </c>
      <c r="I155" s="130" t="n">
        <v>13500</v>
      </c>
      <c r="J155" s="130" t="inlineStr">
        <is>
          <t>5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108</v>
      </c>
      <c r="U155" s="9" t="n"/>
    </row>
    <row r="156" ht="12" customFormat="1" customHeight="1" s="37">
      <c r="A156" s="73" t="inlineStr">
        <is>
          <t>인후동1가 아중마을부영5차</t>
        </is>
      </c>
      <c r="B156" s="74" t="inlineStr">
        <is>
          <t>99.09.</t>
        </is>
      </c>
      <c r="C156" s="126" t="n">
        <v>618</v>
      </c>
      <c r="D156" s="127" t="n">
        <v>81.5</v>
      </c>
      <c r="E156" s="128" t="n">
        <v>25</v>
      </c>
      <c r="F156" s="127" t="n">
        <v>59.5</v>
      </c>
      <c r="G156" s="17" t="n">
        <v>18</v>
      </c>
      <c r="H156" s="129" t="n">
        <v>290</v>
      </c>
      <c r="I156" s="130" t="n">
        <v>13500</v>
      </c>
      <c r="J156" s="130" t="inlineStr">
        <is>
          <t>11</t>
        </is>
      </c>
      <c r="K156" s="130" t="n">
        <v>13000</v>
      </c>
      <c r="L156" s="130" t="inlineStr">
        <is>
          <t>8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81</v>
      </c>
      <c r="U156" s="9" t="n"/>
    </row>
    <row r="157" ht="12" customFormat="1" customHeight="1" s="37">
      <c r="A157" s="73" t="inlineStr">
        <is>
          <t>인후동1가 아중마을부영3차</t>
        </is>
      </c>
      <c r="B157" s="74" t="inlineStr">
        <is>
          <t>99.10.</t>
        </is>
      </c>
      <c r="C157" s="126" t="n">
        <v>960</v>
      </c>
      <c r="D157" s="127" t="n">
        <v>81</v>
      </c>
      <c r="E157" s="128" t="n">
        <v>24</v>
      </c>
      <c r="F157" s="127" t="n">
        <v>59.5</v>
      </c>
      <c r="G157" s="17" t="n">
        <v>18</v>
      </c>
      <c r="H157" s="129" t="n">
        <v>465</v>
      </c>
      <c r="I157" s="130" t="n">
        <v>13500</v>
      </c>
      <c r="J157" s="130" t="inlineStr">
        <is>
          <t>14</t>
        </is>
      </c>
      <c r="K157" s="130" t="n">
        <v>12900</v>
      </c>
      <c r="L157" s="130" t="inlineStr">
        <is>
          <t>6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80</v>
      </c>
      <c r="U157" s="9" t="n"/>
    </row>
    <row r="158" ht="12" customFormat="1" customHeight="1" s="37">
      <c r="A158" s="73" t="inlineStr">
        <is>
          <t>인후동1가 삼호</t>
        </is>
      </c>
      <c r="B158" s="74" t="inlineStr">
        <is>
          <t>90.12.</t>
        </is>
      </c>
      <c r="C158" s="126" t="n">
        <v>404</v>
      </c>
      <c r="D158" s="127" t="n">
        <v>101</v>
      </c>
      <c r="E158" s="128" t="n">
        <v>31</v>
      </c>
      <c r="F158" s="127" t="n">
        <v>85</v>
      </c>
      <c r="G158" s="17" t="n">
        <v>26</v>
      </c>
      <c r="H158" s="129" t="n">
        <v>198</v>
      </c>
      <c r="I158" s="130" t="n">
        <v>13000</v>
      </c>
      <c r="J158" s="130" t="inlineStr">
        <is>
          <t>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2</v>
      </c>
      <c r="S158" s="117" t="inlineStr">
        <is>
          <t>계</t>
        </is>
      </c>
      <c r="T158" s="5" t="n">
        <v>100</v>
      </c>
      <c r="U158" s="9" t="n"/>
    </row>
    <row r="159" ht="12" customFormat="1" customHeight="1" s="37">
      <c r="A159" s="73" t="inlineStr">
        <is>
          <t>호성동1가 호성동신</t>
        </is>
      </c>
      <c r="B159" s="74" t="inlineStr">
        <is>
          <t>91.09.</t>
        </is>
      </c>
      <c r="C159" s="126" t="n">
        <v>530</v>
      </c>
      <c r="D159" s="127" t="n">
        <v>96.40000000000001</v>
      </c>
      <c r="E159" s="128" t="n">
        <v>29</v>
      </c>
      <c r="F159" s="127" t="n">
        <v>78.5</v>
      </c>
      <c r="G159" s="17" t="n">
        <v>24</v>
      </c>
      <c r="H159" s="129" t="n">
        <v>150</v>
      </c>
      <c r="I159" s="130" t="n">
        <v>13000</v>
      </c>
      <c r="J159" s="130" t="inlineStr">
        <is>
          <t>6</t>
        </is>
      </c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3</v>
      </c>
      <c r="R159" s="117" t="n">
        <v>1</v>
      </c>
      <c r="S159" s="117" t="inlineStr">
        <is>
          <t>계</t>
        </is>
      </c>
      <c r="T159" s="5" t="n">
        <v>96</v>
      </c>
      <c r="U159" s="9" t="n"/>
    </row>
    <row r="160" ht="12" customFormat="1" customHeight="1" s="37">
      <c r="A160" s="73" t="inlineStr">
        <is>
          <t>송천동1가 비사벌(468-2)</t>
        </is>
      </c>
      <c r="B160" s="74" t="inlineStr">
        <is>
          <t>84.02.</t>
        </is>
      </c>
      <c r="C160" s="126" t="n">
        <v>533</v>
      </c>
      <c r="D160" s="127" t="n">
        <v>70.2</v>
      </c>
      <c r="E160" s="128" t="n">
        <v>21</v>
      </c>
      <c r="F160" s="127" t="n">
        <v>59.9</v>
      </c>
      <c r="G160" s="17" t="n">
        <v>18</v>
      </c>
      <c r="H160" s="129" t="n">
        <v>195</v>
      </c>
      <c r="I160" s="130" t="n">
        <v>12500</v>
      </c>
      <c r="J160" s="130" t="inlineStr">
        <is>
          <t>5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계</t>
        </is>
      </c>
      <c r="T160" s="5" t="inlineStr">
        <is>
          <t>70B</t>
        </is>
      </c>
      <c r="U160" s="9" t="n"/>
    </row>
    <row r="161" ht="12" customFormat="1" customHeight="1" s="37">
      <c r="A161" s="73" t="inlineStr">
        <is>
          <t>송천동1가 송천신일</t>
        </is>
      </c>
      <c r="B161" s="74" t="inlineStr">
        <is>
          <t>93.12.</t>
        </is>
      </c>
      <c r="C161" s="126" t="n">
        <v>753</v>
      </c>
      <c r="D161" s="127" t="n">
        <v>81</v>
      </c>
      <c r="E161" s="128" t="n">
        <v>24</v>
      </c>
      <c r="F161" s="127" t="n">
        <v>59.9</v>
      </c>
      <c r="G161" s="17" t="n">
        <v>18</v>
      </c>
      <c r="H161" s="129" t="n">
        <v>273</v>
      </c>
      <c r="I161" s="130" t="n">
        <v>12500</v>
      </c>
      <c r="J161" s="130" t="inlineStr">
        <is>
          <t>10</t>
        </is>
      </c>
      <c r="K161" s="130" t="n">
        <v>12000</v>
      </c>
      <c r="L161" s="130" t="inlineStr">
        <is>
          <t>15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n">
        <v>80</v>
      </c>
      <c r="U161" s="9" t="n"/>
    </row>
    <row r="162" ht="12" customFormat="1" customHeight="1" s="37">
      <c r="A162" s="73" t="inlineStr">
        <is>
          <t>송천동1가 서호2단지</t>
        </is>
      </c>
      <c r="B162" s="74" t="inlineStr">
        <is>
          <t>95.11.</t>
        </is>
      </c>
      <c r="C162" s="126" t="n">
        <v>394</v>
      </c>
      <c r="D162" s="127" t="n">
        <v>84.7</v>
      </c>
      <c r="E162" s="128" t="n">
        <v>26</v>
      </c>
      <c r="F162" s="127" t="n">
        <v>59.9</v>
      </c>
      <c r="G162" s="17" t="n">
        <v>18</v>
      </c>
      <c r="H162" s="129" t="n">
        <v>174</v>
      </c>
      <c r="I162" s="130" t="n">
        <v>12000</v>
      </c>
      <c r="J162" s="130" t="inlineStr">
        <is>
          <t>고</t>
        </is>
      </c>
      <c r="K162" s="130" t="n">
        <v>12000</v>
      </c>
      <c r="L162" s="130" t="inlineStr">
        <is>
          <t>19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84</v>
      </c>
      <c r="U162" s="9" t="n"/>
    </row>
    <row r="163" ht="12" customFormat="1" customHeight="1" s="37">
      <c r="A163" s="73" t="inlineStr">
        <is>
          <t>인후동1가 아중마을부영5차</t>
        </is>
      </c>
      <c r="B163" s="74" t="inlineStr">
        <is>
          <t>99.09.</t>
        </is>
      </c>
      <c r="C163" s="126" t="n">
        <v>618</v>
      </c>
      <c r="D163" s="127" t="n">
        <v>68.5</v>
      </c>
      <c r="E163" s="128" t="n">
        <v>21</v>
      </c>
      <c r="F163" s="127" t="n">
        <v>50</v>
      </c>
      <c r="G163" s="17" t="n">
        <v>15</v>
      </c>
      <c r="H163" s="129" t="n">
        <v>328</v>
      </c>
      <c r="I163" s="130" t="n">
        <v>12000</v>
      </c>
      <c r="J163" s="130" t="inlineStr">
        <is>
          <t>10</t>
        </is>
      </c>
      <c r="K163" s="130" t="n">
        <v>11500</v>
      </c>
      <c r="L163" s="130" t="inlineStr">
        <is>
          <t>11</t>
        </is>
      </c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68</v>
      </c>
      <c r="U163" s="9" t="n"/>
    </row>
    <row r="164" ht="12" customFormat="1" customHeight="1" s="37">
      <c r="A164" s="73" t="inlineStr">
        <is>
          <t>인후동1가 인후꿈마을부영2차</t>
        </is>
      </c>
      <c r="B164" s="74" t="inlineStr">
        <is>
          <t>99.09.</t>
        </is>
      </c>
      <c r="C164" s="126" t="n">
        <v>1335</v>
      </c>
      <c r="D164" s="127" t="n">
        <v>82.40000000000001</v>
      </c>
      <c r="E164" s="128" t="n">
        <v>25</v>
      </c>
      <c r="F164" s="127" t="n">
        <v>59.9</v>
      </c>
      <c r="G164" s="17" t="n">
        <v>18</v>
      </c>
      <c r="H164" s="129" t="n">
        <v>1155</v>
      </c>
      <c r="I164" s="130" t="n">
        <v>11900</v>
      </c>
      <c r="J164" s="130" t="inlineStr">
        <is>
          <t>6</t>
        </is>
      </c>
      <c r="K164" s="130" t="n">
        <v>13000</v>
      </c>
      <c r="L164" s="130" t="inlineStr">
        <is>
          <t>12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계</t>
        </is>
      </c>
      <c r="T164" s="5" t="n">
        <v>82</v>
      </c>
      <c r="U164" s="9" t="n"/>
    </row>
    <row r="165" ht="12" customFormat="1" customHeight="1" s="37">
      <c r="A165" s="73" t="inlineStr">
        <is>
          <t>호성동1가 신동아1차</t>
        </is>
      </c>
      <c r="B165" s="74" t="inlineStr">
        <is>
          <t>89.08.</t>
        </is>
      </c>
      <c r="C165" s="126" t="n">
        <v>320</v>
      </c>
      <c r="D165" s="127" t="n">
        <v>76.2</v>
      </c>
      <c r="E165" s="128" t="n">
        <v>23</v>
      </c>
      <c r="F165" s="127" t="n">
        <v>59.5</v>
      </c>
      <c r="G165" s="17" t="n">
        <v>18</v>
      </c>
      <c r="H165" s="129" t="n">
        <v>125</v>
      </c>
      <c r="I165" s="130" t="n">
        <v>11800</v>
      </c>
      <c r="J165" s="130" t="inlineStr">
        <is>
          <t>고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76</v>
      </c>
      <c r="U165" s="9" t="n"/>
    </row>
    <row r="166" ht="12" customFormat="1" customHeight="1" s="37">
      <c r="A166" s="73" t="inlineStr">
        <is>
          <t>인후동1가 인후꿈마을부영2차</t>
        </is>
      </c>
      <c r="B166" s="74" t="inlineStr">
        <is>
          <t>99.09.</t>
        </is>
      </c>
      <c r="C166" s="126" t="n">
        <v>1335</v>
      </c>
      <c r="D166" s="127" t="n">
        <v>68.5</v>
      </c>
      <c r="E166" s="128" t="n">
        <v>21</v>
      </c>
      <c r="F166" s="127" t="n">
        <v>49.8</v>
      </c>
      <c r="G166" s="17" t="n">
        <v>15</v>
      </c>
      <c r="H166" s="129" t="n">
        <v>180</v>
      </c>
      <c r="I166" s="130" t="n">
        <v>11500</v>
      </c>
      <c r="J166" s="130" t="inlineStr">
        <is>
          <t>10</t>
        </is>
      </c>
      <c r="K166" s="130" t="n">
        <v>10500</v>
      </c>
      <c r="L166" s="130" t="inlineStr">
        <is>
          <t>10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68</v>
      </c>
      <c r="U166" s="9" t="n"/>
    </row>
    <row r="167" ht="12" customFormat="1" customHeight="1" s="37">
      <c r="A167" s="73" t="inlineStr">
        <is>
          <t>진북동 동국해성</t>
        </is>
      </c>
      <c r="B167" s="74" t="inlineStr">
        <is>
          <t>95.10.</t>
        </is>
      </c>
      <c r="C167" s="126" t="n">
        <v>643</v>
      </c>
      <c r="D167" s="127" t="n">
        <v>80.09999999999999</v>
      </c>
      <c r="E167" s="128" t="n">
        <v>24</v>
      </c>
      <c r="F167" s="127" t="n">
        <v>59.5</v>
      </c>
      <c r="G167" s="17" t="n">
        <v>18</v>
      </c>
      <c r="H167" s="129" t="n">
        <v>264</v>
      </c>
      <c r="I167" s="130" t="n">
        <v>11500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2</v>
      </c>
      <c r="R167" s="117" t="n">
        <v>1</v>
      </c>
      <c r="S167" s="117" t="inlineStr">
        <is>
          <t>복</t>
        </is>
      </c>
      <c r="T167" s="5" t="inlineStr">
        <is>
          <t>80A</t>
        </is>
      </c>
      <c r="U167" s="9" t="n"/>
    </row>
    <row r="168" ht="12" customFormat="1" customHeight="1" s="37">
      <c r="A168" s="73" t="inlineStr">
        <is>
          <t>인후동1가 안고을우성</t>
        </is>
      </c>
      <c r="B168" s="74" t="inlineStr">
        <is>
          <t>01.02.</t>
        </is>
      </c>
      <c r="C168" s="126" t="n">
        <v>305</v>
      </c>
      <c r="D168" s="127" t="n">
        <v>78.3</v>
      </c>
      <c r="E168" s="128" t="n">
        <v>24</v>
      </c>
      <c r="F168" s="127" t="n">
        <v>57.1</v>
      </c>
      <c r="G168" s="17" t="n">
        <v>17</v>
      </c>
      <c r="H168" s="129" t="n">
        <v>66</v>
      </c>
      <c r="I168" s="130" t="n">
        <v>11000</v>
      </c>
      <c r="J168" s="130" t="inlineStr">
        <is>
          <t>7</t>
        </is>
      </c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78</v>
      </c>
      <c r="U168" s="9" t="n"/>
    </row>
    <row r="169" ht="12" customFormat="1" customHeight="1" s="37">
      <c r="A169" s="73" t="inlineStr">
        <is>
          <t>인후동1가 아중마을부영3차</t>
        </is>
      </c>
      <c r="B169" s="74" t="inlineStr">
        <is>
          <t>99.10.</t>
        </is>
      </c>
      <c r="C169" s="126" t="n">
        <v>960</v>
      </c>
      <c r="D169" s="127" t="n">
        <v>68</v>
      </c>
      <c r="E169" s="128" t="n">
        <v>21</v>
      </c>
      <c r="F169" s="127" t="n">
        <v>50</v>
      </c>
      <c r="G169" s="17" t="n">
        <v>15</v>
      </c>
      <c r="H169" s="129" t="n">
        <v>495</v>
      </c>
      <c r="I169" s="130" t="n">
        <v>10700</v>
      </c>
      <c r="J169" s="130" t="inlineStr">
        <is>
          <t>6</t>
        </is>
      </c>
      <c r="K169" s="130" t="n">
        <v>11000</v>
      </c>
      <c r="L169" s="130" t="inlineStr">
        <is>
          <t>14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2</v>
      </c>
      <c r="R169" s="117" t="n">
        <v>1</v>
      </c>
      <c r="S169" s="117" t="inlineStr">
        <is>
          <t>계</t>
        </is>
      </c>
      <c r="T169" s="5" t="n">
        <v>68</v>
      </c>
      <c r="U169" s="9" t="n"/>
    </row>
    <row r="170" ht="12" customFormat="1" customHeight="1" s="37">
      <c r="A170" s="73" t="inlineStr">
        <is>
          <t>진북동 우성</t>
        </is>
      </c>
      <c r="B170" s="74" t="inlineStr">
        <is>
          <t>95.10.</t>
        </is>
      </c>
      <c r="C170" s="126" t="n">
        <v>2102</v>
      </c>
      <c r="D170" s="127" t="n">
        <v>79.2</v>
      </c>
      <c r="E170" s="128" t="n">
        <v>24</v>
      </c>
      <c r="F170" s="127" t="n">
        <v>59.8</v>
      </c>
      <c r="G170" s="17" t="n">
        <v>18</v>
      </c>
      <c r="H170" s="129" t="n">
        <v>884</v>
      </c>
      <c r="I170" s="130" t="n">
        <v>10700</v>
      </c>
      <c r="J170" s="130" t="inlineStr">
        <is>
          <t>15</t>
        </is>
      </c>
      <c r="K170" s="130" t="n">
        <v>10500</v>
      </c>
      <c r="L170" s="130" t="inlineStr">
        <is>
          <t>11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1</v>
      </c>
      <c r="S170" s="117" t="inlineStr">
        <is>
          <t>복</t>
        </is>
      </c>
      <c r="T170" s="5" t="n">
        <v>79</v>
      </c>
      <c r="U170" s="9" t="n"/>
    </row>
    <row r="171" ht="12" customFormat="1" customHeight="1" s="37">
      <c r="A171" s="73" t="inlineStr">
        <is>
          <t>인후동1가 안고을우성</t>
        </is>
      </c>
      <c r="B171" s="74" t="inlineStr">
        <is>
          <t>01.02.</t>
        </is>
      </c>
      <c r="C171" s="126" t="n">
        <v>305</v>
      </c>
      <c r="D171" s="127" t="n">
        <v>70.90000000000001</v>
      </c>
      <c r="E171" s="128" t="n">
        <v>21</v>
      </c>
      <c r="F171" s="127" t="n">
        <v>51.7</v>
      </c>
      <c r="G171" s="17" t="n">
        <v>16</v>
      </c>
      <c r="H171" s="129" t="n">
        <v>30</v>
      </c>
      <c r="I171" s="130" t="n">
        <v>10600</v>
      </c>
      <c r="J171" s="130" t="inlineStr">
        <is>
          <t>5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70</v>
      </c>
      <c r="U171" s="9" t="n"/>
    </row>
    <row r="172" ht="12" customFormat="1" customHeight="1" s="37">
      <c r="A172" s="73" t="inlineStr">
        <is>
          <t>우아동3가 진흥하이츠</t>
        </is>
      </c>
      <c r="B172" s="74" t="inlineStr">
        <is>
          <t>95.07.</t>
        </is>
      </c>
      <c r="C172" s="126" t="n">
        <v>371</v>
      </c>
      <c r="D172" s="127" t="n">
        <v>76.8</v>
      </c>
      <c r="E172" s="128" t="n">
        <v>23</v>
      </c>
      <c r="F172" s="127" t="n">
        <v>59.9</v>
      </c>
      <c r="G172" s="17" t="n">
        <v>18</v>
      </c>
      <c r="H172" s="129" t="n">
        <v>169</v>
      </c>
      <c r="I172" s="130" t="n">
        <v>10300</v>
      </c>
      <c r="J172" s="130" t="inlineStr">
        <is>
          <t>8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3</v>
      </c>
      <c r="R172" s="117" t="n">
        <v>1</v>
      </c>
      <c r="S172" s="117" t="inlineStr">
        <is>
          <t>계</t>
        </is>
      </c>
      <c r="T172" s="5" t="inlineStr">
        <is>
          <t>76B</t>
        </is>
      </c>
      <c r="U172" s="9" t="n"/>
    </row>
    <row r="173" ht="12" customFormat="1" customHeight="1" s="37">
      <c r="A173" s="73" t="inlineStr">
        <is>
          <t>호성동1가 호성동신</t>
        </is>
      </c>
      <c r="B173" s="74" t="inlineStr">
        <is>
          <t>91.09.</t>
        </is>
      </c>
      <c r="C173" s="126" t="n">
        <v>530</v>
      </c>
      <c r="D173" s="127" t="n">
        <v>85.8</v>
      </c>
      <c r="E173" s="128" t="n">
        <v>26</v>
      </c>
      <c r="F173" s="127" t="n">
        <v>70.3</v>
      </c>
      <c r="G173" s="17" t="n">
        <v>21</v>
      </c>
      <c r="H173" s="129" t="n">
        <v>118</v>
      </c>
      <c r="I173" s="130" t="n">
        <v>10000</v>
      </c>
      <c r="J173" s="130" t="inlineStr">
        <is>
          <t>11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85</v>
      </c>
      <c r="U173" s="9" t="n"/>
    </row>
    <row r="174" ht="12" customFormat="1" customHeight="1" s="37">
      <c r="A174" s="73" t="inlineStr">
        <is>
          <t>반월동 삼오</t>
        </is>
      </c>
      <c r="B174" s="74" t="inlineStr">
        <is>
          <t>96.02.</t>
        </is>
      </c>
      <c r="C174" s="126" t="n">
        <v>418</v>
      </c>
      <c r="D174" s="127" t="n">
        <v>76.09999999999999</v>
      </c>
      <c r="E174" s="128" t="n">
        <v>23</v>
      </c>
      <c r="F174" s="127" t="n">
        <v>60</v>
      </c>
      <c r="G174" s="17" t="n">
        <v>18</v>
      </c>
      <c r="H174" s="129" t="n">
        <v>190</v>
      </c>
      <c r="I174" s="130" t="n">
        <v>9500</v>
      </c>
      <c r="J174" s="130" t="inlineStr">
        <is>
          <t>7</t>
        </is>
      </c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76</v>
      </c>
      <c r="U174" s="9" t="n"/>
    </row>
    <row r="175" ht="12" customFormat="1" customHeight="1" s="37">
      <c r="A175" s="73" t="inlineStr">
        <is>
          <t>송천동1가 비사벌(468-2)</t>
        </is>
      </c>
      <c r="B175" s="74" t="inlineStr">
        <is>
          <t>84.02.</t>
        </is>
      </c>
      <c r="C175" s="126" t="n">
        <v>533</v>
      </c>
      <c r="D175" s="127" t="n">
        <v>59.8</v>
      </c>
      <c r="E175" s="128" t="n">
        <v>18</v>
      </c>
      <c r="F175" s="127" t="n">
        <v>50</v>
      </c>
      <c r="G175" s="17" t="n">
        <v>15</v>
      </c>
      <c r="H175" s="129" t="n">
        <v>120</v>
      </c>
      <c r="I175" s="130" t="n">
        <v>9500</v>
      </c>
      <c r="J175" s="130" t="inlineStr">
        <is>
          <t>5</t>
        </is>
      </c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1</v>
      </c>
      <c r="S175" s="117" t="inlineStr">
        <is>
          <t>복</t>
        </is>
      </c>
      <c r="T175" s="5" t="n">
        <v>59</v>
      </c>
      <c r="U175" s="9" t="n"/>
    </row>
    <row r="176" ht="12" customFormat="1" customHeight="1" s="37">
      <c r="A176" s="73" t="inlineStr">
        <is>
          <t>송천동2가 신동비사벌(201~207동)</t>
        </is>
      </c>
      <c r="B176" s="74" t="inlineStr">
        <is>
          <t>89.05.</t>
        </is>
      </c>
      <c r="C176" s="126" t="n">
        <v>370</v>
      </c>
      <c r="D176" s="127" t="n">
        <v>58.5</v>
      </c>
      <c r="E176" s="128" t="n">
        <v>18</v>
      </c>
      <c r="F176" s="127" t="n">
        <v>49.3</v>
      </c>
      <c r="G176" s="17" t="n">
        <v>15</v>
      </c>
      <c r="H176" s="129" t="n">
        <v>175</v>
      </c>
      <c r="I176" s="130" t="n">
        <v>9500</v>
      </c>
      <c r="J176" s="130" t="inlineStr">
        <is>
          <t>고</t>
        </is>
      </c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1</v>
      </c>
      <c r="S176" s="117" t="inlineStr">
        <is>
          <t>계</t>
        </is>
      </c>
      <c r="T176" s="5" t="n">
        <v>58</v>
      </c>
      <c r="U176" s="9" t="n"/>
    </row>
    <row r="177" ht="12" customFormat="1" customHeight="1" s="37">
      <c r="A177" s="73" t="inlineStr">
        <is>
          <t>호성동1가 동아</t>
        </is>
      </c>
      <c r="B177" s="74" t="inlineStr">
        <is>
          <t>94.12.</t>
        </is>
      </c>
      <c r="C177" s="126" t="n">
        <v>684</v>
      </c>
      <c r="D177" s="127" t="n">
        <v>84.8</v>
      </c>
      <c r="E177" s="128" t="n">
        <v>26</v>
      </c>
      <c r="F177" s="127" t="n">
        <v>60</v>
      </c>
      <c r="G177" s="17" t="n">
        <v>18</v>
      </c>
      <c r="H177" s="129" t="n">
        <v>240</v>
      </c>
      <c r="I177" s="130" t="n">
        <v>9300</v>
      </c>
      <c r="J177" s="130" t="inlineStr">
        <is>
          <t>중</t>
        </is>
      </c>
      <c r="K177" s="130" t="n">
        <v>9000</v>
      </c>
      <c r="L177" s="130" t="inlineStr">
        <is>
          <t>13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2</v>
      </c>
      <c r="R177" s="117" t="n">
        <v>1</v>
      </c>
      <c r="S177" s="117" t="inlineStr">
        <is>
          <t>복</t>
        </is>
      </c>
      <c r="T177" s="5" t="n">
        <v>84</v>
      </c>
      <c r="U177" s="9" t="n"/>
    </row>
    <row r="178" ht="12" customFormat="1" customHeight="1" s="37">
      <c r="A178" s="73" t="inlineStr">
        <is>
          <t>팔복동2가 팔복남양</t>
        </is>
      </c>
      <c r="B178" s="74" t="inlineStr">
        <is>
          <t>99.05.</t>
        </is>
      </c>
      <c r="C178" s="126" t="n">
        <v>659</v>
      </c>
      <c r="D178" s="127" t="n">
        <v>77.5</v>
      </c>
      <c r="E178" s="128" t="n">
        <v>23</v>
      </c>
      <c r="F178" s="127" t="n">
        <v>60</v>
      </c>
      <c r="G178" s="17" t="n">
        <v>18</v>
      </c>
      <c r="H178" s="129" t="n">
        <v>281</v>
      </c>
      <c r="I178" s="130" t="n">
        <v>9000</v>
      </c>
      <c r="J178" s="130" t="inlineStr">
        <is>
          <t>10</t>
        </is>
      </c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77</v>
      </c>
      <c r="U178" s="9" t="n"/>
    </row>
    <row r="179" ht="12" customFormat="1" customHeight="1" s="37">
      <c r="A179" s="73" t="inlineStr">
        <is>
          <t>반월동 남양반월타운</t>
        </is>
      </c>
      <c r="B179" s="74" t="inlineStr">
        <is>
          <t>97.01.</t>
        </is>
      </c>
      <c r="C179" s="126" t="n">
        <v>486</v>
      </c>
      <c r="D179" s="127" t="n">
        <v>84.90000000000001</v>
      </c>
      <c r="E179" s="128" t="n">
        <v>26</v>
      </c>
      <c r="F179" s="127" t="n">
        <v>59.9</v>
      </c>
      <c r="G179" s="17" t="n">
        <v>18</v>
      </c>
      <c r="H179" s="129" t="n">
        <v>486</v>
      </c>
      <c r="I179" s="130" t="n">
        <v>8500</v>
      </c>
      <c r="J179" s="130" t="inlineStr">
        <is>
          <t>중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2</v>
      </c>
      <c r="R179" s="117" t="n">
        <v>1</v>
      </c>
      <c r="S179" s="117" t="inlineStr">
        <is>
          <t>복</t>
        </is>
      </c>
      <c r="T179" s="5" t="n">
        <v>84</v>
      </c>
      <c r="U179" s="9" t="n"/>
    </row>
    <row r="180" ht="12" customFormat="1" customHeight="1" s="37">
      <c r="A180" s="73" t="inlineStr">
        <is>
          <t>송천동2가 신동비사벌(201~207동)</t>
        </is>
      </c>
      <c r="B180" s="74" t="inlineStr">
        <is>
          <t>89.05.</t>
        </is>
      </c>
      <c r="C180" s="126" t="n">
        <v>370</v>
      </c>
      <c r="D180" s="127" t="n">
        <v>54.4</v>
      </c>
      <c r="E180" s="128" t="n">
        <v>16</v>
      </c>
      <c r="F180" s="127" t="n">
        <v>40</v>
      </c>
      <c r="G180" s="17" t="n">
        <v>12</v>
      </c>
      <c r="H180" s="129" t="n">
        <v>195</v>
      </c>
      <c r="I180" s="130" t="n">
        <v>8500</v>
      </c>
      <c r="J180" s="130" t="inlineStr">
        <is>
          <t>5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2</v>
      </c>
      <c r="R180" s="117" t="n">
        <v>1</v>
      </c>
      <c r="S180" s="117" t="inlineStr">
        <is>
          <t>계</t>
        </is>
      </c>
      <c r="T180" s="5" t="n">
        <v>54</v>
      </c>
      <c r="U180" s="9" t="n"/>
    </row>
    <row r="181" ht="12" customFormat="1" customHeight="1" s="37">
      <c r="A181" s="73" t="inlineStr">
        <is>
          <t>송천동2가 송천시영</t>
        </is>
      </c>
      <c r="B181" s="74" t="inlineStr">
        <is>
          <t>94.10.</t>
        </is>
      </c>
      <c r="C181" s="126" t="n">
        <v>360</v>
      </c>
      <c r="D181" s="127" t="n">
        <v>67.09999999999999</v>
      </c>
      <c r="E181" s="128" t="n">
        <v>20</v>
      </c>
      <c r="F181" s="127" t="n">
        <v>49.9</v>
      </c>
      <c r="G181" s="17" t="n">
        <v>15</v>
      </c>
      <c r="H181" s="129" t="n">
        <v>360</v>
      </c>
      <c r="I181" s="130" t="n">
        <v>8500</v>
      </c>
      <c r="J181" s="130" t="inlineStr">
        <is>
          <t>12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2</v>
      </c>
      <c r="R181" s="117" t="n">
        <v>1</v>
      </c>
      <c r="S181" s="117" t="inlineStr">
        <is>
          <t>복</t>
        </is>
      </c>
      <c r="T181" s="5" t="n">
        <v>67</v>
      </c>
      <c r="U181" s="9" t="n"/>
    </row>
    <row r="182" ht="12" customFormat="1" customHeight="1" s="37">
      <c r="A182" s="73" t="inlineStr">
        <is>
          <t>송천동2가 대명궁궐</t>
        </is>
      </c>
      <c r="B182" s="74" t="inlineStr">
        <is>
          <t>92.02.</t>
        </is>
      </c>
      <c r="C182" s="126" t="n">
        <v>525</v>
      </c>
      <c r="D182" s="127" t="n">
        <v>80.09999999999999</v>
      </c>
      <c r="E182" s="128" t="n">
        <v>24</v>
      </c>
      <c r="F182" s="127" t="n">
        <v>59.5</v>
      </c>
      <c r="G182" s="17" t="n">
        <v>18</v>
      </c>
      <c r="H182" s="129" t="n">
        <v>525</v>
      </c>
      <c r="I182" s="130" t="n">
        <v>8300</v>
      </c>
      <c r="J182" s="130" t="inlineStr">
        <is>
          <t>12</t>
        </is>
      </c>
      <c r="K182" s="130" t="n">
        <v>8000</v>
      </c>
      <c r="L182" s="130" t="inlineStr">
        <is>
          <t>12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1</v>
      </c>
      <c r="S182" s="117" t="inlineStr">
        <is>
          <t>복</t>
        </is>
      </c>
      <c r="T182" s="5" t="n">
        <v>80</v>
      </c>
      <c r="U182" s="9" t="n"/>
    </row>
    <row r="183" ht="12" customFormat="1" customHeight="1" s="37">
      <c r="A183" s="73" t="inlineStr">
        <is>
          <t>호성동1가 호성주공</t>
        </is>
      </c>
      <c r="B183" s="74" t="inlineStr">
        <is>
          <t>97.06.</t>
        </is>
      </c>
      <c r="C183" s="126" t="n">
        <v>1911</v>
      </c>
      <c r="D183" s="127" t="n">
        <v>55.2</v>
      </c>
      <c r="E183" s="128" t="n">
        <v>17</v>
      </c>
      <c r="F183" s="127" t="n">
        <v>39.7</v>
      </c>
      <c r="G183" s="17" t="n">
        <v>12</v>
      </c>
      <c r="H183" s="129" t="n">
        <v>312</v>
      </c>
      <c r="I183" s="130" t="n">
        <v>7800</v>
      </c>
      <c r="J183" s="130" t="inlineStr">
        <is>
          <t>13</t>
        </is>
      </c>
      <c r="K183" s="130" t="n">
        <v>7500</v>
      </c>
      <c r="L183" s="130" t="inlineStr">
        <is>
          <t>15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55</v>
      </c>
      <c r="U183" s="9" t="n"/>
    </row>
    <row r="184" ht="12" customFormat="1" customHeight="1" s="37">
      <c r="A184" s="73" t="inlineStr">
        <is>
          <t>여의동 공영(푸른솔)</t>
        </is>
      </c>
      <c r="B184" s="74" t="inlineStr">
        <is>
          <t>93.04.</t>
        </is>
      </c>
      <c r="C184" s="126" t="n">
        <v>500</v>
      </c>
      <c r="D184" s="127" t="n">
        <v>74.8</v>
      </c>
      <c r="E184" s="128" t="n">
        <v>23</v>
      </c>
      <c r="F184" s="127" t="n">
        <v>50</v>
      </c>
      <c r="G184" s="17" t="n">
        <v>15</v>
      </c>
      <c r="H184" s="129" t="n">
        <v>336</v>
      </c>
      <c r="I184" s="130" t="n">
        <v>7600</v>
      </c>
      <c r="J184" s="130" t="inlineStr">
        <is>
          <t>중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복</t>
        </is>
      </c>
      <c r="T184" s="5" t="inlineStr">
        <is>
          <t>74B</t>
        </is>
      </c>
      <c r="U184" s="9" t="n"/>
    </row>
    <row r="185" ht="12" customFormat="1" customHeight="1" s="37">
      <c r="A185" s="73" t="inlineStr">
        <is>
          <t>우아동3가 우정,신세계</t>
        </is>
      </c>
      <c r="B185" s="74" t="inlineStr">
        <is>
          <t>95.07.</t>
        </is>
      </c>
      <c r="C185" s="126" t="n">
        <v>792</v>
      </c>
      <c r="D185" s="127" t="n">
        <v>80.5</v>
      </c>
      <c r="E185" s="128" t="n">
        <v>24</v>
      </c>
      <c r="F185" s="127" t="n">
        <v>59.9</v>
      </c>
      <c r="G185" s="17" t="n">
        <v>18</v>
      </c>
      <c r="H185" s="129" t="n">
        <v>792</v>
      </c>
      <c r="I185" s="130" t="n">
        <v>7600</v>
      </c>
      <c r="J185" s="130" t="inlineStr">
        <is>
          <t>6</t>
        </is>
      </c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복</t>
        </is>
      </c>
      <c r="T185" s="5" t="n">
        <v>80</v>
      </c>
      <c r="U185" s="9" t="n"/>
    </row>
    <row r="186" ht="12" customFormat="1" customHeight="1" s="37">
      <c r="A186" s="73" t="inlineStr">
        <is>
          <t>팔복동2가 팔복남양</t>
        </is>
      </c>
      <c r="B186" s="74" t="inlineStr">
        <is>
          <t>99.05.</t>
        </is>
      </c>
      <c r="C186" s="126" t="n">
        <v>659</v>
      </c>
      <c r="D186" s="127" t="n">
        <v>70.90000000000001</v>
      </c>
      <c r="E186" s="128" t="n">
        <v>21</v>
      </c>
      <c r="F186" s="127" t="n">
        <v>49.5</v>
      </c>
      <c r="G186" s="17" t="n">
        <v>15</v>
      </c>
      <c r="H186" s="129" t="n">
        <v>122</v>
      </c>
      <c r="I186" s="130" t="n">
        <v>6000</v>
      </c>
      <c r="J186" s="130" t="inlineStr">
        <is>
          <t>18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n">
        <v>70</v>
      </c>
      <c r="U186" s="9" t="n"/>
    </row>
    <row r="187" ht="12" customFormat="1" customHeight="1" s="37">
      <c r="A187" s="73" t="inlineStr">
        <is>
          <t>팔복동2가 팔복남양</t>
        </is>
      </c>
      <c r="B187" s="74" t="inlineStr">
        <is>
          <t>99.05.</t>
        </is>
      </c>
      <c r="C187" s="126" t="n">
        <v>659</v>
      </c>
      <c r="D187" s="127" t="n">
        <v>56.6</v>
      </c>
      <c r="E187" s="128" t="n">
        <v>17</v>
      </c>
      <c r="F187" s="127" t="n">
        <v>37.8</v>
      </c>
      <c r="G187" s="17" t="n">
        <v>11</v>
      </c>
      <c r="H187" s="129" t="n">
        <v>95</v>
      </c>
      <c r="I187" s="130" t="n">
        <v>5100</v>
      </c>
      <c r="J187" s="130" t="inlineStr">
        <is>
          <t>고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1</v>
      </c>
      <c r="R187" s="117" t="n">
        <v>1</v>
      </c>
      <c r="S187" s="117" t="inlineStr">
        <is>
          <t>복</t>
        </is>
      </c>
      <c r="T187" s="5" t="n">
        <v>56</v>
      </c>
      <c r="U187" s="9" t="n"/>
    </row>
    <row r="188" ht="12" customFormat="1" customHeight="1" s="37">
      <c r="A188" s="73" t="inlineStr">
        <is>
          <t>반월동 대창하이빌타운</t>
        </is>
      </c>
      <c r="B188" s="74" t="inlineStr">
        <is>
          <t>98.01.</t>
        </is>
      </c>
      <c r="C188" s="126" t="n">
        <v>835</v>
      </c>
      <c r="D188" s="127" t="n">
        <v>42</v>
      </c>
      <c r="E188" s="128" t="n">
        <v>13</v>
      </c>
      <c r="F188" s="127" t="n">
        <v>28.7</v>
      </c>
      <c r="G188" s="17" t="n">
        <v>9</v>
      </c>
      <c r="H188" s="129" t="n">
        <v>835</v>
      </c>
      <c r="I188" s="130" t="n">
        <v>2550</v>
      </c>
      <c r="J188" s="130" t="inlineStr">
        <is>
          <t>중</t>
        </is>
      </c>
      <c r="K188" s="130" t="n">
        <v>2300</v>
      </c>
      <c r="L188" s="130" t="inlineStr">
        <is>
          <t>고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1</v>
      </c>
      <c r="R188" s="117" t="n">
        <v>1</v>
      </c>
      <c r="S188" s="117" t="inlineStr">
        <is>
          <t>계</t>
        </is>
      </c>
      <c r="T188" s="5" t="n">
        <v>42</v>
      </c>
      <c r="U188" s="9" t="n"/>
    </row>
    <row r="189" ht="12" customFormat="1" customHeight="1" s="37">
      <c r="A189" s="73" t="inlineStr">
        <is>
          <t>고랑동 고랑노블레스더센텀</t>
        </is>
      </c>
      <c r="B189" s="74" t="inlineStr">
        <is>
          <t>16.09.</t>
        </is>
      </c>
      <c r="C189" s="126" t="n">
        <v>260</v>
      </c>
      <c r="D189" s="127" t="n">
        <v>84.3</v>
      </c>
      <c r="E189" s="128" t="n">
        <v>26</v>
      </c>
      <c r="F189" s="127" t="n">
        <v>60</v>
      </c>
      <c r="G189" s="17" t="n">
        <v>18</v>
      </c>
      <c r="H189" s="129" t="n">
        <v>154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84A</t>
        </is>
      </c>
      <c r="U189" s="9" t="n"/>
    </row>
    <row r="190" ht="12" customFormat="1" customHeight="1" s="37">
      <c r="A190" s="73" t="inlineStr">
        <is>
          <t>고랑동 고랑명성</t>
        </is>
      </c>
      <c r="B190" s="74" t="inlineStr">
        <is>
          <t>98.10.</t>
        </is>
      </c>
      <c r="C190" s="126" t="n">
        <v>297</v>
      </c>
      <c r="D190" s="127" t="n">
        <v>50.1</v>
      </c>
      <c r="E190" s="128" t="n">
        <v>15</v>
      </c>
      <c r="F190" s="127" t="n">
        <v>37.4</v>
      </c>
      <c r="G190" s="17" t="n">
        <v>11</v>
      </c>
      <c r="H190" s="129" t="n">
        <v>45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1</v>
      </c>
      <c r="R190" s="117" t="n">
        <v>1</v>
      </c>
      <c r="S190" s="117" t="inlineStr">
        <is>
          <t>복</t>
        </is>
      </c>
      <c r="T190" s="5" t="n">
        <v>50</v>
      </c>
      <c r="U190" s="9" t="n"/>
    </row>
    <row r="191" ht="12" customFormat="1" customHeight="1" s="37">
      <c r="A191" s="73" t="inlineStr">
        <is>
          <t>고랑동 고랑명성</t>
        </is>
      </c>
      <c r="B191" s="74" t="inlineStr">
        <is>
          <t>98.10.</t>
        </is>
      </c>
      <c r="C191" s="126" t="n">
        <v>297</v>
      </c>
      <c r="D191" s="127" t="n">
        <v>71.90000000000001</v>
      </c>
      <c r="E191" s="128" t="n">
        <v>22</v>
      </c>
      <c r="F191" s="127" t="n">
        <v>53.6</v>
      </c>
      <c r="G191" s="17" t="n">
        <v>16</v>
      </c>
      <c r="H191" s="129" t="n">
        <v>72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1</v>
      </c>
      <c r="S191" s="117" t="inlineStr">
        <is>
          <t>복</t>
        </is>
      </c>
      <c r="T191" s="5" t="inlineStr">
        <is>
          <t>71A</t>
        </is>
      </c>
      <c r="U191" s="9" t="n"/>
    </row>
    <row r="192" ht="12" customFormat="1" customHeight="1" s="37">
      <c r="A192" s="73" t="inlineStr">
        <is>
          <t>고랑동 고랑명성</t>
        </is>
      </c>
      <c r="B192" s="74" t="inlineStr">
        <is>
          <t>98.10.</t>
        </is>
      </c>
      <c r="C192" s="126" t="n">
        <v>297</v>
      </c>
      <c r="D192" s="127" t="n">
        <v>80.2</v>
      </c>
      <c r="E192" s="128" t="n">
        <v>24</v>
      </c>
      <c r="F192" s="127" t="n">
        <v>59.9</v>
      </c>
      <c r="G192" s="17" t="n">
        <v>18</v>
      </c>
      <c r="H192" s="129" t="n">
        <v>111</v>
      </c>
      <c r="I192" s="130" t="n"/>
      <c r="J192" s="130" t="n"/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3</v>
      </c>
      <c r="R192" s="117" t="n">
        <v>1</v>
      </c>
      <c r="S192" s="117" t="inlineStr">
        <is>
          <t>복</t>
        </is>
      </c>
      <c r="T192" s="5" t="n">
        <v>80</v>
      </c>
      <c r="U192" s="9" t="n"/>
    </row>
    <row r="193" ht="12" customFormat="1" customHeight="1" s="37">
      <c r="A193" s="73" t="inlineStr">
        <is>
          <t>금암동 금암중앙하이츠</t>
        </is>
      </c>
      <c r="B193" s="74" t="inlineStr">
        <is>
          <t>07.07.</t>
        </is>
      </c>
      <c r="C193" s="126" t="n">
        <v>602</v>
      </c>
      <c r="D193" s="127" t="n">
        <v>152</v>
      </c>
      <c r="E193" s="128" t="n">
        <v>46</v>
      </c>
      <c r="F193" s="127" t="n">
        <v>124.9</v>
      </c>
      <c r="G193" s="17" t="n">
        <v>38</v>
      </c>
      <c r="H193" s="129" t="n">
        <v>133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4</v>
      </c>
      <c r="R193" s="117" t="n">
        <v>2</v>
      </c>
      <c r="S193" s="117" t="inlineStr">
        <is>
          <t>계</t>
        </is>
      </c>
      <c r="T193" s="5" t="inlineStr">
        <is>
          <t>152A</t>
        </is>
      </c>
      <c r="U193" s="9" t="n"/>
    </row>
    <row r="194" ht="12" customFormat="1" customHeight="1" s="37">
      <c r="A194" s="73" t="inlineStr">
        <is>
          <t>금암동 휴엔하임</t>
        </is>
      </c>
      <c r="B194" s="74" t="inlineStr">
        <is>
          <t>16.11.</t>
        </is>
      </c>
      <c r="C194" s="126" t="n">
        <v>240</v>
      </c>
      <c r="D194" s="127" t="n">
        <v>78.59999999999999</v>
      </c>
      <c r="E194" s="128" t="n">
        <v>24</v>
      </c>
      <c r="F194" s="127" t="n">
        <v>59.5</v>
      </c>
      <c r="G194" s="17" t="n">
        <v>18</v>
      </c>
      <c r="H194" s="129" t="n">
        <v>160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78B</t>
        </is>
      </c>
      <c r="U194" s="9" t="n"/>
    </row>
    <row r="195" ht="12" customFormat="1" customHeight="1" s="37">
      <c r="A195" s="73" t="inlineStr">
        <is>
          <t>금암동 휴엔하임</t>
        </is>
      </c>
      <c r="B195" s="74" t="inlineStr">
        <is>
          <t>16.11.</t>
        </is>
      </c>
      <c r="C195" s="126" t="n">
        <v>240</v>
      </c>
      <c r="D195" s="127" t="n">
        <v>100.5</v>
      </c>
      <c r="E195" s="128" t="n">
        <v>30</v>
      </c>
      <c r="F195" s="127" t="n">
        <v>76.09999999999999</v>
      </c>
      <c r="G195" s="17" t="n">
        <v>23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100A</t>
        </is>
      </c>
      <c r="U195" s="9" t="n"/>
    </row>
    <row r="196" ht="12" customFormat="1" customHeight="1" s="37">
      <c r="A196" s="73" t="inlineStr">
        <is>
          <t>금암동 천년이지움</t>
        </is>
      </c>
      <c r="B196" s="74" t="inlineStr">
        <is>
          <t>18.01.</t>
        </is>
      </c>
      <c r="C196" s="126" t="n">
        <v>218</v>
      </c>
      <c r="D196" s="127" t="n">
        <v>81.59999999999999</v>
      </c>
      <c r="E196" s="128" t="n">
        <v>25</v>
      </c>
      <c r="F196" s="127" t="n">
        <v>60</v>
      </c>
      <c r="G196" s="17" t="n">
        <v>18</v>
      </c>
      <c r="H196" s="129" t="n">
        <v>130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81</v>
      </c>
      <c r="U196" s="9" t="n"/>
    </row>
    <row r="197" ht="12" customFormat="1" customHeight="1" s="37">
      <c r="A197" s="73" t="inlineStr">
        <is>
          <t>금암동 천년이지움</t>
        </is>
      </c>
      <c r="B197" s="74" t="inlineStr">
        <is>
          <t>18.01.</t>
        </is>
      </c>
      <c r="C197" s="126" t="n">
        <v>218</v>
      </c>
      <c r="D197" s="127" t="n">
        <v>114.3</v>
      </c>
      <c r="E197" s="128" t="n">
        <v>35</v>
      </c>
      <c r="F197" s="127" t="n">
        <v>85</v>
      </c>
      <c r="G197" s="17" t="n">
        <v>26</v>
      </c>
      <c r="H197" s="129" t="n">
        <v>46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2</v>
      </c>
      <c r="S197" s="117" t="inlineStr">
        <is>
          <t>계</t>
        </is>
      </c>
      <c r="T197" s="5" t="inlineStr">
        <is>
          <t>114A</t>
        </is>
      </c>
      <c r="U197" s="9" t="n"/>
    </row>
    <row r="198" ht="12" customFormat="1" customHeight="1" s="37">
      <c r="A198" s="73" t="inlineStr">
        <is>
          <t>덕진동1가 명성강변</t>
        </is>
      </c>
      <c r="B198" s="74" t="inlineStr">
        <is>
          <t>97.01.</t>
        </is>
      </c>
      <c r="C198" s="126" t="n">
        <v>276</v>
      </c>
      <c r="D198" s="127" t="n">
        <v>66.5</v>
      </c>
      <c r="E198" s="128" t="n">
        <v>20</v>
      </c>
      <c r="F198" s="127" t="n">
        <v>49.8</v>
      </c>
      <c r="G198" s="17" t="n">
        <v>15</v>
      </c>
      <c r="H198" s="129" t="n">
        <v>64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1</v>
      </c>
      <c r="S198" s="117" t="inlineStr">
        <is>
          <t>계</t>
        </is>
      </c>
      <c r="T198" s="5" t="n">
        <v>66</v>
      </c>
      <c r="U198" s="9" t="n"/>
    </row>
    <row r="199" ht="12" customFormat="1" customHeight="1" s="37">
      <c r="A199" s="73" t="inlineStr">
        <is>
          <t>덕진동1가 명성강변</t>
        </is>
      </c>
      <c r="B199" s="74" t="inlineStr">
        <is>
          <t>97.01.</t>
        </is>
      </c>
      <c r="C199" s="126" t="n">
        <v>276</v>
      </c>
      <c r="D199" s="127" t="n">
        <v>72.59999999999999</v>
      </c>
      <c r="E199" s="128" t="n">
        <v>22</v>
      </c>
      <c r="F199" s="127" t="n">
        <v>54.3</v>
      </c>
      <c r="G199" s="17" t="n">
        <v>16</v>
      </c>
      <c r="H199" s="129" t="n">
        <v>61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1</v>
      </c>
      <c r="S199" s="117" t="inlineStr">
        <is>
          <t>계</t>
        </is>
      </c>
      <c r="T199" s="5" t="n">
        <v>72</v>
      </c>
      <c r="U199" s="9" t="n"/>
    </row>
    <row r="200" ht="12" customFormat="1" customHeight="1" s="37">
      <c r="A200" s="73" t="inlineStr">
        <is>
          <t>덕진동1가 명성강변</t>
        </is>
      </c>
      <c r="B200" s="74" t="inlineStr">
        <is>
          <t>97.01.</t>
        </is>
      </c>
      <c r="C200" s="126" t="n">
        <v>276</v>
      </c>
      <c r="D200" s="127" t="n">
        <v>80.7</v>
      </c>
      <c r="E200" s="128" t="n">
        <v>24</v>
      </c>
      <c r="F200" s="127" t="n">
        <v>60</v>
      </c>
      <c r="G200" s="17" t="n">
        <v>18</v>
      </c>
      <c r="H200" s="129" t="n">
        <v>97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80A</t>
        </is>
      </c>
      <c r="U200" s="9" t="n"/>
    </row>
    <row r="201" ht="12" customFormat="1" customHeight="1" s="37">
      <c r="A201" s="73" t="inlineStr">
        <is>
          <t>덕진동2가 영무예다음</t>
        </is>
      </c>
      <c r="B201" s="74" t="inlineStr">
        <is>
          <t>09.12.</t>
        </is>
      </c>
      <c r="C201" s="126" t="n">
        <v>601</v>
      </c>
      <c r="D201" s="127" t="n">
        <v>80.59999999999999</v>
      </c>
      <c r="E201" s="128" t="n">
        <v>24</v>
      </c>
      <c r="F201" s="127" t="n">
        <v>60</v>
      </c>
      <c r="G201" s="17" t="n">
        <v>18</v>
      </c>
      <c r="H201" s="129" t="n">
        <v>275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2</v>
      </c>
      <c r="S201" s="117" t="inlineStr">
        <is>
          <t>계</t>
        </is>
      </c>
      <c r="T201" s="5" t="inlineStr">
        <is>
          <t>80B</t>
        </is>
      </c>
      <c r="U201" s="9" t="n"/>
    </row>
    <row r="202" ht="12" customFormat="1" customHeight="1" s="37">
      <c r="A202" s="73" t="inlineStr">
        <is>
          <t>덕진동2가 명성강변</t>
        </is>
      </c>
      <c r="B202" s="74" t="inlineStr">
        <is>
          <t>97.01.</t>
        </is>
      </c>
      <c r="C202" s="126" t="n">
        <v>276</v>
      </c>
      <c r="D202" s="127" t="n">
        <v>67</v>
      </c>
      <c r="E202" s="128" t="n">
        <v>20</v>
      </c>
      <c r="F202" s="127" t="n">
        <v>49.8</v>
      </c>
      <c r="G202" s="17" t="n">
        <v>15</v>
      </c>
      <c r="H202" s="129" t="n">
        <v>64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2</v>
      </c>
      <c r="R202" s="117" t="n">
        <v>1</v>
      </c>
      <c r="S202" s="117" t="inlineStr">
        <is>
          <t>복</t>
        </is>
      </c>
      <c r="T202" s="5" t="n">
        <v>66</v>
      </c>
      <c r="U202" s="9" t="n"/>
    </row>
    <row r="203" ht="12" customFormat="1" customHeight="1" s="37">
      <c r="A203" s="73" t="inlineStr">
        <is>
          <t>덕진동2가 명성강변</t>
        </is>
      </c>
      <c r="B203" s="74" t="inlineStr">
        <is>
          <t>97.01.</t>
        </is>
      </c>
      <c r="C203" s="126" t="n">
        <v>276</v>
      </c>
      <c r="D203" s="127" t="n">
        <v>73.09999999999999</v>
      </c>
      <c r="E203" s="128" t="n">
        <v>22</v>
      </c>
      <c r="F203" s="127" t="n">
        <v>54.3</v>
      </c>
      <c r="G203" s="17" t="n">
        <v>16</v>
      </c>
      <c r="H203" s="129" t="n">
        <v>61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2</v>
      </c>
      <c r="R203" s="117" t="n">
        <v>1</v>
      </c>
      <c r="S203" s="117" t="inlineStr">
        <is>
          <t>복</t>
        </is>
      </c>
      <c r="T203" s="5" t="n">
        <v>73</v>
      </c>
      <c r="U203" s="9" t="n"/>
    </row>
    <row r="204" ht="12" customFormat="1" customHeight="1" s="37">
      <c r="A204" s="73" t="inlineStr">
        <is>
          <t>덕진동2가 명성강변</t>
        </is>
      </c>
      <c r="B204" s="74" t="inlineStr">
        <is>
          <t>97.01.</t>
        </is>
      </c>
      <c r="C204" s="126" t="n">
        <v>276</v>
      </c>
      <c r="D204" s="127" t="n">
        <v>80.7</v>
      </c>
      <c r="E204" s="128" t="n">
        <v>24</v>
      </c>
      <c r="F204" s="127" t="n">
        <v>60</v>
      </c>
      <c r="G204" s="17" t="n">
        <v>18</v>
      </c>
      <c r="H204" s="129" t="n">
        <v>97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3</v>
      </c>
      <c r="R204" s="117" t="n">
        <v>1</v>
      </c>
      <c r="S204" s="117" t="inlineStr">
        <is>
          <t>복</t>
        </is>
      </c>
      <c r="T204" s="5" t="inlineStr">
        <is>
          <t>80B</t>
        </is>
      </c>
      <c r="U204" s="9" t="n"/>
    </row>
    <row r="205" ht="12" customFormat="1" customHeight="1" s="37">
      <c r="A205" s="73" t="inlineStr">
        <is>
          <t>덕진동2가 오성유토피아</t>
        </is>
      </c>
      <c r="B205" s="74" t="inlineStr">
        <is>
          <t>89.04.</t>
        </is>
      </c>
      <c r="C205" s="126" t="n">
        <v>240</v>
      </c>
      <c r="D205" s="127" t="n">
        <v>113.7</v>
      </c>
      <c r="E205" s="128" t="n">
        <v>34</v>
      </c>
      <c r="F205" s="127" t="n">
        <v>84.90000000000001</v>
      </c>
      <c r="G205" s="17" t="n">
        <v>26</v>
      </c>
      <c r="H205" s="129" t="n">
        <v>135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3</v>
      </c>
      <c r="R205" s="117" t="n">
        <v>2</v>
      </c>
      <c r="S205" s="117" t="inlineStr">
        <is>
          <t>복</t>
        </is>
      </c>
      <c r="T205" s="5" t="n">
        <v>113</v>
      </c>
      <c r="U205" s="9" t="n"/>
    </row>
    <row r="206" ht="12" customFormat="1" customHeight="1" s="37">
      <c r="A206" s="73" t="inlineStr">
        <is>
          <t>덕진동2가 오성유토피아</t>
        </is>
      </c>
      <c r="B206" s="74" t="inlineStr">
        <is>
          <t>89.04.</t>
        </is>
      </c>
      <c r="C206" s="126" t="n">
        <v>240</v>
      </c>
      <c r="D206" s="127" t="n">
        <v>137.7</v>
      </c>
      <c r="E206" s="128" t="n">
        <v>42</v>
      </c>
      <c r="F206" s="127" t="n">
        <v>105</v>
      </c>
      <c r="G206" s="17" t="n">
        <v>32</v>
      </c>
      <c r="H206" s="129" t="n">
        <v>45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4</v>
      </c>
      <c r="R206" s="117" t="n">
        <v>2</v>
      </c>
      <c r="S206" s="117" t="inlineStr">
        <is>
          <t>복</t>
        </is>
      </c>
      <c r="T206" s="5" t="n">
        <v>137</v>
      </c>
      <c r="U206" s="9" t="n"/>
    </row>
    <row r="207" ht="12" customFormat="1" customHeight="1" s="37">
      <c r="A207" s="73" t="inlineStr">
        <is>
          <t>반월동 영무예다음</t>
        </is>
      </c>
      <c r="B207" s="74" t="inlineStr">
        <is>
          <t>06.06.</t>
        </is>
      </c>
      <c r="C207" s="126" t="n">
        <v>264</v>
      </c>
      <c r="D207" s="127" t="n">
        <v>121.4</v>
      </c>
      <c r="E207" s="128" t="n">
        <v>37</v>
      </c>
      <c r="F207" s="127" t="n">
        <v>84.8</v>
      </c>
      <c r="G207" s="17" t="n">
        <v>26</v>
      </c>
      <c r="H207" s="129" t="n">
        <v>257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n">
        <v>121</v>
      </c>
      <c r="U207" s="9" t="n"/>
    </row>
    <row r="208" ht="12" customFormat="1" customHeight="1" s="37">
      <c r="A208" s="73" t="inlineStr">
        <is>
          <t>반월동 세움펠리피아</t>
        </is>
      </c>
      <c r="B208" s="74" t="inlineStr">
        <is>
          <t>16.02.</t>
        </is>
      </c>
      <c r="C208" s="126" t="n">
        <v>211</v>
      </c>
      <c r="D208" s="127" t="n">
        <v>85.8</v>
      </c>
      <c r="E208" s="128" t="n">
        <v>26</v>
      </c>
      <c r="F208" s="127" t="n">
        <v>59.9</v>
      </c>
      <c r="G208" s="17" t="n">
        <v>18</v>
      </c>
      <c r="H208" s="129" t="n">
        <v>136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85B</t>
        </is>
      </c>
      <c r="U208" s="9" t="n"/>
    </row>
    <row r="209" ht="12" customFormat="1" customHeight="1" s="37">
      <c r="A209" s="73" t="inlineStr">
        <is>
          <t>반월동 세움펠리피아</t>
        </is>
      </c>
      <c r="B209" s="74" t="inlineStr">
        <is>
          <t>16.02.</t>
        </is>
      </c>
      <c r="C209" s="126" t="n">
        <v>211</v>
      </c>
      <c r="D209" s="127" t="n">
        <v>98</v>
      </c>
      <c r="E209" s="128" t="n">
        <v>30</v>
      </c>
      <c r="F209" s="127" t="n">
        <v>68.40000000000001</v>
      </c>
      <c r="G209" s="17" t="n">
        <v>21</v>
      </c>
      <c r="H209" s="129" t="n">
        <v>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n">
        <v>97</v>
      </c>
      <c r="U209" s="9" t="n"/>
    </row>
    <row r="210" ht="12" customFormat="1" customHeight="1" s="37">
      <c r="A210" s="73" t="inlineStr">
        <is>
          <t>반월동 월드컵이지움</t>
        </is>
      </c>
      <c r="B210" s="74" t="inlineStr">
        <is>
          <t>15.03.</t>
        </is>
      </c>
      <c r="C210" s="126" t="n">
        <v>210</v>
      </c>
      <c r="D210" s="127" t="n">
        <v>86.8</v>
      </c>
      <c r="E210" s="128" t="n">
        <v>26</v>
      </c>
      <c r="F210" s="127" t="n">
        <v>59.9</v>
      </c>
      <c r="G210" s="17" t="n">
        <v>18</v>
      </c>
      <c r="H210" s="129" t="n">
        <v>124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2</v>
      </c>
      <c r="S210" s="117" t="inlineStr">
        <is>
          <t>계</t>
        </is>
      </c>
      <c r="T210" s="5" t="inlineStr">
        <is>
          <t>86A</t>
        </is>
      </c>
      <c r="U210" s="9" t="n"/>
    </row>
    <row r="211" ht="12" customFormat="1" customHeight="1" s="37">
      <c r="A211" s="73" t="inlineStr">
        <is>
          <t>송천동1가 비사벌(468-2)</t>
        </is>
      </c>
      <c r="B211" s="74" t="inlineStr">
        <is>
          <t>84.02.</t>
        </is>
      </c>
      <c r="C211" s="126" t="n">
        <v>533</v>
      </c>
      <c r="D211" s="127" t="n">
        <v>48.5</v>
      </c>
      <c r="E211" s="128" t="n">
        <v>15</v>
      </c>
      <c r="F211" s="127" t="n">
        <v>39.9</v>
      </c>
      <c r="G211" s="17" t="n">
        <v>12</v>
      </c>
      <c r="H211" s="129" t="n">
        <v>40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48</v>
      </c>
      <c r="U211" s="9" t="n"/>
    </row>
    <row r="212" ht="12" customFormat="1" customHeight="1" s="37">
      <c r="A212" s="73" t="inlineStr">
        <is>
          <t>송천동1가 송천우림</t>
        </is>
      </c>
      <c r="B212" s="74" t="inlineStr">
        <is>
          <t>96.10.</t>
        </is>
      </c>
      <c r="C212" s="126" t="n">
        <v>417</v>
      </c>
      <c r="D212" s="127" t="n">
        <v>126.8</v>
      </c>
      <c r="E212" s="128" t="n">
        <v>38</v>
      </c>
      <c r="F212" s="127" t="n">
        <v>102.4</v>
      </c>
      <c r="G212" s="17" t="n">
        <v>31</v>
      </c>
      <c r="H212" s="129" t="n">
        <v>40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n">
        <v>126</v>
      </c>
      <c r="U212" s="9" t="n"/>
    </row>
    <row r="213" ht="12" customFormat="1" customHeight="1" s="37">
      <c r="A213" s="73" t="inlineStr">
        <is>
          <t>송천동1가 서호2단지</t>
        </is>
      </c>
      <c r="B213" s="74" t="inlineStr">
        <is>
          <t>95.11.</t>
        </is>
      </c>
      <c r="C213" s="126" t="n">
        <v>394</v>
      </c>
      <c r="D213" s="127" t="n">
        <v>105.7</v>
      </c>
      <c r="E213" s="128" t="n">
        <v>32</v>
      </c>
      <c r="F213" s="127" t="n">
        <v>84.90000000000001</v>
      </c>
      <c r="G213" s="17" t="n">
        <v>26</v>
      </c>
      <c r="H213" s="129" t="n">
        <v>199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105</v>
      </c>
      <c r="U213" s="9" t="n"/>
    </row>
    <row r="214" ht="12" customFormat="1" customHeight="1" s="37">
      <c r="A214" s="73" t="inlineStr">
        <is>
          <t>송천동1가 송천센트럴파크1단지</t>
        </is>
      </c>
      <c r="B214" s="74" t="inlineStr">
        <is>
          <t>08.04.</t>
        </is>
      </c>
      <c r="C214" s="126" t="n">
        <v>520</v>
      </c>
      <c r="D214" s="127" t="n">
        <v>115.3</v>
      </c>
      <c r="E214" s="128" t="n">
        <v>35</v>
      </c>
      <c r="F214" s="127" t="n">
        <v>84.90000000000001</v>
      </c>
      <c r="G214" s="17" t="n">
        <v>26</v>
      </c>
      <c r="H214" s="129" t="n">
        <v>91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115</v>
      </c>
      <c r="U214" s="9" t="n"/>
    </row>
    <row r="215" ht="12" customFormat="1" customHeight="1" s="37">
      <c r="A215" s="73" t="inlineStr">
        <is>
          <t>송천동1가 송천센트럴파크1단지</t>
        </is>
      </c>
      <c r="B215" s="74" t="inlineStr">
        <is>
          <t>08.04.</t>
        </is>
      </c>
      <c r="C215" s="126" t="n">
        <v>520</v>
      </c>
      <c r="D215" s="127" t="n">
        <v>131.1</v>
      </c>
      <c r="E215" s="128" t="n">
        <v>40</v>
      </c>
      <c r="F215" s="127" t="n">
        <v>101.1</v>
      </c>
      <c r="G215" s="17" t="n">
        <v>31</v>
      </c>
      <c r="H215" s="129" t="n">
        <v>61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3</v>
      </c>
      <c r="R215" s="117" t="n">
        <v>2</v>
      </c>
      <c r="S215" s="117" t="inlineStr">
        <is>
          <t>계</t>
        </is>
      </c>
      <c r="T215" s="5" t="n">
        <v>131</v>
      </c>
      <c r="U215" s="9" t="n"/>
    </row>
    <row r="216" ht="12" customFormat="1" customHeight="1" s="37">
      <c r="A216" s="73" t="inlineStr">
        <is>
          <t>송천동1가 송천아이파크5단지</t>
        </is>
      </c>
      <c r="B216" s="74" t="inlineStr">
        <is>
          <t>09.05.</t>
        </is>
      </c>
      <c r="C216" s="126" t="n">
        <v>478</v>
      </c>
      <c r="D216" s="127" t="n">
        <v>135.5</v>
      </c>
      <c r="E216" s="128" t="n">
        <v>41</v>
      </c>
      <c r="F216" s="127" t="n">
        <v>101.9</v>
      </c>
      <c r="G216" s="17" t="n">
        <v>31</v>
      </c>
      <c r="H216" s="129" t="n">
        <v>118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n">
        <v>135</v>
      </c>
      <c r="U216" s="9" t="n"/>
    </row>
    <row r="217" ht="12" customFormat="1" customHeight="1" s="37">
      <c r="A217" s="73" t="inlineStr">
        <is>
          <t>송천동1가 송천아이파크5단지</t>
        </is>
      </c>
      <c r="B217" s="74" t="inlineStr">
        <is>
          <t>09.05.</t>
        </is>
      </c>
      <c r="C217" s="126" t="n">
        <v>478</v>
      </c>
      <c r="D217" s="127" t="n">
        <v>217</v>
      </c>
      <c r="E217" s="128" t="n">
        <v>66</v>
      </c>
      <c r="F217" s="127" t="n">
        <v>183.8</v>
      </c>
      <c r="G217" s="17" t="n">
        <v>56</v>
      </c>
      <c r="H217" s="129" t="n">
        <v>48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4</v>
      </c>
      <c r="R217" s="117" t="n">
        <v>2</v>
      </c>
      <c r="S217" s="117" t="inlineStr">
        <is>
          <t>계</t>
        </is>
      </c>
      <c r="T217" s="5" t="n">
        <v>216</v>
      </c>
      <c r="U217" s="9" t="n"/>
    </row>
    <row r="218" ht="12" customFormat="1" customHeight="1" s="37">
      <c r="A218" s="73" t="inlineStr">
        <is>
          <t>송천동1가 용소마을제일</t>
        </is>
      </c>
      <c r="B218" s="74" t="inlineStr">
        <is>
          <t>99.10.</t>
        </is>
      </c>
      <c r="C218" s="126" t="n">
        <v>272</v>
      </c>
      <c r="D218" s="127" t="n">
        <v>105.9</v>
      </c>
      <c r="E218" s="128" t="n">
        <v>32</v>
      </c>
      <c r="F218" s="127" t="n">
        <v>85</v>
      </c>
      <c r="G218" s="17" t="n">
        <v>26</v>
      </c>
      <c r="H218" s="129" t="n">
        <v>134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n">
        <v>105</v>
      </c>
      <c r="U218" s="9" t="n"/>
    </row>
    <row r="219" ht="12" customFormat="1" customHeight="1" s="37">
      <c r="A219" s="73" t="inlineStr">
        <is>
          <t>송천동1가 용소마을제일</t>
        </is>
      </c>
      <c r="B219" s="74" t="inlineStr">
        <is>
          <t>99.10.</t>
        </is>
      </c>
      <c r="C219" s="126" t="n">
        <v>272</v>
      </c>
      <c r="D219" s="127" t="n">
        <v>123.9</v>
      </c>
      <c r="E219" s="128" t="n">
        <v>37</v>
      </c>
      <c r="F219" s="127" t="n">
        <v>99.8</v>
      </c>
      <c r="G219" s="17" t="n">
        <v>30</v>
      </c>
      <c r="H219" s="129" t="n">
        <v>87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4</v>
      </c>
      <c r="R219" s="117" t="n">
        <v>2</v>
      </c>
      <c r="S219" s="117" t="inlineStr">
        <is>
          <t>계</t>
        </is>
      </c>
      <c r="T219" s="5" t="n">
        <v>123</v>
      </c>
      <c r="U219" s="9" t="n"/>
    </row>
    <row r="220" ht="12" customFormat="1" customHeight="1" s="37">
      <c r="A220" s="73" t="inlineStr">
        <is>
          <t>송천동1가 용소마을제일</t>
        </is>
      </c>
      <c r="B220" s="74" t="inlineStr">
        <is>
          <t>99.10.</t>
        </is>
      </c>
      <c r="C220" s="126" t="n">
        <v>272</v>
      </c>
      <c r="D220" s="127" t="n">
        <v>162.3</v>
      </c>
      <c r="E220" s="128" t="n">
        <v>49</v>
      </c>
      <c r="F220" s="127" t="n">
        <v>135</v>
      </c>
      <c r="G220" s="17" t="n">
        <v>41</v>
      </c>
      <c r="H220" s="129" t="n">
        <v>51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162</v>
      </c>
      <c r="U220" s="9" t="n"/>
    </row>
    <row r="221" ht="12" customFormat="1" customHeight="1" s="37">
      <c r="A221" s="73" t="inlineStr">
        <is>
          <t>송천동1가 진흥더블파크</t>
        </is>
      </c>
      <c r="B221" s="74" t="inlineStr">
        <is>
          <t>08.04.</t>
        </is>
      </c>
      <c r="C221" s="126" t="n">
        <v>900</v>
      </c>
      <c r="D221" s="127" t="n">
        <v>187.9</v>
      </c>
      <c r="E221" s="128" t="n">
        <v>57</v>
      </c>
      <c r="F221" s="127" t="n">
        <v>155.7</v>
      </c>
      <c r="G221" s="17" t="n">
        <v>47</v>
      </c>
      <c r="H221" s="129" t="n">
        <v>72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187</v>
      </c>
      <c r="U221" s="9" t="n"/>
    </row>
    <row r="222" ht="12" customFormat="1" customHeight="1" s="37">
      <c r="A222" s="73" t="inlineStr">
        <is>
          <t>송천동1가 삼성</t>
        </is>
      </c>
      <c r="B222" s="74" t="inlineStr">
        <is>
          <t>90.11.</t>
        </is>
      </c>
      <c r="C222" s="126" t="n">
        <v>261</v>
      </c>
      <c r="D222" s="127" t="n">
        <v>75.7</v>
      </c>
      <c r="E222" s="128" t="n">
        <v>23</v>
      </c>
      <c r="F222" s="127" t="n">
        <v>54.9</v>
      </c>
      <c r="G222" s="17" t="n">
        <v>17</v>
      </c>
      <c r="H222" s="129" t="n">
        <v>30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75</v>
      </c>
      <c r="U222" s="9" t="n"/>
    </row>
    <row r="223" ht="12" customFormat="1" customHeight="1" s="37">
      <c r="A223" s="73" t="inlineStr">
        <is>
          <t>송천동1가 삼성</t>
        </is>
      </c>
      <c r="B223" s="74" t="inlineStr">
        <is>
          <t>90.11.</t>
        </is>
      </c>
      <c r="C223" s="126" t="n">
        <v>261</v>
      </c>
      <c r="D223" s="127" t="n">
        <v>82.3</v>
      </c>
      <c r="E223" s="128" t="n">
        <v>25</v>
      </c>
      <c r="F223" s="127" t="n">
        <v>59.7</v>
      </c>
      <c r="G223" s="17" t="n">
        <v>18</v>
      </c>
      <c r="H223" s="129" t="n">
        <v>231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1</v>
      </c>
      <c r="S223" s="117" t="inlineStr">
        <is>
          <t>복</t>
        </is>
      </c>
      <c r="T223" s="5" t="n">
        <v>82</v>
      </c>
      <c r="U223" s="9" t="n"/>
    </row>
    <row r="224" ht="12" customFormat="1" customHeight="1" s="37">
      <c r="A224" s="73" t="inlineStr">
        <is>
          <t>송천동1가 서호1단지</t>
        </is>
      </c>
      <c r="B224" s="74" t="inlineStr">
        <is>
          <t>92.11.</t>
        </is>
      </c>
      <c r="C224" s="126" t="n">
        <v>480</v>
      </c>
      <c r="D224" s="127" t="n">
        <v>102</v>
      </c>
      <c r="E224" s="128" t="n">
        <v>31</v>
      </c>
      <c r="F224" s="127" t="n">
        <v>84.59999999999999</v>
      </c>
      <c r="G224" s="17" t="n">
        <v>26</v>
      </c>
      <c r="H224" s="129" t="n">
        <v>210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2</v>
      </c>
      <c r="S224" s="117" t="inlineStr">
        <is>
          <t>계</t>
        </is>
      </c>
      <c r="T224" s="5" t="inlineStr">
        <is>
          <t>101A</t>
        </is>
      </c>
      <c r="U224" s="9" t="n"/>
    </row>
    <row r="225" ht="12" customFormat="1" customHeight="1" s="37">
      <c r="A225" s="73" t="inlineStr">
        <is>
          <t>송천동1가 서호1단지</t>
        </is>
      </c>
      <c r="B225" s="74" t="inlineStr">
        <is>
          <t>92.11.</t>
        </is>
      </c>
      <c r="C225" s="126" t="n">
        <v>480</v>
      </c>
      <c r="D225" s="127" t="n">
        <v>194</v>
      </c>
      <c r="E225" s="128" t="n">
        <v>59</v>
      </c>
      <c r="F225" s="127" t="n">
        <v>164.9</v>
      </c>
      <c r="G225" s="17" t="n">
        <v>50</v>
      </c>
      <c r="H225" s="129" t="n">
        <v>60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5</v>
      </c>
      <c r="R225" s="117" t="n">
        <v>3</v>
      </c>
      <c r="S225" s="117" t="inlineStr">
        <is>
          <t>계</t>
        </is>
      </c>
      <c r="T225" s="5" t="n">
        <v>193</v>
      </c>
      <c r="U225" s="9" t="n"/>
    </row>
    <row r="226" ht="12" customFormat="1" customHeight="1" s="37">
      <c r="A226" s="73" t="inlineStr">
        <is>
          <t>송천동1가 송천광신프로그레스</t>
        </is>
      </c>
      <c r="B226" s="74" t="inlineStr">
        <is>
          <t>19.11.</t>
        </is>
      </c>
      <c r="C226" s="126" t="n">
        <v>396</v>
      </c>
      <c r="D226" s="127" t="n">
        <v>109.9</v>
      </c>
      <c r="E226" s="128" t="n">
        <v>33</v>
      </c>
      <c r="F226" s="127" t="n">
        <v>84.8</v>
      </c>
      <c r="G226" s="17" t="n">
        <v>26</v>
      </c>
      <c r="H226" s="129" t="n">
        <v>374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송천동1가 광진한솔</t>
        </is>
      </c>
      <c r="B227" s="74" t="inlineStr">
        <is>
          <t>94.06.</t>
        </is>
      </c>
      <c r="C227" s="126" t="n">
        <v>275</v>
      </c>
      <c r="D227" s="127" t="n">
        <v>79</v>
      </c>
      <c r="E227" s="128" t="n">
        <v>24</v>
      </c>
      <c r="F227" s="127" t="n">
        <v>60</v>
      </c>
      <c r="G227" s="17" t="n">
        <v>18</v>
      </c>
      <c r="H227" s="129" t="n">
        <v>178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79</v>
      </c>
      <c r="U227" s="9" t="n"/>
    </row>
    <row r="228" ht="12" customFormat="1" customHeight="1" s="37">
      <c r="A228" s="73" t="inlineStr">
        <is>
          <t>송천동1가 광진한솔</t>
        </is>
      </c>
      <c r="B228" s="74" t="inlineStr">
        <is>
          <t>94.06.</t>
        </is>
      </c>
      <c r="C228" s="126" t="n">
        <v>275</v>
      </c>
      <c r="D228" s="127" t="n">
        <v>105</v>
      </c>
      <c r="E228" s="128" t="n">
        <v>32</v>
      </c>
      <c r="F228" s="127" t="n">
        <v>85</v>
      </c>
      <c r="G228" s="17" t="n">
        <v>26</v>
      </c>
      <c r="H228" s="129" t="n">
        <v>97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104</v>
      </c>
      <c r="U228" s="9" t="n"/>
    </row>
    <row r="229" ht="12" customFormat="1" customHeight="1" s="37">
      <c r="A229" s="73" t="inlineStr">
        <is>
          <t>송천동1가 영창</t>
        </is>
      </c>
      <c r="B229" s="74" t="inlineStr">
        <is>
          <t>93.12.</t>
        </is>
      </c>
      <c r="C229" s="126" t="n">
        <v>205</v>
      </c>
      <c r="D229" s="127" t="n">
        <v>80.2</v>
      </c>
      <c r="E229" s="128" t="n">
        <v>24</v>
      </c>
      <c r="F229" s="127" t="n">
        <v>59.9</v>
      </c>
      <c r="G229" s="17" t="n">
        <v>18</v>
      </c>
      <c r="H229" s="129" t="n">
        <v>205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80</v>
      </c>
      <c r="U229" s="9" t="n"/>
    </row>
    <row r="230" ht="12" customFormat="1" customHeight="1" s="37">
      <c r="A230" s="73" t="inlineStr">
        <is>
          <t>송천동1가 영창드림맨션</t>
        </is>
      </c>
      <c r="B230" s="74" t="inlineStr">
        <is>
          <t>97.12.</t>
        </is>
      </c>
      <c r="C230" s="126" t="n">
        <v>242</v>
      </c>
      <c r="D230" s="127" t="n">
        <v>79.3</v>
      </c>
      <c r="E230" s="128" t="n">
        <v>24</v>
      </c>
      <c r="F230" s="127" t="n">
        <v>59.8</v>
      </c>
      <c r="G230" s="17" t="n">
        <v>18</v>
      </c>
      <c r="H230" s="129" t="n">
        <v>80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inlineStr">
        <is>
          <t>79A</t>
        </is>
      </c>
      <c r="U230" s="9" t="n"/>
    </row>
    <row r="231" ht="12" customFormat="1" customHeight="1" s="37">
      <c r="A231" s="73" t="inlineStr">
        <is>
          <t>송천동1가 영창드림맨션</t>
        </is>
      </c>
      <c r="B231" s="74" t="inlineStr">
        <is>
          <t>97.12.</t>
        </is>
      </c>
      <c r="C231" s="126" t="n">
        <v>242</v>
      </c>
      <c r="D231" s="127" t="n">
        <v>108</v>
      </c>
      <c r="E231" s="128" t="n">
        <v>33</v>
      </c>
      <c r="F231" s="127" t="n">
        <v>84.90000000000001</v>
      </c>
      <c r="G231" s="17" t="n">
        <v>26</v>
      </c>
      <c r="H231" s="129" t="n">
        <v>93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n">
        <v>107</v>
      </c>
      <c r="U231" s="9" t="n"/>
    </row>
    <row r="232" ht="12" customFormat="1" customHeight="1" s="37">
      <c r="A232" s="73" t="inlineStr">
        <is>
          <t>송천동2가 에코시티자이</t>
        </is>
      </c>
      <c r="B232" s="74" t="inlineStr">
        <is>
          <t>17.12.</t>
        </is>
      </c>
      <c r="C232" s="126" t="n">
        <v>640</v>
      </c>
      <c r="D232" s="127" t="n">
        <v>156.4</v>
      </c>
      <c r="E232" s="128" t="n">
        <v>47</v>
      </c>
      <c r="F232" s="127" t="n">
        <v>116.9</v>
      </c>
      <c r="G232" s="17" t="n">
        <v>35</v>
      </c>
      <c r="H232" s="129" t="n">
        <v>46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4</v>
      </c>
      <c r="R232" s="117" t="n">
        <v>2</v>
      </c>
      <c r="S232" s="117" t="inlineStr">
        <is>
          <t>계</t>
        </is>
      </c>
      <c r="T232" s="5" t="n">
        <v>156</v>
      </c>
      <c r="U232" s="9" t="n"/>
    </row>
    <row r="233" ht="12" customFormat="1" customHeight="1" s="37">
      <c r="A233" s="73" t="inlineStr">
        <is>
          <t>송천동2가 쌍용2단지</t>
        </is>
      </c>
      <c r="B233" s="74" t="inlineStr">
        <is>
          <t>98.09.</t>
        </is>
      </c>
      <c r="C233" s="126" t="n">
        <v>308</v>
      </c>
      <c r="D233" s="127" t="n">
        <v>106.9</v>
      </c>
      <c r="E233" s="128" t="n">
        <v>32</v>
      </c>
      <c r="F233" s="127" t="n">
        <v>85</v>
      </c>
      <c r="G233" s="17" t="n">
        <v>26</v>
      </c>
      <c r="H233" s="129" t="n">
        <v>144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송천동2가 롯데2단지</t>
        </is>
      </c>
      <c r="B234" s="74" t="inlineStr">
        <is>
          <t>87.06.</t>
        </is>
      </c>
      <c r="C234" s="126" t="n">
        <v>290</v>
      </c>
      <c r="D234" s="127" t="n">
        <v>59.9</v>
      </c>
      <c r="E234" s="128" t="n">
        <v>18</v>
      </c>
      <c r="F234" s="127" t="n">
        <v>54.1</v>
      </c>
      <c r="G234" s="17" t="n">
        <v>16</v>
      </c>
      <c r="H234" s="129" t="n">
        <v>120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59</v>
      </c>
      <c r="U234" s="9" t="n"/>
    </row>
    <row r="235" ht="12" customFormat="1" customHeight="1" s="37">
      <c r="A235" s="73" t="inlineStr">
        <is>
          <t>송천동2가 롯데2단지</t>
        </is>
      </c>
      <c r="B235" s="74" t="inlineStr">
        <is>
          <t>87.06.</t>
        </is>
      </c>
      <c r="C235" s="126" t="n">
        <v>290</v>
      </c>
      <c r="D235" s="127" t="n">
        <v>65.5</v>
      </c>
      <c r="E235" s="128" t="n">
        <v>20</v>
      </c>
      <c r="F235" s="127" t="n">
        <v>59.4</v>
      </c>
      <c r="G235" s="17" t="n">
        <v>18</v>
      </c>
      <c r="H235" s="129" t="n">
        <v>170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7">
      <c r="A236" s="73" t="inlineStr">
        <is>
          <t>송천동2가 롯데1단지</t>
        </is>
      </c>
      <c r="B236" s="74" t="inlineStr">
        <is>
          <t>85.07.</t>
        </is>
      </c>
      <c r="C236" s="126" t="n">
        <v>240</v>
      </c>
      <c r="D236" s="127" t="n">
        <v>54.1</v>
      </c>
      <c r="E236" s="128" t="n">
        <v>16</v>
      </c>
      <c r="F236" s="127" t="n">
        <v>47.8</v>
      </c>
      <c r="G236" s="17" t="n">
        <v>14</v>
      </c>
      <c r="H236" s="129" t="n">
        <v>240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54</v>
      </c>
      <c r="U236" s="9" t="n"/>
    </row>
    <row r="237" ht="12" customFormat="1" customHeight="1" s="37">
      <c r="A237" s="73" t="inlineStr">
        <is>
          <t>송천동2가 현대1차</t>
        </is>
      </c>
      <c r="B237" s="74" t="inlineStr">
        <is>
          <t>95.05.</t>
        </is>
      </c>
      <c r="C237" s="126" t="n">
        <v>248</v>
      </c>
      <c r="D237" s="127" t="n">
        <v>80.09999999999999</v>
      </c>
      <c r="E237" s="128" t="n">
        <v>24</v>
      </c>
      <c r="F237" s="127" t="n">
        <v>59.3</v>
      </c>
      <c r="G237" s="17" t="n">
        <v>18</v>
      </c>
      <c r="H237" s="129" t="n">
        <v>132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1</v>
      </c>
      <c r="S237" s="117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송천동2가 현대1차</t>
        </is>
      </c>
      <c r="B238" s="74" t="inlineStr">
        <is>
          <t>95.05.</t>
        </is>
      </c>
      <c r="C238" s="126" t="n">
        <v>248</v>
      </c>
      <c r="D238" s="127" t="n">
        <v>104.3</v>
      </c>
      <c r="E238" s="128" t="n">
        <v>32</v>
      </c>
      <c r="F238" s="127" t="n">
        <v>85</v>
      </c>
      <c r="G238" s="17" t="n">
        <v>26</v>
      </c>
      <c r="H238" s="129" t="n">
        <v>116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104</v>
      </c>
      <c r="U238" s="9" t="n"/>
    </row>
    <row r="239" ht="12" customFormat="1" customHeight="1" s="37">
      <c r="A239" s="73" t="inlineStr">
        <is>
          <t>송천동2가 전주에코시티데시앙(14BL)</t>
        </is>
      </c>
      <c r="B239" s="74" t="inlineStr">
        <is>
          <t>21.10.</t>
        </is>
      </c>
      <c r="C239" s="126" t="n">
        <v>878</v>
      </c>
      <c r="D239" s="127" t="n">
        <v>102.1</v>
      </c>
      <c r="E239" s="128" t="n">
        <v>31</v>
      </c>
      <c r="F239" s="127" t="n">
        <v>75.90000000000001</v>
      </c>
      <c r="G239" s="17" t="n">
        <v>23</v>
      </c>
      <c r="H239" s="129" t="n">
        <v>150</v>
      </c>
      <c r="I239" s="130" t="n"/>
      <c r="J239" s="130" t="n"/>
      <c r="K239" s="130" t="n">
        <v>38000</v>
      </c>
      <c r="L239" s="130" t="inlineStr">
        <is>
          <t>중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102A</t>
        </is>
      </c>
      <c r="U239" s="9" t="n"/>
    </row>
    <row r="240" ht="12" customFormat="1" customHeight="1" s="37">
      <c r="A240" s="73" t="inlineStr">
        <is>
          <t>송천동2가 전주에코시티데시앙(14BL)</t>
        </is>
      </c>
      <c r="B240" s="74" t="inlineStr">
        <is>
          <t>21.10.</t>
        </is>
      </c>
      <c r="C240" s="126" t="n">
        <v>878</v>
      </c>
      <c r="D240" s="127" t="n">
        <v>113.9</v>
      </c>
      <c r="E240" s="128" t="n">
        <v>34</v>
      </c>
      <c r="F240" s="127" t="n">
        <v>84.90000000000001</v>
      </c>
      <c r="G240" s="17" t="n">
        <v>26</v>
      </c>
      <c r="H240" s="129" t="n">
        <v>237</v>
      </c>
      <c r="I240" s="130" t="n"/>
      <c r="J240" s="130" t="n"/>
      <c r="K240" s="130" t="n">
        <v>43000</v>
      </c>
      <c r="L240" s="130" t="inlineStr">
        <is>
          <t>20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inlineStr">
        <is>
          <t>113A</t>
        </is>
      </c>
      <c r="U240" s="9" t="n"/>
    </row>
    <row r="241" ht="12" customFormat="1" customHeight="1" s="37">
      <c r="A241" s="73" t="inlineStr">
        <is>
          <t>송천동2가 전주에코시티데시앙(14BL)</t>
        </is>
      </c>
      <c r="B241" s="74" t="inlineStr">
        <is>
          <t>21.10.</t>
        </is>
      </c>
      <c r="C241" s="126" t="n">
        <v>878</v>
      </c>
      <c r="D241" s="127" t="n">
        <v>132.9</v>
      </c>
      <c r="E241" s="128" t="n">
        <v>40</v>
      </c>
      <c r="F241" s="127" t="n">
        <v>99</v>
      </c>
      <c r="G241" s="17" t="n">
        <v>30</v>
      </c>
      <c r="H241" s="129" t="n">
        <v>140</v>
      </c>
      <c r="I241" s="130" t="n"/>
      <c r="J241" s="130" t="n"/>
      <c r="K241" s="130" t="n">
        <v>50000</v>
      </c>
      <c r="L241" s="130" t="inlineStr">
        <is>
          <t>10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inlineStr">
        <is>
          <t>132A</t>
        </is>
      </c>
      <c r="U241" s="9" t="n"/>
    </row>
    <row r="242" ht="12" customFormat="1" customHeight="1" s="37">
      <c r="A242" s="73" t="inlineStr">
        <is>
          <t>송천동2가 솔내마을동아</t>
        </is>
      </c>
      <c r="B242" s="74" t="inlineStr">
        <is>
          <t>99.10.</t>
        </is>
      </c>
      <c r="C242" s="126" t="n">
        <v>505</v>
      </c>
      <c r="D242" s="127" t="n">
        <v>123.1</v>
      </c>
      <c r="E242" s="128" t="n">
        <v>37</v>
      </c>
      <c r="F242" s="127" t="n">
        <v>99.90000000000001</v>
      </c>
      <c r="G242" s="17" t="n">
        <v>30</v>
      </c>
      <c r="H242" s="129" t="n">
        <v>108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4</v>
      </c>
      <c r="R242" s="117" t="n">
        <v>2</v>
      </c>
      <c r="S242" s="117" t="inlineStr">
        <is>
          <t>계</t>
        </is>
      </c>
      <c r="T242" s="5" t="n">
        <v>123</v>
      </c>
      <c r="U242" s="9" t="n"/>
    </row>
    <row r="243" ht="12" customFormat="1" customHeight="1" s="37">
      <c r="A243" s="73" t="inlineStr">
        <is>
          <t>송천동2가 솔내마을동아</t>
        </is>
      </c>
      <c r="B243" s="74" t="inlineStr">
        <is>
          <t>99.10.</t>
        </is>
      </c>
      <c r="C243" s="126" t="n">
        <v>505</v>
      </c>
      <c r="D243" s="127" t="n">
        <v>151.3</v>
      </c>
      <c r="E243" s="128" t="n">
        <v>46</v>
      </c>
      <c r="F243" s="127" t="n">
        <v>124.3</v>
      </c>
      <c r="G243" s="17" t="n">
        <v>38</v>
      </c>
      <c r="H243" s="129" t="n">
        <v>68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6" t="n">
        <v>614</v>
      </c>
      <c r="D244" s="127" t="n">
        <v>115.7</v>
      </c>
      <c r="E244" s="128" t="n">
        <v>35</v>
      </c>
      <c r="F244" s="127" t="n">
        <v>85</v>
      </c>
      <c r="G244" s="17" t="n">
        <v>26</v>
      </c>
      <c r="H244" s="129" t="n">
        <v>210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115</v>
      </c>
      <c r="U244" s="9" t="n"/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6" t="n">
        <v>614</v>
      </c>
      <c r="D245" s="127" t="n">
        <v>160.7</v>
      </c>
      <c r="E245" s="128" t="n">
        <v>49</v>
      </c>
      <c r="F245" s="127" t="n">
        <v>120.6</v>
      </c>
      <c r="G245" s="17" t="n">
        <v>36</v>
      </c>
      <c r="H245" s="129" t="n">
        <v>122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160</v>
      </c>
      <c r="U245" s="9" t="n"/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6" t="n">
        <v>614</v>
      </c>
      <c r="D246" s="127" t="n">
        <v>175.7</v>
      </c>
      <c r="E246" s="128" t="n">
        <v>53</v>
      </c>
      <c r="F246" s="127" t="n">
        <v>130.9</v>
      </c>
      <c r="G246" s="17" t="n">
        <v>40</v>
      </c>
      <c r="H246" s="129" t="n">
        <v>121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175</v>
      </c>
      <c r="U246" s="9" t="n"/>
    </row>
    <row r="247" ht="12" customFormat="1" customHeight="1" s="37">
      <c r="A247" s="73" t="inlineStr">
        <is>
          <t>여의동 공영(푸른솔)</t>
        </is>
      </c>
      <c r="B247" s="74" t="inlineStr">
        <is>
          <t>93.04.</t>
        </is>
      </c>
      <c r="C247" s="126" t="n">
        <v>500</v>
      </c>
      <c r="D247" s="127" t="n">
        <v>60.6</v>
      </c>
      <c r="E247" s="128" t="n">
        <v>18</v>
      </c>
      <c r="F247" s="127" t="n">
        <v>40.4</v>
      </c>
      <c r="G247" s="17" t="n">
        <v>12</v>
      </c>
      <c r="H247" s="129" t="n">
        <v>150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60</v>
      </c>
      <c r="U247" s="9" t="n"/>
    </row>
    <row r="248" ht="12" customFormat="1" customHeight="1" s="37">
      <c r="A248" s="73" t="inlineStr">
        <is>
          <t>여의동 여의영무예다음</t>
        </is>
      </c>
      <c r="B248" s="74" t="inlineStr">
        <is>
          <t>19.01.</t>
        </is>
      </c>
      <c r="C248" s="126" t="n">
        <v>711</v>
      </c>
      <c r="D248" s="127" t="n">
        <v>97.3</v>
      </c>
      <c r="E248" s="128" t="n">
        <v>29</v>
      </c>
      <c r="F248" s="127" t="n">
        <v>73.09999999999999</v>
      </c>
      <c r="G248" s="17" t="n">
        <v>22</v>
      </c>
      <c r="H248" s="129" t="n">
        <v>251</v>
      </c>
      <c r="I248" s="130" t="n"/>
      <c r="J248" s="130" t="n"/>
      <c r="K248" s="130" t="n">
        <v>16970</v>
      </c>
      <c r="L248" s="130" t="inlineStr">
        <is>
          <t>고</t>
        </is>
      </c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3</v>
      </c>
      <c r="R248" s="117" t="n">
        <v>2</v>
      </c>
      <c r="S248" s="117" t="inlineStr">
        <is>
          <t>계</t>
        </is>
      </c>
      <c r="T248" s="5" t="n">
        <v>97</v>
      </c>
      <c r="U248" s="9" t="n"/>
    </row>
    <row r="249" ht="12" customFormat="1" customHeight="1" s="37">
      <c r="A249" s="73" t="inlineStr">
        <is>
          <t>여의동 여의영무예다음</t>
        </is>
      </c>
      <c r="B249" s="74" t="inlineStr">
        <is>
          <t>19.01.</t>
        </is>
      </c>
      <c r="C249" s="126" t="n">
        <v>711</v>
      </c>
      <c r="D249" s="127" t="n">
        <v>113.3</v>
      </c>
      <c r="E249" s="128" t="n">
        <v>34</v>
      </c>
      <c r="F249" s="127" t="n">
        <v>85</v>
      </c>
      <c r="G249" s="17" t="n">
        <v>26</v>
      </c>
      <c r="H249" s="129" t="n">
        <v>315</v>
      </c>
      <c r="I249" s="130" t="n"/>
      <c r="J249" s="130" t="n"/>
      <c r="K249" s="130" t="n">
        <v>20490</v>
      </c>
      <c r="L249" s="130" t="inlineStr">
        <is>
          <t>고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4</v>
      </c>
      <c r="R249" s="117" t="n">
        <v>2</v>
      </c>
      <c r="S249" s="117" t="inlineStr">
        <is>
          <t>계</t>
        </is>
      </c>
      <c r="T249" s="5" t="inlineStr">
        <is>
          <t>113A</t>
        </is>
      </c>
      <c r="U249" s="9" t="n"/>
    </row>
    <row r="250" ht="12" customFormat="1" customHeight="1" s="37">
      <c r="A250" s="73" t="inlineStr">
        <is>
          <t>여의동 여의제이파크(제일)</t>
        </is>
      </c>
      <c r="B250" s="74" t="inlineStr">
        <is>
          <t>03.12.</t>
        </is>
      </c>
      <c r="C250" s="126" t="n">
        <v>737</v>
      </c>
      <c r="D250" s="127" t="n">
        <v>102.7</v>
      </c>
      <c r="E250" s="128" t="n">
        <v>31</v>
      </c>
      <c r="F250" s="127" t="n">
        <v>85</v>
      </c>
      <c r="G250" s="17" t="n">
        <v>26</v>
      </c>
      <c r="H250" s="129" t="n">
        <v>675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inlineStr">
        <is>
          <t>102A</t>
        </is>
      </c>
      <c r="U250" s="9" t="n"/>
    </row>
    <row r="251" ht="12" customFormat="1" customHeight="1" s="37">
      <c r="A251" s="73" t="inlineStr">
        <is>
          <t>여의동2가 대승</t>
        </is>
      </c>
      <c r="B251" s="74" t="inlineStr">
        <is>
          <t>96.01.</t>
        </is>
      </c>
      <c r="C251" s="126" t="n">
        <v>283</v>
      </c>
      <c r="D251" s="127" t="n">
        <v>81.09999999999999</v>
      </c>
      <c r="E251" s="128" t="n">
        <v>25</v>
      </c>
      <c r="F251" s="127" t="n">
        <v>59.4</v>
      </c>
      <c r="G251" s="17" t="n">
        <v>18</v>
      </c>
      <c r="H251" s="129" t="n">
        <v>283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81</v>
      </c>
      <c r="U251" s="9" t="n"/>
    </row>
    <row r="252" ht="12" customFormat="1" customHeight="1" s="37">
      <c r="A252" s="73" t="inlineStr">
        <is>
          <t>여의동2가 우신동산</t>
        </is>
      </c>
      <c r="B252" s="74" t="inlineStr">
        <is>
          <t>92.04.</t>
        </is>
      </c>
      <c r="C252" s="126" t="n">
        <v>494</v>
      </c>
      <c r="D252" s="127" t="n">
        <v>79</v>
      </c>
      <c r="E252" s="128" t="n">
        <v>24</v>
      </c>
      <c r="F252" s="127" t="n">
        <v>59.6</v>
      </c>
      <c r="G252" s="17" t="n">
        <v>18</v>
      </c>
      <c r="H252" s="129" t="n">
        <v>494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2</v>
      </c>
      <c r="R252" s="117" t="n">
        <v>1</v>
      </c>
      <c r="S252" s="117" t="inlineStr">
        <is>
          <t>복</t>
        </is>
      </c>
      <c r="T252" s="5" t="n">
        <v>78</v>
      </c>
      <c r="U252" s="9" t="n"/>
    </row>
    <row r="253" ht="12" customFormat="1" customHeight="1" s="37">
      <c r="A253" s="73" t="inlineStr">
        <is>
          <t>여의동2가 대승2차</t>
        </is>
      </c>
      <c r="B253" s="74" t="inlineStr">
        <is>
          <t>96.01.</t>
        </is>
      </c>
      <c r="C253" s="126" t="n">
        <v>299</v>
      </c>
      <c r="D253" s="127" t="n">
        <v>80.7</v>
      </c>
      <c r="E253" s="128" t="n">
        <v>24</v>
      </c>
      <c r="F253" s="127" t="n">
        <v>59.4</v>
      </c>
      <c r="G253" s="17" t="n">
        <v>18</v>
      </c>
      <c r="H253" s="129" t="n">
        <v>284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n">
        <v>80</v>
      </c>
      <c r="U253" s="9" t="n"/>
    </row>
    <row r="254" ht="12" customFormat="1" customHeight="1" s="37">
      <c r="A254" s="73" t="inlineStr">
        <is>
          <t>우아동2가 전주아중롯데</t>
        </is>
      </c>
      <c r="B254" s="74" t="inlineStr">
        <is>
          <t>98.11.</t>
        </is>
      </c>
      <c r="C254" s="126" t="n">
        <v>540</v>
      </c>
      <c r="D254" s="127" t="n">
        <v>107.4</v>
      </c>
      <c r="E254" s="128" t="n">
        <v>32</v>
      </c>
      <c r="F254" s="127" t="n">
        <v>84.8</v>
      </c>
      <c r="G254" s="17" t="n">
        <v>26</v>
      </c>
      <c r="H254" s="129" t="n">
        <v>351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inlineStr">
        <is>
          <t>107B</t>
        </is>
      </c>
      <c r="U254" s="9" t="n"/>
    </row>
    <row r="255" ht="12" customFormat="1" customHeight="1" s="37">
      <c r="A255" s="73" t="inlineStr">
        <is>
          <t>우아동2가 진버들마을대우2차</t>
        </is>
      </c>
      <c r="B255" s="74" t="inlineStr">
        <is>
          <t>99.11.</t>
        </is>
      </c>
      <c r="C255" s="126" t="n">
        <v>450</v>
      </c>
      <c r="D255" s="127" t="n">
        <v>106.3</v>
      </c>
      <c r="E255" s="128" t="n">
        <v>32</v>
      </c>
      <c r="F255" s="127" t="n">
        <v>84.40000000000001</v>
      </c>
      <c r="G255" s="17" t="n">
        <v>26</v>
      </c>
      <c r="H255" s="129" t="n">
        <v>236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106</v>
      </c>
      <c r="U255" s="9" t="n"/>
    </row>
    <row r="256" ht="12" customFormat="1" customHeight="1" s="37">
      <c r="A256" s="73" t="inlineStr">
        <is>
          <t>우아동2가 진버들마을대우2차</t>
        </is>
      </c>
      <c r="B256" s="74" t="inlineStr">
        <is>
          <t>99.11.</t>
        </is>
      </c>
      <c r="C256" s="126" t="n">
        <v>450</v>
      </c>
      <c r="D256" s="127" t="n">
        <v>166.3</v>
      </c>
      <c r="E256" s="128" t="n">
        <v>50</v>
      </c>
      <c r="F256" s="127" t="n">
        <v>141.2</v>
      </c>
      <c r="G256" s="17" t="n">
        <v>43</v>
      </c>
      <c r="H256" s="129" t="n">
        <v>100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166</v>
      </c>
      <c r="U256" s="9" t="n"/>
    </row>
    <row r="257" ht="12" customFormat="1" customHeight="1" s="37">
      <c r="A257" s="73" t="inlineStr">
        <is>
          <t>우아동2가 선변오지오</t>
        </is>
      </c>
      <c r="B257" s="74" t="inlineStr">
        <is>
          <t>08.12.</t>
        </is>
      </c>
      <c r="C257" s="126" t="n">
        <v>240</v>
      </c>
      <c r="D257" s="127" t="n">
        <v>109.2</v>
      </c>
      <c r="E257" s="128" t="n">
        <v>33</v>
      </c>
      <c r="F257" s="127" t="n">
        <v>84.90000000000001</v>
      </c>
      <c r="G257" s="17" t="n">
        <v>26</v>
      </c>
      <c r="H257" s="129" t="n">
        <v>120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inlineStr">
        <is>
          <t>109B</t>
        </is>
      </c>
      <c r="U257" s="9" t="n"/>
    </row>
    <row r="258" ht="12" customFormat="1" customHeight="1" s="37">
      <c r="A258" s="73" t="inlineStr">
        <is>
          <t>우아동3가 우아럭키</t>
        </is>
      </c>
      <c r="B258" s="74" t="inlineStr">
        <is>
          <t>92.03.</t>
        </is>
      </c>
      <c r="C258" s="126" t="n">
        <v>480</v>
      </c>
      <c r="D258" s="127" t="n">
        <v>102.9</v>
      </c>
      <c r="E258" s="128" t="n">
        <v>31</v>
      </c>
      <c r="F258" s="127" t="n">
        <v>84.90000000000001</v>
      </c>
      <c r="G258" s="17" t="n">
        <v>26</v>
      </c>
      <c r="H258" s="129" t="n">
        <v>300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n">
        <v>102</v>
      </c>
      <c r="U258" s="9" t="n"/>
    </row>
    <row r="259" ht="12" customFormat="1" customHeight="1" s="37">
      <c r="A259" s="73" t="inlineStr">
        <is>
          <t>우아동3가 우아럭키</t>
        </is>
      </c>
      <c r="B259" s="74" t="inlineStr">
        <is>
          <t>92.03.</t>
        </is>
      </c>
      <c r="C259" s="126" t="n">
        <v>480</v>
      </c>
      <c r="D259" s="127" t="n">
        <v>130.2</v>
      </c>
      <c r="E259" s="128" t="n">
        <v>39</v>
      </c>
      <c r="F259" s="127" t="n">
        <v>110.8</v>
      </c>
      <c r="G259" s="17" t="n">
        <v>34</v>
      </c>
      <c r="H259" s="129" t="n">
        <v>60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130</v>
      </c>
      <c r="U259" s="9" t="n"/>
    </row>
    <row r="260" ht="12" customFormat="1" customHeight="1" s="37">
      <c r="A260" s="73" t="inlineStr">
        <is>
          <t>우아동3가 우아럭키</t>
        </is>
      </c>
      <c r="B260" s="74" t="inlineStr">
        <is>
          <t>92.03.</t>
        </is>
      </c>
      <c r="C260" s="126" t="n">
        <v>480</v>
      </c>
      <c r="D260" s="127" t="n">
        <v>150</v>
      </c>
      <c r="E260" s="128" t="n">
        <v>45</v>
      </c>
      <c r="F260" s="127" t="n">
        <v>128.3</v>
      </c>
      <c r="G260" s="17" t="n">
        <v>39</v>
      </c>
      <c r="H260" s="129" t="n">
        <v>60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n">
        <v>149</v>
      </c>
      <c r="U260" s="9" t="n"/>
    </row>
    <row r="261" ht="12" customFormat="1" customHeight="1" s="37">
      <c r="A261" s="73" t="inlineStr">
        <is>
          <t>우아동3가 우아럭키</t>
        </is>
      </c>
      <c r="B261" s="74" t="inlineStr">
        <is>
          <t>92.03.</t>
        </is>
      </c>
      <c r="C261" s="126" t="n">
        <v>480</v>
      </c>
      <c r="D261" s="127" t="n">
        <v>187.6</v>
      </c>
      <c r="E261" s="128" t="n">
        <v>57</v>
      </c>
      <c r="F261" s="127" t="n">
        <v>162.9</v>
      </c>
      <c r="G261" s="17" t="n">
        <v>49</v>
      </c>
      <c r="H261" s="129" t="n">
        <v>60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4</v>
      </c>
      <c r="R261" s="117" t="n">
        <v>2</v>
      </c>
      <c r="S261" s="117" t="inlineStr">
        <is>
          <t>계</t>
        </is>
      </c>
      <c r="T261" s="5" t="n">
        <v>187</v>
      </c>
      <c r="U261" s="9" t="n"/>
    </row>
    <row r="262" ht="12" customFormat="1" customHeight="1" s="37">
      <c r="A262" s="73" t="inlineStr">
        <is>
          <t>우아동3가 우신</t>
        </is>
      </c>
      <c r="B262" s="74" t="inlineStr">
        <is>
          <t>88.01.</t>
        </is>
      </c>
      <c r="C262" s="126" t="n">
        <v>300</v>
      </c>
      <c r="D262" s="127" t="n">
        <v>68</v>
      </c>
      <c r="E262" s="128" t="n">
        <v>21</v>
      </c>
      <c r="F262" s="127" t="n">
        <v>57.8</v>
      </c>
      <c r="G262" s="17" t="n">
        <v>17</v>
      </c>
      <c r="H262" s="129" t="n">
        <v>250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3</v>
      </c>
      <c r="R262" s="117" t="n">
        <v>1</v>
      </c>
      <c r="S262" s="117" t="inlineStr">
        <is>
          <t>계</t>
        </is>
      </c>
      <c r="T262" s="5" t="inlineStr">
        <is>
          <t>68A</t>
        </is>
      </c>
      <c r="U262" s="9" t="n"/>
    </row>
    <row r="263" ht="12" customFormat="1" customHeight="1" s="37">
      <c r="A263" s="73" t="inlineStr">
        <is>
          <t>우아동3가 전주우아한시티</t>
        </is>
      </c>
      <c r="B263" s="74" t="inlineStr">
        <is>
          <t>21.09.</t>
        </is>
      </c>
      <c r="C263" s="126" t="n">
        <v>998</v>
      </c>
      <c r="D263" s="127" t="n">
        <v>79.3</v>
      </c>
      <c r="E263" s="128" t="n">
        <v>24</v>
      </c>
      <c r="F263" s="127" t="n">
        <v>60</v>
      </c>
      <c r="G263" s="17" t="n">
        <v>18</v>
      </c>
      <c r="H263" s="129" t="n">
        <v>156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n">
        <v>79</v>
      </c>
      <c r="U263" s="9" t="n"/>
    </row>
    <row r="264" ht="12" customFormat="1" customHeight="1" s="37">
      <c r="A264" s="73" t="inlineStr">
        <is>
          <t>우아동3가 전주우아한시티</t>
        </is>
      </c>
      <c r="B264" s="74" t="inlineStr">
        <is>
          <t>21.09.</t>
        </is>
      </c>
      <c r="C264" s="126" t="n">
        <v>998</v>
      </c>
      <c r="D264" s="127" t="n">
        <v>107.3</v>
      </c>
      <c r="E264" s="128" t="n">
        <v>32</v>
      </c>
      <c r="F264" s="127" t="n">
        <v>84.90000000000001</v>
      </c>
      <c r="G264" s="17" t="n">
        <v>26</v>
      </c>
      <c r="H264" s="129" t="n">
        <v>355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107A</t>
        </is>
      </c>
      <c r="U264" s="9" t="n"/>
    </row>
    <row r="265" ht="12" customFormat="1" customHeight="1" s="37">
      <c r="A265" s="73" t="inlineStr">
        <is>
          <t>인후동1가 궁전</t>
        </is>
      </c>
      <c r="B265" s="74" t="inlineStr">
        <is>
          <t>88.06.</t>
        </is>
      </c>
      <c r="C265" s="126" t="n">
        <v>212</v>
      </c>
      <c r="D265" s="127" t="n">
        <v>100.4</v>
      </c>
      <c r="E265" s="128" t="n">
        <v>30</v>
      </c>
      <c r="F265" s="127" t="n">
        <v>84.5</v>
      </c>
      <c r="G265" s="17" t="n">
        <v>26</v>
      </c>
      <c r="H265" s="129" t="n">
        <v>130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n">
        <v>100</v>
      </c>
      <c r="U265" s="9" t="n"/>
    </row>
    <row r="266" ht="12" customFormat="1" customHeight="1" s="37">
      <c r="A266" s="73" t="inlineStr">
        <is>
          <t>인후동1가 궁전</t>
        </is>
      </c>
      <c r="B266" s="74" t="inlineStr">
        <is>
          <t>88.06.</t>
        </is>
      </c>
      <c r="C266" s="126" t="n">
        <v>212</v>
      </c>
      <c r="D266" s="127" t="n">
        <v>136.8</v>
      </c>
      <c r="E266" s="128" t="n">
        <v>41</v>
      </c>
      <c r="F266" s="127" t="n">
        <v>115.1</v>
      </c>
      <c r="G266" s="17" t="n">
        <v>35</v>
      </c>
      <c r="H266" s="129" t="n">
        <v>82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계</t>
        </is>
      </c>
      <c r="T266" s="5" t="n">
        <v>136</v>
      </c>
      <c r="U266" s="9" t="n"/>
    </row>
    <row r="267" ht="12" customFormat="1" customHeight="1" s="37">
      <c r="A267" s="73" t="inlineStr">
        <is>
          <t>인후동1가 아중마을부영6차</t>
        </is>
      </c>
      <c r="B267" s="74" t="inlineStr">
        <is>
          <t>03.09.</t>
        </is>
      </c>
      <c r="C267" s="126" t="n">
        <v>800</v>
      </c>
      <c r="D267" s="127" t="n">
        <v>77.3</v>
      </c>
      <c r="E267" s="128" t="n">
        <v>23</v>
      </c>
      <c r="F267" s="127" t="n">
        <v>60</v>
      </c>
      <c r="G267" s="17" t="n">
        <v>18</v>
      </c>
      <c r="H267" s="129" t="n">
        <v>106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3</v>
      </c>
      <c r="R267" s="117" t="n">
        <v>2</v>
      </c>
      <c r="S267" s="117" t="inlineStr">
        <is>
          <t>계</t>
        </is>
      </c>
      <c r="T267" s="5" t="n">
        <v>77</v>
      </c>
      <c r="U267" s="9" t="n"/>
    </row>
    <row r="268" ht="12" customFormat="1" customHeight="1" s="37">
      <c r="A268" s="73" t="inlineStr">
        <is>
          <t>인후동1가 전주인후휴먼시아</t>
        </is>
      </c>
      <c r="B268" s="74" t="inlineStr">
        <is>
          <t>08.02.</t>
        </is>
      </c>
      <c r="C268" s="126" t="n">
        <v>423</v>
      </c>
      <c r="D268" s="127" t="n">
        <v>109.8</v>
      </c>
      <c r="E268" s="128" t="n">
        <v>33</v>
      </c>
      <c r="F268" s="127" t="n">
        <v>84.7</v>
      </c>
      <c r="G268" s="17" t="n">
        <v>26</v>
      </c>
      <c r="H268" s="129" t="n">
        <v>38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3</v>
      </c>
      <c r="R268" s="117" t="n">
        <v>2</v>
      </c>
      <c r="S268" s="117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인후동1가 삼호</t>
        </is>
      </c>
      <c r="B269" s="74" t="inlineStr">
        <is>
          <t>90.12.</t>
        </is>
      </c>
      <c r="C269" s="126" t="n">
        <v>404</v>
      </c>
      <c r="D269" s="127" t="n">
        <v>88.2</v>
      </c>
      <c r="E269" s="128" t="n">
        <v>27</v>
      </c>
      <c r="F269" s="127" t="n">
        <v>74.2</v>
      </c>
      <c r="G269" s="17" t="n">
        <v>22</v>
      </c>
      <c r="H269" s="129" t="n">
        <v>116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88A</t>
        </is>
      </c>
      <c r="U269" s="9" t="n"/>
    </row>
    <row r="270" ht="12" customFormat="1" customHeight="1" s="37">
      <c r="A270" s="73" t="inlineStr">
        <is>
          <t>인후동1가 삼호</t>
        </is>
      </c>
      <c r="B270" s="74" t="inlineStr">
        <is>
          <t>90.12.</t>
        </is>
      </c>
      <c r="C270" s="126" t="n">
        <v>404</v>
      </c>
      <c r="D270" s="127" t="n">
        <v>149</v>
      </c>
      <c r="E270" s="128" t="n">
        <v>45</v>
      </c>
      <c r="F270" s="127" t="n">
        <v>126.6</v>
      </c>
      <c r="G270" s="17" t="n">
        <v>38</v>
      </c>
      <c r="H270" s="129" t="n">
        <v>60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4</v>
      </c>
      <c r="R270" s="117" t="n">
        <v>2</v>
      </c>
      <c r="S270" s="117" t="inlineStr">
        <is>
          <t>계</t>
        </is>
      </c>
      <c r="T270" s="5" t="n">
        <v>148</v>
      </c>
      <c r="U270" s="9" t="n"/>
    </row>
    <row r="271" ht="12" customFormat="1" customHeight="1" s="37">
      <c r="A271" s="73" t="inlineStr">
        <is>
          <t>인후동1가 아중현대</t>
        </is>
      </c>
      <c r="B271" s="74" t="inlineStr">
        <is>
          <t>98.01.</t>
        </is>
      </c>
      <c r="C271" s="126" t="n">
        <v>1153</v>
      </c>
      <c r="D271" s="127" t="n">
        <v>120.4</v>
      </c>
      <c r="E271" s="128" t="n">
        <v>36</v>
      </c>
      <c r="F271" s="127" t="n">
        <v>99.90000000000001</v>
      </c>
      <c r="G271" s="17" t="n">
        <v>30</v>
      </c>
      <c r="H271" s="129" t="n">
        <v>148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3</v>
      </c>
      <c r="R271" s="117" t="n">
        <v>2</v>
      </c>
      <c r="S271" s="117" t="inlineStr">
        <is>
          <t>계</t>
        </is>
      </c>
      <c r="T271" s="5" t="inlineStr">
        <is>
          <t>120A</t>
        </is>
      </c>
      <c r="U271" s="9" t="n"/>
    </row>
    <row r="272" ht="12" customFormat="1" customHeight="1" s="37">
      <c r="A272" s="73" t="inlineStr">
        <is>
          <t>인후동1가 안고을우성</t>
        </is>
      </c>
      <c r="B272" s="74" t="inlineStr">
        <is>
          <t>01.02.</t>
        </is>
      </c>
      <c r="C272" s="126" t="n">
        <v>305</v>
      </c>
      <c r="D272" s="127" t="n">
        <v>108.4</v>
      </c>
      <c r="E272" s="128" t="n">
        <v>33</v>
      </c>
      <c r="F272" s="127" t="n">
        <v>79</v>
      </c>
      <c r="G272" s="17" t="n">
        <v>24</v>
      </c>
      <c r="H272" s="129" t="n">
        <v>168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n">
        <v>108</v>
      </c>
      <c r="U272" s="9" t="n"/>
    </row>
    <row r="273" ht="12" customFormat="1" customHeight="1" s="37">
      <c r="A273" s="73" t="inlineStr">
        <is>
          <t>인후동1가 위브어울림</t>
        </is>
      </c>
      <c r="B273" s="74" t="inlineStr">
        <is>
          <t>07.01.</t>
        </is>
      </c>
      <c r="C273" s="126" t="n">
        <v>1549</v>
      </c>
      <c r="D273" s="127" t="n">
        <v>109.8</v>
      </c>
      <c r="E273" s="128" t="n">
        <v>33</v>
      </c>
      <c r="F273" s="127" t="n">
        <v>84.90000000000001</v>
      </c>
      <c r="G273" s="17" t="n">
        <v>26</v>
      </c>
      <c r="H273" s="129" t="n">
        <v>524</v>
      </c>
      <c r="I273" s="130" t="n"/>
      <c r="J273" s="130" t="n"/>
      <c r="K273" s="130" t="n">
        <v>29000</v>
      </c>
      <c r="L273" s="130" t="inlineStr">
        <is>
          <t>고</t>
        </is>
      </c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inlineStr">
        <is>
          <t>109C</t>
        </is>
      </c>
      <c r="U273" s="9" t="n"/>
    </row>
    <row r="274" ht="12" customFormat="1" customHeight="1" s="37">
      <c r="A274" s="73" t="inlineStr">
        <is>
          <t>인후동1가 위브어울림</t>
        </is>
      </c>
      <c r="B274" s="74" t="inlineStr">
        <is>
          <t>07.01.</t>
        </is>
      </c>
      <c r="C274" s="126" t="n">
        <v>1549</v>
      </c>
      <c r="D274" s="127" t="n">
        <v>172.7</v>
      </c>
      <c r="E274" s="128" t="n">
        <v>52</v>
      </c>
      <c r="F274" s="127" t="n">
        <v>143.4</v>
      </c>
      <c r="G274" s="17" t="n">
        <v>43</v>
      </c>
      <c r="H274" s="129" t="n">
        <v>80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4</v>
      </c>
      <c r="R274" s="117" t="n">
        <v>2</v>
      </c>
      <c r="S274" s="117" t="inlineStr">
        <is>
          <t>계</t>
        </is>
      </c>
      <c r="T274" s="5" t="inlineStr">
        <is>
          <t>172C</t>
        </is>
      </c>
      <c r="U274" s="9" t="n"/>
    </row>
    <row r="275" ht="12" customFormat="1" customHeight="1" s="37">
      <c r="A275" s="73" t="inlineStr">
        <is>
          <t>인후동1가 인후송정써미트</t>
        </is>
      </c>
      <c r="B275" s="74" t="inlineStr">
        <is>
          <t>08.12.</t>
        </is>
      </c>
      <c r="C275" s="126" t="n">
        <v>228</v>
      </c>
      <c r="D275" s="127" t="n">
        <v>112.5</v>
      </c>
      <c r="E275" s="128" t="n">
        <v>34</v>
      </c>
      <c r="F275" s="127" t="n">
        <v>84.59999999999999</v>
      </c>
      <c r="G275" s="17" t="n">
        <v>26</v>
      </c>
      <c r="H275" s="129" t="n">
        <v>72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112</v>
      </c>
      <c r="U275" s="9" t="n"/>
    </row>
    <row r="276" ht="12" customFormat="1" customHeight="1" s="37">
      <c r="A276" s="73" t="inlineStr">
        <is>
          <t>인후동1가 인후송정써미트</t>
        </is>
      </c>
      <c r="B276" s="74" t="inlineStr">
        <is>
          <t>08.12.</t>
        </is>
      </c>
      <c r="C276" s="126" t="n">
        <v>228</v>
      </c>
      <c r="D276" s="127" t="n">
        <v>142.8</v>
      </c>
      <c r="E276" s="128" t="n">
        <v>43</v>
      </c>
      <c r="F276" s="127" t="n">
        <v>115.7</v>
      </c>
      <c r="G276" s="17" t="n">
        <v>35</v>
      </c>
      <c r="H276" s="129" t="n">
        <v>36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142</v>
      </c>
      <c r="U276" s="9" t="n"/>
    </row>
    <row r="277" ht="12" customFormat="1" customHeight="1" s="37">
      <c r="A277" s="73" t="inlineStr">
        <is>
          <t>인후동1가 인후송정써미트</t>
        </is>
      </c>
      <c r="B277" s="74" t="inlineStr">
        <is>
          <t>08.12.</t>
        </is>
      </c>
      <c r="C277" s="126" t="n">
        <v>228</v>
      </c>
      <c r="D277" s="127" t="n">
        <v>156.1</v>
      </c>
      <c r="E277" s="128" t="n">
        <v>47</v>
      </c>
      <c r="F277" s="127" t="n">
        <v>124.6</v>
      </c>
      <c r="G277" s="17" t="n">
        <v>38</v>
      </c>
      <c r="H277" s="129" t="n">
        <v>48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156</v>
      </c>
      <c r="U277" s="9" t="n"/>
    </row>
    <row r="278" ht="12" customFormat="1" customHeight="1" s="37">
      <c r="A278" s="73" t="inlineStr">
        <is>
          <t>인후동1가 진버들마을부영1차</t>
        </is>
      </c>
      <c r="B278" s="74" t="inlineStr">
        <is>
          <t>99.09.</t>
        </is>
      </c>
      <c r="C278" s="126" t="n">
        <v>934</v>
      </c>
      <c r="D278" s="127" t="n">
        <v>69.59999999999999</v>
      </c>
      <c r="E278" s="128" t="n">
        <v>21</v>
      </c>
      <c r="F278" s="127" t="n">
        <v>49.8</v>
      </c>
      <c r="G278" s="17" t="n">
        <v>15</v>
      </c>
      <c r="H278" s="129" t="n">
        <v>934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2</v>
      </c>
      <c r="R278" s="117" t="n">
        <v>1</v>
      </c>
      <c r="S278" s="117" t="inlineStr">
        <is>
          <t>복</t>
        </is>
      </c>
      <c r="T278" s="5" t="n">
        <v>69</v>
      </c>
      <c r="U278" s="9" t="n"/>
    </row>
    <row r="279" ht="12" customFormat="1" customHeight="1" s="37">
      <c r="A279" s="73" t="inlineStr">
        <is>
          <t>인후동1가 더샵인후센트럴</t>
        </is>
      </c>
      <c r="B279" s="74" t="inlineStr">
        <is>
          <t>20.08.</t>
        </is>
      </c>
      <c r="C279" s="126" t="n">
        <v>478</v>
      </c>
      <c r="D279" s="127" t="n">
        <v>83</v>
      </c>
      <c r="E279" s="128" t="n">
        <v>25</v>
      </c>
      <c r="F279" s="127" t="n">
        <v>60</v>
      </c>
      <c r="G279" s="17" t="n">
        <v>18</v>
      </c>
      <c r="H279" s="129" t="n">
        <v>107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83A</t>
        </is>
      </c>
      <c r="U279" s="9" t="n"/>
    </row>
    <row r="280" ht="12" customFormat="1" customHeight="1" s="37">
      <c r="A280" s="73" t="inlineStr">
        <is>
          <t>인후동1가 더샵인후센트럴</t>
        </is>
      </c>
      <c r="B280" s="74" t="inlineStr">
        <is>
          <t>20.08.</t>
        </is>
      </c>
      <c r="C280" s="126" t="n">
        <v>478</v>
      </c>
      <c r="D280" s="127" t="n">
        <v>105.2</v>
      </c>
      <c r="E280" s="128" t="n">
        <v>32</v>
      </c>
      <c r="F280" s="127" t="n">
        <v>77</v>
      </c>
      <c r="G280" s="17" t="n">
        <v>23</v>
      </c>
      <c r="H280" s="129" t="n">
        <v>275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105A</t>
        </is>
      </c>
      <c r="U280" s="9" t="n"/>
    </row>
    <row r="281" ht="12" customFormat="1" customHeight="1" s="37">
      <c r="A281" s="73" t="inlineStr">
        <is>
          <t>인후동1가 인후선변</t>
        </is>
      </c>
      <c r="B281" s="74" t="inlineStr">
        <is>
          <t>04.10.</t>
        </is>
      </c>
      <c r="C281" s="126" t="n">
        <v>221</v>
      </c>
      <c r="D281" s="127" t="n">
        <v>112.7</v>
      </c>
      <c r="E281" s="128" t="n">
        <v>34</v>
      </c>
      <c r="F281" s="127" t="n">
        <v>84.5</v>
      </c>
      <c r="G281" s="17" t="n">
        <v>26</v>
      </c>
      <c r="H281" s="129" t="n">
        <v>195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112</v>
      </c>
      <c r="U281" s="9" t="n"/>
    </row>
    <row r="282" ht="12" customFormat="1" customHeight="1" s="37">
      <c r="A282" s="73" t="inlineStr">
        <is>
          <t>인후동1가 아중마을아남</t>
        </is>
      </c>
      <c r="B282" s="74" t="inlineStr">
        <is>
          <t>99.09.</t>
        </is>
      </c>
      <c r="C282" s="126" t="n">
        <v>240</v>
      </c>
      <c r="D282" s="127" t="n">
        <v>98.90000000000001</v>
      </c>
      <c r="E282" s="128" t="n">
        <v>30</v>
      </c>
      <c r="F282" s="127" t="n">
        <v>79.59999999999999</v>
      </c>
      <c r="G282" s="17" t="n">
        <v>24</v>
      </c>
      <c r="H282" s="129" t="n">
        <v>30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3</v>
      </c>
      <c r="R282" s="117" t="n">
        <v>2</v>
      </c>
      <c r="S282" s="117" t="inlineStr">
        <is>
          <t>계</t>
        </is>
      </c>
      <c r="T282" s="5" t="n">
        <v>98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6" t="n">
        <v>240</v>
      </c>
      <c r="D283" s="127" t="n">
        <v>105.5</v>
      </c>
      <c r="E283" s="128" t="n">
        <v>32</v>
      </c>
      <c r="F283" s="127" t="n">
        <v>84.90000000000001</v>
      </c>
      <c r="G283" s="17" t="n">
        <v>26</v>
      </c>
      <c r="H283" s="129" t="n">
        <v>202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3</v>
      </c>
      <c r="R283" s="117" t="n">
        <v>2</v>
      </c>
      <c r="S283" s="117" t="inlineStr">
        <is>
          <t>계</t>
        </is>
      </c>
      <c r="T283" s="5" t="n">
        <v>105</v>
      </c>
      <c r="U283" s="9" t="n"/>
    </row>
    <row r="284" ht="12" customFormat="1" customHeight="1" s="37">
      <c r="A284" s="73" t="inlineStr">
        <is>
          <t>인후동1가 현대1단지</t>
        </is>
      </c>
      <c r="B284" s="74" t="inlineStr">
        <is>
          <t>89.05.</t>
        </is>
      </c>
      <c r="C284" s="126" t="n">
        <v>241</v>
      </c>
      <c r="D284" s="127" t="n">
        <v>88.3</v>
      </c>
      <c r="E284" s="128" t="n">
        <v>27</v>
      </c>
      <c r="F284" s="127" t="n">
        <v>70.5</v>
      </c>
      <c r="G284" s="17" t="n">
        <v>21</v>
      </c>
      <c r="H284" s="129" t="n">
        <v>45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1</v>
      </c>
      <c r="S284" s="117" t="inlineStr">
        <is>
          <t>계</t>
        </is>
      </c>
      <c r="T284" s="5" t="n">
        <v>88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6" t="n">
        <v>241</v>
      </c>
      <c r="D285" s="127" t="n">
        <v>105.7</v>
      </c>
      <c r="E285" s="128" t="n">
        <v>32</v>
      </c>
      <c r="F285" s="127" t="n">
        <v>84.40000000000001</v>
      </c>
      <c r="G285" s="17" t="n">
        <v>26</v>
      </c>
      <c r="H285" s="129" t="n">
        <v>151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n">
        <v>105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6" t="n">
        <v>241</v>
      </c>
      <c r="D286" s="127" t="n">
        <v>150.4</v>
      </c>
      <c r="E286" s="128" t="n">
        <v>46</v>
      </c>
      <c r="F286" s="127" t="n">
        <v>127.3</v>
      </c>
      <c r="G286" s="17" t="n">
        <v>38</v>
      </c>
      <c r="H286" s="129" t="n">
        <v>45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4</v>
      </c>
      <c r="R286" s="117" t="n">
        <v>2</v>
      </c>
      <c r="S286" s="117" t="inlineStr">
        <is>
          <t>계</t>
        </is>
      </c>
      <c r="T286" s="5" t="n">
        <v>150</v>
      </c>
      <c r="U286" s="9" t="n"/>
    </row>
    <row r="287" ht="12" customFormat="1" customHeight="1" s="37">
      <c r="A287" s="73" t="inlineStr">
        <is>
          <t>인후동2가 인후에버파크</t>
        </is>
      </c>
      <c r="B287" s="74" t="inlineStr">
        <is>
          <t>16.07.</t>
        </is>
      </c>
      <c r="C287" s="126" t="n">
        <v>250</v>
      </c>
      <c r="D287" s="127" t="n">
        <v>77.7</v>
      </c>
      <c r="E287" s="128" t="n">
        <v>24</v>
      </c>
      <c r="F287" s="127" t="n">
        <v>55.8</v>
      </c>
      <c r="G287" s="17" t="n">
        <v>17</v>
      </c>
      <c r="H287" s="129" t="n">
        <v>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77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6" t="n">
        <v>250</v>
      </c>
      <c r="D288" s="127" t="n">
        <v>88</v>
      </c>
      <c r="E288" s="128" t="n">
        <v>27</v>
      </c>
      <c r="F288" s="127" t="n">
        <v>63.9</v>
      </c>
      <c r="G288" s="17" t="n">
        <v>19</v>
      </c>
      <c r="H288" s="129" t="n">
        <v>115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88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6" t="n">
        <v>250</v>
      </c>
      <c r="D289" s="127" t="n">
        <v>101.4</v>
      </c>
      <c r="E289" s="128" t="n">
        <v>31</v>
      </c>
      <c r="F289" s="127" t="n">
        <v>73.3</v>
      </c>
      <c r="G289" s="17" t="n">
        <v>22</v>
      </c>
      <c r="H289" s="129" t="n">
        <v>36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101</v>
      </c>
      <c r="U289" s="9" t="n"/>
    </row>
    <row r="290" ht="12" customFormat="1" customHeight="1" s="37">
      <c r="A290" s="73" t="inlineStr">
        <is>
          <t>장동 장동에코르</t>
        </is>
      </c>
      <c r="B290" s="74" t="inlineStr">
        <is>
          <t>09.09.</t>
        </is>
      </c>
      <c r="C290" s="126" t="n">
        <v>470</v>
      </c>
      <c r="D290" s="127" t="n">
        <v>107.6</v>
      </c>
      <c r="E290" s="128" t="n">
        <v>33</v>
      </c>
      <c r="F290" s="127" t="n">
        <v>84.90000000000001</v>
      </c>
      <c r="G290" s="17" t="n">
        <v>26</v>
      </c>
      <c r="H290" s="129" t="n">
        <v>187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3</v>
      </c>
      <c r="R290" s="117" t="n">
        <v>2</v>
      </c>
      <c r="S290" s="117" t="inlineStr">
        <is>
          <t>계</t>
        </is>
      </c>
      <c r="T290" s="5" t="inlineStr">
        <is>
          <t>107A</t>
        </is>
      </c>
      <c r="U290" s="9" t="n"/>
    </row>
    <row r="291" ht="12" customFormat="1" customHeight="1" s="37">
      <c r="A291" s="73" t="inlineStr">
        <is>
          <t>장동 호반베르디움더센트럴1</t>
        </is>
      </c>
      <c r="B291" s="74" t="inlineStr">
        <is>
          <t>16.06.</t>
        </is>
      </c>
      <c r="C291" s="126" t="n">
        <v>457</v>
      </c>
      <c r="D291" s="127" t="n">
        <v>112.6</v>
      </c>
      <c r="E291" s="128" t="n">
        <v>34</v>
      </c>
      <c r="F291" s="127" t="n">
        <v>84.8</v>
      </c>
      <c r="G291" s="17" t="n">
        <v>26</v>
      </c>
      <c r="H291" s="129" t="n">
        <v>256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4</v>
      </c>
      <c r="R291" s="117" t="n">
        <v>2</v>
      </c>
      <c r="S291" s="117" t="inlineStr">
        <is>
          <t>계</t>
        </is>
      </c>
      <c r="T291" s="5" t="n">
        <v>112</v>
      </c>
      <c r="U291" s="9" t="n"/>
    </row>
    <row r="292" ht="12" customFormat="1" customHeight="1" s="37">
      <c r="A292" s="73" t="inlineStr">
        <is>
          <t>장동 대방디엠시티</t>
        </is>
      </c>
      <c r="B292" s="74" t="inlineStr">
        <is>
          <t>20.08.</t>
        </is>
      </c>
      <c r="C292" s="126" t="n">
        <v>494</v>
      </c>
      <c r="D292" s="127" t="n">
        <v>129.7</v>
      </c>
      <c r="E292" s="128" t="n">
        <v>39</v>
      </c>
      <c r="F292" s="127" t="n">
        <v>106.2</v>
      </c>
      <c r="G292" s="17" t="n">
        <v>32</v>
      </c>
      <c r="H292" s="129" t="n">
        <v>83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4</v>
      </c>
      <c r="R292" s="117" t="n">
        <v>2</v>
      </c>
      <c r="S292" s="117" t="inlineStr">
        <is>
          <t>계</t>
        </is>
      </c>
      <c r="T292" s="5" t="inlineStr">
        <is>
          <t>129B</t>
        </is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6" t="n">
        <v>494</v>
      </c>
      <c r="D293" s="127" t="n">
        <v>143.6</v>
      </c>
      <c r="E293" s="128" t="n">
        <v>43</v>
      </c>
      <c r="F293" s="127" t="n">
        <v>119.5</v>
      </c>
      <c r="G293" s="17" t="n">
        <v>36</v>
      </c>
      <c r="H293" s="129" t="n">
        <v>165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5</v>
      </c>
      <c r="R293" s="117" t="n">
        <v>2</v>
      </c>
      <c r="S293" s="117" t="inlineStr">
        <is>
          <t>계</t>
        </is>
      </c>
      <c r="T293" s="5" t="inlineStr">
        <is>
          <t>143A</t>
        </is>
      </c>
      <c r="U293" s="9" t="n"/>
    </row>
    <row r="294" ht="12" customFormat="1" customHeight="1" s="37">
      <c r="A294" s="73" t="inlineStr">
        <is>
          <t>진북동 동국해성</t>
        </is>
      </c>
      <c r="B294" s="74" t="inlineStr">
        <is>
          <t>95.10.</t>
        </is>
      </c>
      <c r="C294" s="126" t="n">
        <v>643</v>
      </c>
      <c r="D294" s="127" t="n">
        <v>104.4</v>
      </c>
      <c r="E294" s="128" t="n">
        <v>32</v>
      </c>
      <c r="F294" s="127" t="n">
        <v>85</v>
      </c>
      <c r="G294" s="17" t="n">
        <v>26</v>
      </c>
      <c r="H294" s="129" t="n">
        <v>264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2</v>
      </c>
      <c r="S294" s="117" t="inlineStr">
        <is>
          <t>계</t>
        </is>
      </c>
      <c r="T294" s="5" t="n">
        <v>104</v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6" t="n">
        <v>643</v>
      </c>
      <c r="D295" s="127" t="n">
        <v>123.8</v>
      </c>
      <c r="E295" s="128" t="n">
        <v>37</v>
      </c>
      <c r="F295" s="127" t="n">
        <v>101.9</v>
      </c>
      <c r="G295" s="17" t="n">
        <v>31</v>
      </c>
      <c r="H295" s="129" t="n">
        <v>36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4</v>
      </c>
      <c r="R295" s="117" t="n">
        <v>2</v>
      </c>
      <c r="S295" s="117" t="inlineStr">
        <is>
          <t>계</t>
        </is>
      </c>
      <c r="T295" s="5" t="n">
        <v>123</v>
      </c>
      <c r="U295" s="9" t="n"/>
    </row>
    <row r="296" ht="12" customFormat="1" customHeight="1" s="37">
      <c r="A296" s="73" t="inlineStr">
        <is>
          <t>진북동 우성</t>
        </is>
      </c>
      <c r="B296" s="74" t="inlineStr">
        <is>
          <t>95.10.</t>
        </is>
      </c>
      <c r="C296" s="126" t="n">
        <v>2102</v>
      </c>
      <c r="D296" s="127" t="n">
        <v>122.8</v>
      </c>
      <c r="E296" s="128" t="n">
        <v>37</v>
      </c>
      <c r="F296" s="127" t="n">
        <v>101.9</v>
      </c>
      <c r="G296" s="17" t="n">
        <v>31</v>
      </c>
      <c r="H296" s="129" t="n">
        <v>80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4</v>
      </c>
      <c r="R296" s="117" t="n">
        <v>2</v>
      </c>
      <c r="S296" s="117" t="inlineStr">
        <is>
          <t>계</t>
        </is>
      </c>
      <c r="T296" s="5" t="n">
        <v>122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6" t="n">
        <v>2102</v>
      </c>
      <c r="D297" s="127" t="n">
        <v>157.3</v>
      </c>
      <c r="E297" s="128" t="n">
        <v>48</v>
      </c>
      <c r="F297" s="127" t="n">
        <v>134.3</v>
      </c>
      <c r="G297" s="17" t="n">
        <v>41</v>
      </c>
      <c r="H297" s="129" t="n">
        <v>240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4</v>
      </c>
      <c r="R297" s="117" t="n">
        <v>2</v>
      </c>
      <c r="S297" s="117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6" t="n">
        <v>2102</v>
      </c>
      <c r="D298" s="127" t="n">
        <v>216.9</v>
      </c>
      <c r="E298" s="128" t="n">
        <v>66</v>
      </c>
      <c r="F298" s="127" t="n">
        <v>188</v>
      </c>
      <c r="G298" s="17" t="n">
        <v>57</v>
      </c>
      <c r="H298" s="129" t="n">
        <v>68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4</v>
      </c>
      <c r="R298" s="117" t="n">
        <v>2</v>
      </c>
      <c r="S298" s="117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6" t="n">
        <v>720</v>
      </c>
      <c r="D299" s="127" t="n">
        <v>110.4</v>
      </c>
      <c r="E299" s="128" t="n">
        <v>33</v>
      </c>
      <c r="F299" s="127" t="n">
        <v>84.8</v>
      </c>
      <c r="G299" s="17" t="n">
        <v>26</v>
      </c>
      <c r="H299" s="129" t="n">
        <v>352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6" t="n">
        <v>720</v>
      </c>
      <c r="D300" s="127" t="n">
        <v>157.7</v>
      </c>
      <c r="E300" s="128" t="n">
        <v>48</v>
      </c>
      <c r="F300" s="127" t="n">
        <v>126.1</v>
      </c>
      <c r="G300" s="17" t="n">
        <v>38</v>
      </c>
      <c r="H300" s="129" t="n">
        <v>288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6" t="n">
        <v>220</v>
      </c>
      <c r="D301" s="127" t="n">
        <v>102.4</v>
      </c>
      <c r="E301" s="128" t="n">
        <v>31</v>
      </c>
      <c r="F301" s="127" t="n">
        <v>85</v>
      </c>
      <c r="G301" s="17" t="n">
        <v>26</v>
      </c>
      <c r="H301" s="129" t="n">
        <v>111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6" t="n">
        <v>220</v>
      </c>
      <c r="D302" s="127" t="n">
        <v>148.6</v>
      </c>
      <c r="E302" s="128" t="n">
        <v>45</v>
      </c>
      <c r="F302" s="127" t="n">
        <v>127.9</v>
      </c>
      <c r="G302" s="17" t="n">
        <v>39</v>
      </c>
      <c r="H302" s="129" t="n">
        <v>55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6" t="n">
        <v>244</v>
      </c>
      <c r="D303" s="127" t="n">
        <v>76.09999999999999</v>
      </c>
      <c r="E303" s="128" t="n">
        <v>23</v>
      </c>
      <c r="F303" s="127" t="n">
        <v>58.3</v>
      </c>
      <c r="G303" s="17" t="n">
        <v>18</v>
      </c>
      <c r="H303" s="129" t="n">
        <v>139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6" t="n">
        <v>644</v>
      </c>
      <c r="D304" s="127" t="n">
        <v>157.6</v>
      </c>
      <c r="E304" s="128" t="n">
        <v>48</v>
      </c>
      <c r="F304" s="127" t="n">
        <v>126.1</v>
      </c>
      <c r="G304" s="17" t="n">
        <v>38</v>
      </c>
      <c r="H304" s="129" t="n">
        <v>192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4</v>
      </c>
      <c r="R304" s="117" t="n">
        <v>2</v>
      </c>
      <c r="S304" s="117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6" t="n">
        <v>248</v>
      </c>
      <c r="D305" s="127" t="n">
        <v>51.4</v>
      </c>
      <c r="E305" s="128" t="n">
        <v>16</v>
      </c>
      <c r="F305" s="127" t="n">
        <v>37.9</v>
      </c>
      <c r="G305" s="17" t="n">
        <v>11</v>
      </c>
      <c r="H305" s="129" t="n">
        <v>34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2</v>
      </c>
      <c r="R305" s="117" t="n">
        <v>1</v>
      </c>
      <c r="S305" s="117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6" t="n">
        <v>248</v>
      </c>
      <c r="D306" s="127" t="n">
        <v>79.8</v>
      </c>
      <c r="E306" s="128" t="n">
        <v>24</v>
      </c>
      <c r="F306" s="127" t="n">
        <v>58.5</v>
      </c>
      <c r="G306" s="17" t="n">
        <v>18</v>
      </c>
      <c r="H306" s="129" t="n">
        <v>68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2</v>
      </c>
      <c r="R306" s="117" t="n">
        <v>1</v>
      </c>
      <c r="S306" s="117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6" t="n">
        <v>248</v>
      </c>
      <c r="D307" s="127" t="n">
        <v>97.5</v>
      </c>
      <c r="E307" s="128" t="n">
        <v>29</v>
      </c>
      <c r="F307" s="127" t="n">
        <v>74.59999999999999</v>
      </c>
      <c r="G307" s="17" t="n">
        <v>23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1</v>
      </c>
      <c r="S307" s="117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6" t="n">
        <v>248</v>
      </c>
      <c r="D308" s="127" t="n">
        <v>106.5</v>
      </c>
      <c r="E308" s="128" t="n">
        <v>32</v>
      </c>
      <c r="F308" s="127" t="n">
        <v>84.7</v>
      </c>
      <c r="G308" s="17" t="n">
        <v>26</v>
      </c>
      <c r="H308" s="129" t="n">
        <v>38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6" t="n">
        <v>248</v>
      </c>
      <c r="D309" s="127" t="n">
        <v>143.5</v>
      </c>
      <c r="E309" s="128" t="n">
        <v>43</v>
      </c>
      <c r="F309" s="127" t="n">
        <v>120</v>
      </c>
      <c r="G309" s="17" t="n">
        <v>36</v>
      </c>
      <c r="H309" s="129" t="n">
        <v>48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4</v>
      </c>
      <c r="R309" s="117" t="n">
        <v>2</v>
      </c>
      <c r="S309" s="117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6" t="n">
        <v>1911</v>
      </c>
      <c r="D310" s="127" t="n">
        <v>68.3</v>
      </c>
      <c r="E310" s="128" t="n">
        <v>21</v>
      </c>
      <c r="F310" s="127" t="n">
        <v>49.7</v>
      </c>
      <c r="G310" s="17" t="n">
        <v>15</v>
      </c>
      <c r="H310" s="129" t="n">
        <v>427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2</v>
      </c>
      <c r="R310" s="117" t="n">
        <v>1</v>
      </c>
      <c r="S310" s="117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6" t="n">
        <v>791</v>
      </c>
      <c r="D311" s="127" t="n">
        <v>162.9</v>
      </c>
      <c r="E311" s="128" t="n">
        <v>49</v>
      </c>
      <c r="F311" s="127" t="n">
        <v>128.4</v>
      </c>
      <c r="G311" s="17" t="n">
        <v>39</v>
      </c>
      <c r="H311" s="129" t="n">
        <v>69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4</v>
      </c>
      <c r="R311" s="117" t="n">
        <v>2</v>
      </c>
      <c r="S311" s="117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2640" operator="greaterThan" dxfId="17">
      <formula>0.9</formula>
    </cfRule>
    <cfRule type="cellIs" priority="52641" operator="greaterThan" dxfId="16">
      <formula>0.85</formula>
    </cfRule>
  </conditionalFormatting>
  <conditionalFormatting sqref="N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0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1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7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7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8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9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9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9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0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0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0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0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0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1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2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2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2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2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2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3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32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3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4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5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6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7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8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9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0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2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3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4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5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5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7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7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8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8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8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8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0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0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0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1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1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2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5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8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8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8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8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8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9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9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9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9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9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9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9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9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0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0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1">
    <cfRule type="expression" priority="117160" dxfId="3">
      <formula>AND(IF(OR($Q4=1,$Q4=2),1,0),IF(#REF!&lt;=20,1,0))</formula>
    </cfRule>
    <cfRule type="expression" priority="117161" dxfId="2">
      <formula>AND(IF($Q4=2,1,0),IF(#REF!&lt;30,1,0))</formula>
    </cfRule>
    <cfRule type="expression" priority="117162" dxfId="1">
      <formula>AND(IF($Q4=3,1,0),IF(#REF!&lt;30,1,0))</formula>
    </cfRule>
    <cfRule type="expression" priority="11716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1"/>
    <col width="17.5" customWidth="1" style="116" min="52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중동</t>
        </is>
      </c>
      <c r="E4" s="116" t="inlineStr">
        <is>
          <t>송천동1가</t>
        </is>
      </c>
      <c r="F4" s="116" t="inlineStr">
        <is>
          <t>송천동2가</t>
        </is>
      </c>
      <c r="G4" s="116" t="inlineStr">
        <is>
          <t>우아동3가</t>
        </is>
      </c>
      <c r="H4" s="116" t="inlineStr">
        <is>
          <t>만성동</t>
        </is>
      </c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0">
      <c r="A10" s="141" t="n">
        <v>6</v>
      </c>
      <c r="B10" s="55" t="inlineStr">
        <is>
          <t>~</t>
        </is>
      </c>
      <c r="C10" s="142" t="n">
        <v>7</v>
      </c>
      <c r="D10" s="56" t="inlineStr">
        <is>
          <t>전주혁신중흥에스클래스(33평/6.0)</t>
        </is>
      </c>
      <c r="E10" s="56" t="n"/>
      <c r="F10" s="56" t="inlineStr">
        <is>
          <t>에코시티더샵2차(33평/6.6)_x000D_
에코시티더샵3차(34평/6.5)_x000D_
에코시티더샵(에코시티1BL)(34평/6.3)_x000D_
에코시티데시앙5블럭(35평/6.2)_x000D_
에코시티데시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전북혁신도시호반베르디움(B-11BL)(33평/5.3)_x000D_
호반베르디움더센트럴2(34평/5.2)</t>
        </is>
      </c>
      <c r="E11" s="56" t="n"/>
      <c r="F11" s="56" t="inlineStr">
        <is>
          <t>전주에코시티데시앙2차(12BL)(36평/5.9)_x000D_
에코시티데시앙2차(7BL)(35평/5.9)_x000D_
에코시티자이2차(34평/5.9)_x000D_
전주에코시티KCC스위첸(35평/5.8)_x000D_
에코시티자이(35평/5.7)_x000D_
전주3차에코시티휴먼빌(34평/5.4)</t>
        </is>
      </c>
      <c r="G11" s="56" t="inlineStr">
        <is>
          <t>KTX전주역클래시아더스카이(34평/5.3)</t>
        </is>
      </c>
      <c r="H11" s="56" t="inlineStr">
        <is>
          <t>만성법조타운골드클래스(34평/5.4)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전북혁신우미린2단지(34평/4.9)_x000D_
전북혁신우미린1단지(33평/4.9)_x000D_
LH이노팰리스(30평/4.2)</t>
        </is>
      </c>
      <c r="E12" s="56" t="inlineStr">
        <is>
          <t>송천KCC스위첸(33평/4.5)</t>
        </is>
      </c>
      <c r="F12" s="56" t="inlineStr">
        <is>
          <t>전주송천한라비발디2단지(33평/4.3)_x000D_
전주에코시티데시앙2차(12BL)(25평/4.3)_x000D_
에코시티데시앙5블럭(25평/4.3)_x000D_
전주송천한라비발디1단지(33평/4.3)_x000D_
에코시티데시앙(4BL)(24평/4.3)_x000D_
에코시티더샵3차(24평/4.3)_x000D_
에코시티데시앙2차(7BL)(25평/4.2)_x000D_
에코시티자이(25평/4.2)_x000D_
전주에코시티KCC스위첸(25평/4.2)</t>
        </is>
      </c>
      <c r="G12" s="56" t="inlineStr">
        <is>
          <t>e편한세상우아(34평/4.8)_x000D_
e편한세상우아(30평/4.5)_x000D_
전주우아한시티(30평/4.5)_x000D_
KTX전주역클래시아더스카이(29평/4.0)</t>
        </is>
      </c>
      <c r="H12" s="56" t="inlineStr">
        <is>
          <t>전주만성시티프라디움(33평/5.0)_x000D_
제일풍경채(34평/5.0)_x000D_
만성법조타운골드클래스(30평/4.8)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LH이노팰리스(33평/3.9)</t>
        </is>
      </c>
      <c r="E13" s="61" t="inlineStr">
        <is>
          <t>진흥더블파크(35평/3.9)_x000D_
송천센트럴파크2단지(32평/3.8)_x000D_
벽산e-리버파크(34평/3.6)_x000D_
송천자이(34평/3.5)</t>
        </is>
      </c>
      <c r="F13" s="61" t="inlineStr">
        <is>
          <t>전주3차에코시티휴먼빌(25평/3.9)_x000D_
에코시티더샵(에코시티1BL)(24평/3.9)</t>
        </is>
      </c>
      <c r="G13" s="61" t="inlineStr">
        <is>
          <t>KTX전주역클래시아더스카이(25평/3.7)_x000D_
e편한세상우아(25평/3.6)</t>
        </is>
      </c>
      <c r="H13" s="61" t="inlineStr">
        <is>
          <t>LH퍼스트리움(25평/3.5)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n"/>
      <c r="F14" s="61" t="inlineStr">
        <is>
          <t>송천현대3차(32평/3.0)_x000D_
송천주공(33평/2.7)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현대2차(32평/2.4)_x000D_
현대2차(29평/2.2)_x000D_
송천우림(33평/2.0)</t>
        </is>
      </c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송천신일(31평/1.9)_x000D_
현대2차(24평/1.9)_x000D_
한양(31평/1.6)</t>
        </is>
      </c>
      <c r="F16" s="63" t="inlineStr">
        <is>
          <t>송천현대3차(24평/1.9)_x000D_
송천주공2차(23평/1.9)_x000D_
솔내마을동아(32평/1.8)_x000D_
송천주공(23평/1.7)_x000D_
쌍용2단지(29평/1.7)_x000D_
송천주공2차(20평/1.6)_x000D_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한양(28평/1.4)_x000D_
성원무지개(21평/1.4)_x000D_
송천우림(23평/1.4)_x000D_
비사벌(468-2)(21평/1.3)_x000D_
송천신일(24평/1.3)_x000D_
서호2단지(26평/1.2)</t>
        </is>
      </c>
      <c r="F17" s="63" t="n"/>
      <c r="G17" s="63" t="inlineStr">
        <is>
          <t>진흥하이츠(33평/1.4)_x000D_
진흥하이츠(23평/1.0)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0">
      <c r="A23" s="141">
        <f>IF(A10="","",A10)</f>
        <v/>
      </c>
      <c r="B23" s="55">
        <f>IF(B10="","",B10)</f>
        <v/>
      </c>
      <c r="C23" s="142">
        <f>IF(C10="","",C10)</f>
        <v/>
      </c>
      <c r="D23" s="56" t="inlineStr">
        <is>
          <t>전주혁신중흥에스클래스('16/6.0)</t>
        </is>
      </c>
      <c r="E23" s="56" t="n"/>
      <c r="F23" s="56" t="inlineStr">
        <is>
          <t>에코시티더샵2차('18/6.6)_x000D_
에코시티더샵3차('19/6.5)_x000D_
에코시티더샵(에코시티1BL)('18/6.3)_x000D_
에코시티데시앙5블럭('18/6.2)_x000D_
에코시티데시앙(4BL)('18/6.0)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전북혁신도시호반베르디움(B-11BL)('13/5.3)_x000D_
호반베르디움더센트럴2('16/5.2)</t>
        </is>
      </c>
      <c r="E24" s="56" t="n"/>
      <c r="F24" s="56" t="inlineStr">
        <is>
          <t>전주에코시티데시앙2차(12BL)('19/5.9)_x000D_
에코시티데시앙2차(7BL)('19/5.9)_x000D_
에코시티자이2차('18/5.9)_x000D_
전주에코시티KCC스위첸('19/5.8)_x000D_
에코시티자이('17/5.7)_x000D_
전주3차에코시티휴먼빌('19/5.4)</t>
        </is>
      </c>
      <c r="G24" s="56" t="inlineStr">
        <is>
          <t>KTX전주역클래시아더스카이('21/5.3)</t>
        </is>
      </c>
      <c r="H24" s="56" t="inlineStr">
        <is>
          <t>만성법조타운골드클래스('18/5.4)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전북혁신우미린2단지('13/4.9)_x000D_
전북혁신우미린1단지('13/4.9)_x000D_
LH이노팰리스('13/4.2)</t>
        </is>
      </c>
      <c r="E25" s="56" t="inlineStr">
        <is>
          <t>송천KCC스위첸('16/4.5)</t>
        </is>
      </c>
      <c r="F25" s="56" t="inlineStr">
        <is>
          <t>전주송천한라비발디2단지('13/4.3)_x000D_
전주송천한라비발디1단지('13/4.3)</t>
        </is>
      </c>
      <c r="G25" s="56" t="inlineStr">
        <is>
          <t>e편한세상우아('18/4.8)_x000D_
e편한세상우아('18/4.5)_x000D_
전주우아한시티('21/4.5)</t>
        </is>
      </c>
      <c r="H25" s="56" t="inlineStr">
        <is>
          <t>전주만성시티프라디움('19/5.0)_x000D_
제일풍경채('18/5.0)_x000D_
만성법조타운골드클래스('18/4.8)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벽산e-리버파크('13/3.6)_x000D_
송천자이('06/3.5)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n"/>
      <c r="F27" s="61" t="inlineStr">
        <is>
          <t>송천현대3차('98/3.0)_x000D_
송천주공('98/2.7)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현대2차('97/2.4)_x000D_
송천우림('96/2.0)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송천신일('93/1.9)_x000D_
한양('93/1.6)</t>
        </is>
      </c>
      <c r="F29" s="63" t="inlineStr">
        <is>
          <t>솔내마을동아('99/1.8)</t>
        </is>
      </c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n"/>
      <c r="F30" s="63" t="n"/>
      <c r="G30" s="63" t="inlineStr">
        <is>
          <t>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0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inlineStr">
        <is>
          <t>전주에코시티데시앙2차(12BL)('19/4.3)_x000D_
에코시티데시앙5블럭('18/4.3)_x000D_
에코시티데시앙(4BL)('18/4.3)_x000D_
에코시티더샵3차('19/4.3)_x000D_
에코시티데시앙2차(7BL)('19/4.2)_x000D_
에코시티자이('17/4.2)_x000D_
전주에코시티KCC스위첸('19/4.2)</t>
        </is>
      </c>
      <c r="G38" s="56" t="inlineStr">
        <is>
          <t>KTX전주역클래시아더스카이('21/4.0)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0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inlineStr">
        <is>
          <t>전주3차에코시티휴먼빌('19/3.9)_x000D_
에코시티더샵(에코시티1BL)('18/3.9)</t>
        </is>
      </c>
      <c r="G39" s="61" t="inlineStr">
        <is>
          <t>KTX전주역클래시아더스카이('21/3.7)_x000D_
e편한세상우아('18/3.6)</t>
        </is>
      </c>
      <c r="H39" s="61" t="inlineStr">
        <is>
          <t>LH퍼스트리움('18/3.5)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inlineStr">
        <is>
          <t>현대2차('97/2.2)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현대2차('97/1.9)</t>
        </is>
      </c>
      <c r="F42" s="63" t="inlineStr">
        <is>
          <t>송천현대3차('98/1.9)_x000D_
송천주공2차('04/1.9)_x000D_
송천주공('98/1.7)_x000D_
쌍용2단지('98/1.7)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한양('93/1.4)_x000D_
송천우림('96/1.4)_x000D_
비사벌(468-2)('84/1.3)</t>
        </is>
      </c>
      <c r="F43" s="63" t="n"/>
      <c r="G43" s="63" t="inlineStr">
        <is>
          <t>진흥하이츠('95/1.0)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inlineStr">
        <is>
          <t>송천주공2차('04/1.6)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0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inlineStr">
        <is>
          <t>성원무지개('88/1.4)_x000D_
송천신일('93/1.3)_x000D_
서호2단지('95/1.2)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고랑노블레스더센텀</t>
        </is>
      </c>
      <c r="B6" s="10" t="inlineStr">
        <is>
          <t>'16.09.</t>
        </is>
      </c>
      <c r="C6" s="129" t="n">
        <v>260</v>
      </c>
      <c r="D6" s="127" t="n">
        <v>84.3</v>
      </c>
      <c r="E6" s="128" t="n">
        <v>26</v>
      </c>
      <c r="F6" s="127" t="n">
        <v>60</v>
      </c>
      <c r="G6" s="17" t="n">
        <v>18</v>
      </c>
      <c r="H6" s="129" t="n">
        <v>154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29" t="n">
        <v>260</v>
      </c>
      <c r="D7" s="127" t="n">
        <v>84.5</v>
      </c>
      <c r="E7" s="128" t="n">
        <v>26</v>
      </c>
      <c r="F7" s="127" t="n">
        <v>60</v>
      </c>
      <c r="G7" s="17" t="n">
        <v>18</v>
      </c>
      <c r="H7" s="129" t="n">
        <v>88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29" t="n">
        <v>260</v>
      </c>
      <c r="D8" s="127" t="n">
        <v>84.8</v>
      </c>
      <c r="E8" s="128" t="n">
        <v>26</v>
      </c>
      <c r="F8" s="127" t="n">
        <v>60</v>
      </c>
      <c r="G8" s="17" t="n">
        <v>18</v>
      </c>
      <c r="H8" s="129" t="n">
        <v>18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고랑명성</t>
        </is>
      </c>
      <c r="B10" s="10" t="inlineStr">
        <is>
          <t>'98.10.</t>
        </is>
      </c>
      <c r="C10" s="129" t="n">
        <v>297</v>
      </c>
      <c r="D10" s="127" t="n">
        <v>50.1</v>
      </c>
      <c r="E10" s="128" t="n">
        <v>15</v>
      </c>
      <c r="F10" s="127" t="n">
        <v>37.4</v>
      </c>
      <c r="G10" s="17" t="n">
        <v>11</v>
      </c>
      <c r="H10" s="129" t="n">
        <v>45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1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29" t="n">
        <v>297</v>
      </c>
      <c r="D11" s="127" t="n">
        <v>52.5</v>
      </c>
      <c r="E11" s="128" t="n">
        <v>16</v>
      </c>
      <c r="F11" s="127" t="n">
        <v>39.2</v>
      </c>
      <c r="G11" s="17" t="n">
        <v>12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복</t>
        </is>
      </c>
      <c r="T11" s="5" t="n">
        <v>52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29" t="n">
        <v>297</v>
      </c>
      <c r="D12" s="127" t="n">
        <v>71.90000000000001</v>
      </c>
      <c r="E12" s="128" t="n">
        <v>22</v>
      </c>
      <c r="F12" s="127" t="n">
        <v>53.6</v>
      </c>
      <c r="G12" s="17" t="n">
        <v>16</v>
      </c>
      <c r="H12" s="129" t="n">
        <v>72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29" t="n">
        <v>297</v>
      </c>
      <c r="D13" s="127" t="n">
        <v>74.3</v>
      </c>
      <c r="E13" s="128" t="n">
        <v>22</v>
      </c>
      <c r="F13" s="127" t="n">
        <v>55.4</v>
      </c>
      <c r="G13" s="17" t="n">
        <v>17</v>
      </c>
      <c r="H13" s="129" t="n">
        <v>39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74B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29" t="n">
        <v>297</v>
      </c>
      <c r="D14" s="127" t="n">
        <v>80.2</v>
      </c>
      <c r="E14" s="128" t="n">
        <v>24</v>
      </c>
      <c r="F14" s="127" t="n">
        <v>59.9</v>
      </c>
      <c r="G14" s="17" t="n">
        <v>18</v>
      </c>
      <c r="H14" s="129" t="n">
        <v>111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금암중앙하이츠</t>
        </is>
      </c>
      <c r="B6" s="10" t="inlineStr">
        <is>
          <t>'07.07.</t>
        </is>
      </c>
      <c r="C6" s="129" t="n">
        <v>602</v>
      </c>
      <c r="D6" s="127" t="n">
        <v>82.40000000000001</v>
      </c>
      <c r="E6" s="128" t="n">
        <v>25</v>
      </c>
      <c r="F6" s="127" t="n">
        <v>60</v>
      </c>
      <c r="G6" s="17" t="n">
        <v>18</v>
      </c>
      <c r="H6" s="129" t="n">
        <v>98</v>
      </c>
      <c r="I6" s="130" t="n">
        <v>18000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29" t="n">
        <v>602</v>
      </c>
      <c r="D7" s="127" t="n">
        <v>109.5</v>
      </c>
      <c r="E7" s="128" t="n">
        <v>33</v>
      </c>
      <c r="F7" s="127" t="n">
        <v>84.90000000000001</v>
      </c>
      <c r="G7" s="17" t="n">
        <v>26</v>
      </c>
      <c r="H7" s="129" t="n">
        <v>244</v>
      </c>
      <c r="I7" s="130" t="n">
        <v>26500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29" t="n">
        <v>602</v>
      </c>
      <c r="D8" s="127" t="n">
        <v>109.8</v>
      </c>
      <c r="E8" s="128" t="n">
        <v>33</v>
      </c>
      <c r="F8" s="127" t="n">
        <v>85</v>
      </c>
      <c r="G8" s="17" t="n">
        <v>26</v>
      </c>
      <c r="H8" s="129" t="n">
        <v>15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29" t="n">
        <v>602</v>
      </c>
      <c r="D9" s="127" t="n">
        <v>110.3</v>
      </c>
      <c r="E9" s="128" t="n">
        <v>33</v>
      </c>
      <c r="F9" s="127" t="n">
        <v>84.8</v>
      </c>
      <c r="G9" s="17" t="n">
        <v>26</v>
      </c>
      <c r="H9" s="129" t="n">
        <v>18</v>
      </c>
      <c r="I9" s="130" t="n">
        <v>27000</v>
      </c>
      <c r="J9" s="130" t="inlineStr">
        <is>
          <t>6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29" t="n">
        <v>602</v>
      </c>
      <c r="D10" s="127" t="n">
        <v>151.6</v>
      </c>
      <c r="E10" s="128" t="n">
        <v>46</v>
      </c>
      <c r="F10" s="127" t="n">
        <v>123.3</v>
      </c>
      <c r="G10" s="17" t="n">
        <v>37</v>
      </c>
      <c r="H10" s="129" t="n">
        <v>25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29" t="n">
        <v>602</v>
      </c>
      <c r="D11" s="127" t="n">
        <v>152</v>
      </c>
      <c r="E11" s="128" t="n">
        <v>46</v>
      </c>
      <c r="F11" s="127" t="n">
        <v>124.9</v>
      </c>
      <c r="G11" s="17" t="n">
        <v>38</v>
      </c>
      <c r="H11" s="129" t="n">
        <v>133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152A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29" t="n">
        <v>602</v>
      </c>
      <c r="D12" s="127" t="n">
        <v>173</v>
      </c>
      <c r="E12" s="128" t="n">
        <v>52</v>
      </c>
      <c r="F12" s="127" t="n">
        <v>145.6</v>
      </c>
      <c r="G12" s="17" t="n">
        <v>44</v>
      </c>
      <c r="H12" s="129" t="n">
        <v>69</v>
      </c>
      <c r="I12" s="130" t="n">
        <v>33000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173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휴엔하임</t>
        </is>
      </c>
      <c r="B14" s="10" t="inlineStr">
        <is>
          <t>'16.11.</t>
        </is>
      </c>
      <c r="C14" s="129" t="n">
        <v>240</v>
      </c>
      <c r="D14" s="127" t="n">
        <v>78.59999999999999</v>
      </c>
      <c r="E14" s="128" t="n">
        <v>24</v>
      </c>
      <c r="F14" s="127" t="n">
        <v>59.5</v>
      </c>
      <c r="G14" s="17" t="n">
        <v>18</v>
      </c>
      <c r="H14" s="129" t="n">
        <v>160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78B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29" t="n">
        <v>240</v>
      </c>
      <c r="D15" s="127" t="n">
        <v>100.5</v>
      </c>
      <c r="E15" s="128" t="n">
        <v>30</v>
      </c>
      <c r="F15" s="127" t="n">
        <v>76.09999999999999</v>
      </c>
      <c r="G15" s="17" t="n">
        <v>23</v>
      </c>
      <c r="H15" s="129" t="n">
        <v>80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천년이지움</t>
        </is>
      </c>
      <c r="B17" s="10" t="inlineStr">
        <is>
          <t>'18.01.</t>
        </is>
      </c>
      <c r="C17" s="129" t="n">
        <v>218</v>
      </c>
      <c r="D17" s="127" t="n">
        <v>81.59999999999999</v>
      </c>
      <c r="E17" s="128" t="n">
        <v>25</v>
      </c>
      <c r="F17" s="127" t="n">
        <v>60</v>
      </c>
      <c r="G17" s="17" t="n">
        <v>18</v>
      </c>
      <c r="H17" s="129" t="n">
        <v>130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29" t="n">
        <v>218</v>
      </c>
      <c r="D18" s="127" t="n">
        <v>114.3</v>
      </c>
      <c r="E18" s="128" t="n">
        <v>35</v>
      </c>
      <c r="F18" s="127" t="n">
        <v>85</v>
      </c>
      <c r="G18" s="17" t="n">
        <v>26</v>
      </c>
      <c r="H18" s="129" t="n">
        <v>46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114A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29" t="n">
        <v>218</v>
      </c>
      <c r="D19" s="127" t="n">
        <v>114.2</v>
      </c>
      <c r="E19" s="128" t="n">
        <v>35</v>
      </c>
      <c r="F19" s="127" t="n">
        <v>85</v>
      </c>
      <c r="G19" s="17" t="n">
        <v>26</v>
      </c>
      <c r="H19" s="129" t="n">
        <v>42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114B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23">
      <formula>AV12="X"</formula>
    </cfRule>
    <cfRule type="expression" priority="124" dxfId="22">
      <formula>AV12="후보"</formula>
    </cfRule>
  </conditionalFormatting>
  <conditionalFormatting sqref="AC1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23">
      <formula>AV13="X"</formula>
    </cfRule>
    <cfRule type="expression" priority="105" dxfId="22">
      <formula>AV13="후보"</formula>
    </cfRule>
  </conditionalFormatting>
  <conditionalFormatting sqref="AC13 N1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명성강변</t>
        </is>
      </c>
      <c r="B6" s="10" t="inlineStr">
        <is>
          <t>'97.01.</t>
        </is>
      </c>
      <c r="C6" s="129" t="n">
        <v>276</v>
      </c>
      <c r="D6" s="127" t="n">
        <v>66.5</v>
      </c>
      <c r="E6" s="128" t="n">
        <v>20</v>
      </c>
      <c r="F6" s="127" t="n">
        <v>49.8</v>
      </c>
      <c r="G6" s="17" t="n">
        <v>15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29" t="n">
        <v>276</v>
      </c>
      <c r="D7" s="127" t="n">
        <v>72.59999999999999</v>
      </c>
      <c r="E7" s="128" t="n">
        <v>22</v>
      </c>
      <c r="F7" s="127" t="n">
        <v>54.3</v>
      </c>
      <c r="G7" s="17" t="n">
        <v>16</v>
      </c>
      <c r="H7" s="129" t="n">
        <v>61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29" t="n">
        <v>276</v>
      </c>
      <c r="D8" s="127" t="n">
        <v>79.3</v>
      </c>
      <c r="E8" s="128" t="n">
        <v>24</v>
      </c>
      <c r="F8" s="127" t="n">
        <v>59</v>
      </c>
      <c r="G8" s="17" t="n">
        <v>18</v>
      </c>
      <c r="H8" s="129" t="n">
        <v>54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29" t="n">
        <v>276</v>
      </c>
      <c r="D9" s="127" t="n">
        <v>80.7</v>
      </c>
      <c r="E9" s="128" t="n">
        <v>24</v>
      </c>
      <c r="F9" s="127" t="n">
        <v>60</v>
      </c>
      <c r="G9" s="17" t="n">
        <v>18</v>
      </c>
      <c r="H9" s="129" t="n">
        <v>97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80A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영무예다음</t>
        </is>
      </c>
      <c r="B6" s="10" t="inlineStr">
        <is>
          <t>'09.12.</t>
        </is>
      </c>
      <c r="C6" s="129" t="n">
        <v>601</v>
      </c>
      <c r="D6" s="127" t="n">
        <v>79.8</v>
      </c>
      <c r="E6" s="128" t="n">
        <v>24</v>
      </c>
      <c r="F6" s="127" t="n">
        <v>60</v>
      </c>
      <c r="G6" s="17" t="n">
        <v>18</v>
      </c>
      <c r="H6" s="129" t="n">
        <v>94</v>
      </c>
      <c r="I6" s="130" t="n">
        <v>24000</v>
      </c>
      <c r="J6" s="130" t="inlineStr">
        <is>
          <t>고</t>
        </is>
      </c>
      <c r="K6" s="130" t="n">
        <v>22000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29" t="n">
        <v>601</v>
      </c>
      <c r="D7" s="127" t="n">
        <v>80.59999999999999</v>
      </c>
      <c r="E7" s="128" t="n">
        <v>24</v>
      </c>
      <c r="F7" s="127" t="n">
        <v>60</v>
      </c>
      <c r="G7" s="17" t="n">
        <v>18</v>
      </c>
      <c r="H7" s="129" t="n">
        <v>275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29" t="n">
        <v>601</v>
      </c>
      <c r="D8" s="127" t="n">
        <v>81.3</v>
      </c>
      <c r="E8" s="128" t="n">
        <v>25</v>
      </c>
      <c r="F8" s="127" t="n">
        <v>60</v>
      </c>
      <c r="G8" s="17" t="n">
        <v>18</v>
      </c>
      <c r="H8" s="129" t="n">
        <v>232</v>
      </c>
      <c r="I8" s="130" t="n">
        <v>24000</v>
      </c>
      <c r="J8" s="130" t="inlineStr">
        <is>
          <t>7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명성강변</t>
        </is>
      </c>
      <c r="B10" s="10" t="inlineStr">
        <is>
          <t>'97.01.</t>
        </is>
      </c>
      <c r="C10" s="129" t="n">
        <v>276</v>
      </c>
      <c r="D10" s="127" t="n">
        <v>67</v>
      </c>
      <c r="E10" s="128" t="n">
        <v>20</v>
      </c>
      <c r="F10" s="127" t="n">
        <v>49.8</v>
      </c>
      <c r="G10" s="17" t="n">
        <v>15</v>
      </c>
      <c r="H10" s="129" t="n">
        <v>64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66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29" t="n">
        <v>276</v>
      </c>
      <c r="D11" s="127" t="n">
        <v>73.09999999999999</v>
      </c>
      <c r="E11" s="128" t="n">
        <v>22</v>
      </c>
      <c r="F11" s="127" t="n">
        <v>54.3</v>
      </c>
      <c r="G11" s="17" t="n">
        <v>16</v>
      </c>
      <c r="H11" s="129" t="n">
        <v>61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73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29" t="n">
        <v>276</v>
      </c>
      <c r="D12" s="127" t="n">
        <v>79.3</v>
      </c>
      <c r="E12" s="128" t="n">
        <v>24</v>
      </c>
      <c r="F12" s="127" t="n">
        <v>59</v>
      </c>
      <c r="G12" s="17" t="n">
        <v>18</v>
      </c>
      <c r="H12" s="129" t="n">
        <v>54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79A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29" t="n">
        <v>276</v>
      </c>
      <c r="D13" s="127" t="n">
        <v>80.7</v>
      </c>
      <c r="E13" s="128" t="n">
        <v>24</v>
      </c>
      <c r="F13" s="127" t="n">
        <v>60</v>
      </c>
      <c r="G13" s="17" t="n">
        <v>18</v>
      </c>
      <c r="H13" s="129" t="n">
        <v>97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80B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하가더루벤스</t>
        </is>
      </c>
      <c r="B15" s="10" t="inlineStr">
        <is>
          <t>'12.06.</t>
        </is>
      </c>
      <c r="C15" s="129" t="n">
        <v>413</v>
      </c>
      <c r="D15" s="127" t="n">
        <v>109.7</v>
      </c>
      <c r="E15" s="128" t="n">
        <v>33</v>
      </c>
      <c r="F15" s="127" t="n">
        <v>84.8</v>
      </c>
      <c r="G15" s="17" t="n">
        <v>26</v>
      </c>
      <c r="H15" s="129" t="n">
        <v>140</v>
      </c>
      <c r="I15" s="130" t="n">
        <v>39000</v>
      </c>
      <c r="J15" s="130" t="inlineStr">
        <is>
          <t>고</t>
        </is>
      </c>
      <c r="K15" s="130" t="n">
        <v>32000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109C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29" t="n">
        <v>413</v>
      </c>
      <c r="D16" s="127" t="n">
        <v>109.8</v>
      </c>
      <c r="E16" s="128" t="n">
        <v>33</v>
      </c>
      <c r="F16" s="127" t="n">
        <v>84.90000000000001</v>
      </c>
      <c r="G16" s="17" t="n">
        <v>26</v>
      </c>
      <c r="H16" s="129" t="n">
        <v>138</v>
      </c>
      <c r="I16" s="130" t="n">
        <v>40000</v>
      </c>
      <c r="J16" s="130" t="inlineStr">
        <is>
          <t>11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109D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29" t="n">
        <v>413</v>
      </c>
      <c r="D17" s="127" t="n">
        <v>109.9</v>
      </c>
      <c r="E17" s="128" t="n">
        <v>33</v>
      </c>
      <c r="F17" s="127" t="n">
        <v>85</v>
      </c>
      <c r="G17" s="17" t="n">
        <v>26</v>
      </c>
      <c r="H17" s="129" t="n">
        <v>69</v>
      </c>
      <c r="I17" s="130" t="n">
        <v>41000</v>
      </c>
      <c r="J17" s="130" t="inlineStr">
        <is>
          <t>10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29" t="n">
        <v>413</v>
      </c>
      <c r="D18" s="127" t="n">
        <v>109.9</v>
      </c>
      <c r="E18" s="128" t="n">
        <v>33</v>
      </c>
      <c r="F18" s="127" t="n">
        <v>84.90000000000001</v>
      </c>
      <c r="G18" s="17" t="n">
        <v>26</v>
      </c>
      <c r="H18" s="129" t="n">
        <v>44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109E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29" t="n">
        <v>413</v>
      </c>
      <c r="D19" s="127" t="n">
        <v>110.1</v>
      </c>
      <c r="E19" s="128" t="n">
        <v>33</v>
      </c>
      <c r="F19" s="127" t="n">
        <v>85</v>
      </c>
      <c r="G19" s="17" t="n">
        <v>26</v>
      </c>
      <c r="H19" s="129" t="n">
        <v>22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제일오투그란데</t>
        </is>
      </c>
      <c r="B21" s="10" t="inlineStr">
        <is>
          <t>'13.01.</t>
        </is>
      </c>
      <c r="C21" s="129" t="n">
        <v>319</v>
      </c>
      <c r="D21" s="127" t="n">
        <v>106.4</v>
      </c>
      <c r="E21" s="128" t="n">
        <v>32</v>
      </c>
      <c r="F21" s="127" t="n">
        <v>76.59999999999999</v>
      </c>
      <c r="G21" s="17" t="n">
        <v>23</v>
      </c>
      <c r="H21" s="129" t="n">
        <v>117</v>
      </c>
      <c r="I21" s="130" t="n">
        <v>38000</v>
      </c>
      <c r="J21" s="130" t="inlineStr">
        <is>
          <t>고</t>
        </is>
      </c>
      <c r="K21" s="130" t="n">
        <v>33000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29" t="n">
        <v>319</v>
      </c>
      <c r="D22" s="127" t="n">
        <v>115.7</v>
      </c>
      <c r="E22" s="128" t="n">
        <v>35</v>
      </c>
      <c r="F22" s="127" t="n">
        <v>84.09999999999999</v>
      </c>
      <c r="G22" s="17" t="n">
        <v>25</v>
      </c>
      <c r="H22" s="129" t="n">
        <v>57</v>
      </c>
      <c r="I22" s="130" t="n">
        <v>41000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115C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29" t="n">
        <v>319</v>
      </c>
      <c r="D23" s="127" t="n">
        <v>115.2</v>
      </c>
      <c r="E23" s="128" t="n">
        <v>35</v>
      </c>
      <c r="F23" s="127" t="n">
        <v>83.7</v>
      </c>
      <c r="G23" s="17" t="n">
        <v>25</v>
      </c>
      <c r="H23" s="129" t="n">
        <v>9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115B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29" t="n">
        <v>319</v>
      </c>
      <c r="D24" s="127" t="n">
        <v>117.5</v>
      </c>
      <c r="E24" s="128" t="n">
        <v>36</v>
      </c>
      <c r="F24" s="127" t="n">
        <v>84.59999999999999</v>
      </c>
      <c r="G24" s="17" t="n">
        <v>26</v>
      </c>
      <c r="H24" s="129" t="n">
        <v>127</v>
      </c>
      <c r="I24" s="130" t="n">
        <v>39500</v>
      </c>
      <c r="J24" s="130" t="inlineStr">
        <is>
          <t>7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117D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29" t="n">
        <v>319</v>
      </c>
      <c r="D25" s="127" t="n">
        <v>117.6</v>
      </c>
      <c r="E25" s="128" t="n">
        <v>36</v>
      </c>
      <c r="F25" s="127" t="n">
        <v>84.7</v>
      </c>
      <c r="G25" s="17" t="n">
        <v>26</v>
      </c>
      <c r="H25" s="129" t="n">
        <v>9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117E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전주하가휴먼빌</t>
        </is>
      </c>
      <c r="B27" s="10" t="inlineStr">
        <is>
          <t>'10.04.</t>
        </is>
      </c>
      <c r="C27" s="129" t="n">
        <v>331</v>
      </c>
      <c r="D27" s="127" t="n">
        <v>109.5</v>
      </c>
      <c r="E27" s="128" t="n">
        <v>33</v>
      </c>
      <c r="F27" s="127" t="n">
        <v>85</v>
      </c>
      <c r="G27" s="17" t="n">
        <v>26</v>
      </c>
      <c r="H27" s="129" t="n">
        <v>211</v>
      </c>
      <c r="I27" s="130" t="n">
        <v>35000</v>
      </c>
      <c r="J27" s="130" t="inlineStr">
        <is>
          <t>6</t>
        </is>
      </c>
      <c r="K27" s="130" t="n">
        <v>31000</v>
      </c>
      <c r="L27" s="130" t="inlineStr">
        <is>
          <t>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109B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29" t="n">
        <v>331</v>
      </c>
      <c r="D28" s="127" t="n">
        <v>109</v>
      </c>
      <c r="E28" s="128" t="n">
        <v>33</v>
      </c>
      <c r="F28" s="127" t="n">
        <v>85</v>
      </c>
      <c r="G28" s="17" t="n">
        <v>26</v>
      </c>
      <c r="H28" s="129" t="n">
        <v>119</v>
      </c>
      <c r="I28" s="130" t="n">
        <v>36000</v>
      </c>
      <c r="J28" s="130" t="inlineStr">
        <is>
          <t>8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29" t="n">
        <v>331</v>
      </c>
      <c r="D29" s="127" t="n">
        <v>109.5</v>
      </c>
      <c r="E29" s="128" t="n">
        <v>33</v>
      </c>
      <c r="F29" s="127" t="n">
        <v>85</v>
      </c>
      <c r="G29" s="17" t="n">
        <v>26</v>
      </c>
      <c r="H29" s="129" t="n">
        <v>1</v>
      </c>
      <c r="I29" s="130" t="n">
        <v>35000</v>
      </c>
      <c r="J29" s="130" t="inlineStr">
        <is>
          <t>6</t>
        </is>
      </c>
      <c r="K29" s="130" t="n">
        <v>31000</v>
      </c>
      <c r="L29" s="130" t="inlineStr">
        <is>
          <t>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109A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오성유토피아</t>
        </is>
      </c>
      <c r="B31" s="10" t="inlineStr">
        <is>
          <t>'89.04.</t>
        </is>
      </c>
      <c r="C31" s="129" t="n">
        <v>240</v>
      </c>
      <c r="D31" s="127" t="n">
        <v>96</v>
      </c>
      <c r="E31" s="128" t="n">
        <v>29</v>
      </c>
      <c r="F31" s="127" t="n">
        <v>84.2</v>
      </c>
      <c r="G31" s="17" t="n">
        <v>25</v>
      </c>
      <c r="H31" s="129" t="n">
        <v>30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96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29" t="n">
        <v>240</v>
      </c>
      <c r="D32" s="127" t="n">
        <v>113.7</v>
      </c>
      <c r="E32" s="128" t="n">
        <v>34</v>
      </c>
      <c r="F32" s="127" t="n">
        <v>84.90000000000001</v>
      </c>
      <c r="G32" s="17" t="n">
        <v>26</v>
      </c>
      <c r="H32" s="129" t="n">
        <v>135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복</t>
        </is>
      </c>
      <c r="T32" s="5" t="n">
        <v>113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29" t="n">
        <v>240</v>
      </c>
      <c r="D33" s="127" t="n">
        <v>123.1</v>
      </c>
      <c r="E33" s="128" t="n">
        <v>37</v>
      </c>
      <c r="F33" s="127" t="n">
        <v>109.1</v>
      </c>
      <c r="G33" s="17" t="n">
        <v>33</v>
      </c>
      <c r="H33" s="129" t="n">
        <v>30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29" t="n">
        <v>240</v>
      </c>
      <c r="D34" s="127" t="n">
        <v>137.7</v>
      </c>
      <c r="E34" s="128" t="n">
        <v>42</v>
      </c>
      <c r="F34" s="127" t="n">
        <v>105</v>
      </c>
      <c r="G34" s="17" t="n">
        <v>32</v>
      </c>
      <c r="H34" s="129" t="n">
        <v>45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복</t>
        </is>
      </c>
      <c r="T34" s="5" t="n">
        <v>137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29" t="n">
        <v>367</v>
      </c>
      <c r="D36" s="127" t="n">
        <v>80.7</v>
      </c>
      <c r="E36" s="128" t="n">
        <v>24</v>
      </c>
      <c r="F36" s="127" t="n">
        <v>60</v>
      </c>
      <c r="G36" s="17" t="n">
        <v>18</v>
      </c>
      <c r="H36" s="129" t="n">
        <v>84</v>
      </c>
      <c r="I36" s="130" t="n">
        <v>31800</v>
      </c>
      <c r="J36" s="130" t="inlineStr">
        <is>
          <t>중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80A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29" t="n">
        <v>367</v>
      </c>
      <c r="D37" s="127" t="n">
        <v>80.7</v>
      </c>
      <c r="E37" s="128" t="n">
        <v>24</v>
      </c>
      <c r="F37" s="127" t="n">
        <v>59.9</v>
      </c>
      <c r="G37" s="17" t="n">
        <v>18</v>
      </c>
      <c r="H37" s="129" t="n">
        <v>68</v>
      </c>
      <c r="I37" s="130" t="n">
        <v>32000</v>
      </c>
      <c r="J37" s="130" t="inlineStr">
        <is>
          <t>5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80C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29" t="n">
        <v>367</v>
      </c>
      <c r="D38" s="127" t="n">
        <v>81.3</v>
      </c>
      <c r="E38" s="128" t="n">
        <v>25</v>
      </c>
      <c r="F38" s="127" t="n">
        <v>60</v>
      </c>
      <c r="G38" s="17" t="n">
        <v>18</v>
      </c>
      <c r="H38" s="129" t="n">
        <v>94</v>
      </c>
      <c r="I38" s="130" t="n">
        <v>32000</v>
      </c>
      <c r="J38" s="130" t="inlineStr">
        <is>
          <t>6</t>
        </is>
      </c>
      <c r="K38" s="130" t="n">
        <v>27000</v>
      </c>
      <c r="L38" s="130" t="inlineStr">
        <is>
          <t>9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29" t="n">
        <v>367</v>
      </c>
      <c r="D39" s="127" t="n">
        <v>112.6</v>
      </c>
      <c r="E39" s="128" t="n">
        <v>34</v>
      </c>
      <c r="F39" s="127" t="n">
        <v>84.90000000000001</v>
      </c>
      <c r="G39" s="17" t="n">
        <v>26</v>
      </c>
      <c r="H39" s="129" t="n">
        <v>78</v>
      </c>
      <c r="I39" s="130" t="n">
        <v>45000</v>
      </c>
      <c r="J39" s="130" t="inlineStr">
        <is>
          <t>중</t>
        </is>
      </c>
      <c r="K39" s="130" t="n">
        <v>35000</v>
      </c>
      <c r="L39" s="130" t="inlineStr">
        <is>
          <t>12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112A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29" t="n">
        <v>367</v>
      </c>
      <c r="D40" s="127" t="n">
        <v>112.9</v>
      </c>
      <c r="E40" s="128" t="n">
        <v>34</v>
      </c>
      <c r="F40" s="127" t="n">
        <v>84.90000000000001</v>
      </c>
      <c r="G40" s="17" t="n">
        <v>26</v>
      </c>
      <c r="H40" s="129" t="n">
        <v>20</v>
      </c>
      <c r="I40" s="130" t="n">
        <v>45000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112C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29" t="n">
        <v>367</v>
      </c>
      <c r="D41" s="127" t="n">
        <v>114.1</v>
      </c>
      <c r="E41" s="128" t="n">
        <v>35</v>
      </c>
      <c r="F41" s="127" t="n">
        <v>85</v>
      </c>
      <c r="G41" s="17" t="n">
        <v>26</v>
      </c>
      <c r="H41" s="129" t="n">
        <v>23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23">
      <formula>AV4="X"</formula>
    </cfRule>
    <cfRule type="expression" priority="602" dxfId="22">
      <formula>AV4="후보"</formula>
    </cfRule>
  </conditionalFormatting>
  <conditionalFormatting sqref="AC1:AC2 AC4:AC6 N4:N5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N1:N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23">
      <formula>AV7="X"</formula>
    </cfRule>
    <cfRule type="expression" priority="581" dxfId="22">
      <formula>AV7="후보"</formula>
    </cfRule>
  </conditionalFormatting>
  <conditionalFormatting sqref="AC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23">
      <formula>AV8="X"</formula>
    </cfRule>
    <cfRule type="expression" priority="562" dxfId="22">
      <formula>AV8="후보"</formula>
    </cfRule>
  </conditionalFormatting>
  <conditionalFormatting sqref="AC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23">
      <formula>AV9="X"</formula>
    </cfRule>
    <cfRule type="expression" priority="543" dxfId="22">
      <formula>AV9="후보"</formula>
    </cfRule>
  </conditionalFormatting>
  <conditionalFormatting sqref="AC9 N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0">
    <cfRule type="expression" priority="537" dxfId="23">
      <formula>AV10="X"</formula>
    </cfRule>
    <cfRule type="expression" priority="538" dxfId="22">
      <formula>AV10="후보"</formula>
    </cfRule>
  </conditionalFormatting>
  <conditionalFormatting sqref="AC1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23">
      <formula>AV11="X"</formula>
    </cfRule>
    <cfRule type="expression" priority="519" dxfId="22">
      <formula>AV11="후보"</formula>
    </cfRule>
  </conditionalFormatting>
  <conditionalFormatting sqref="AC1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23">
      <formula>AV12="X"</formula>
    </cfRule>
    <cfRule type="expression" priority="500" dxfId="22">
      <formula>AV12="후보"</formula>
    </cfRule>
  </conditionalFormatting>
  <conditionalFormatting sqref="AC1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23">
      <formula>AV13="X"</formula>
    </cfRule>
    <cfRule type="expression" priority="481" dxfId="22">
      <formula>AV13="후보"</formula>
    </cfRule>
  </conditionalFormatting>
  <conditionalFormatting sqref="AC1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23">
      <formula>AV14="X"</formula>
    </cfRule>
    <cfRule type="expression" priority="462" dxfId="22">
      <formula>AV14="후보"</formula>
    </cfRule>
  </conditionalFormatting>
  <conditionalFormatting sqref="AC14 N1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23">
      <formula>AV16="X"</formula>
    </cfRule>
    <cfRule type="expression" priority="438" dxfId="22">
      <formula>AV16="후보"</formula>
    </cfRule>
  </conditionalFormatting>
  <conditionalFormatting sqref="AC1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23">
      <formula>AV17="X"</formula>
    </cfRule>
    <cfRule type="expression" priority="419" dxfId="22">
      <formula>AV17="후보"</formula>
    </cfRule>
  </conditionalFormatting>
  <conditionalFormatting sqref="AC1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23">
      <formula>AV18="X"</formula>
    </cfRule>
    <cfRule type="expression" priority="400" dxfId="22">
      <formula>AV18="후보"</formula>
    </cfRule>
  </conditionalFormatting>
  <conditionalFormatting sqref="AC1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23">
      <formula>AV19="X"</formula>
    </cfRule>
    <cfRule type="expression" priority="381" dxfId="22">
      <formula>AV19="후보"</formula>
    </cfRule>
  </conditionalFormatting>
  <conditionalFormatting sqref="AC1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23">
      <formula>AV20="X"</formula>
    </cfRule>
    <cfRule type="expression" priority="362" dxfId="22">
      <formula>AV20="후보"</formula>
    </cfRule>
  </conditionalFormatting>
  <conditionalFormatting sqref="AC20 N2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21">
    <cfRule type="expression" priority="356" dxfId="23">
      <formula>AV21="X"</formula>
    </cfRule>
    <cfRule type="expression" priority="357" dxfId="22">
      <formula>AV21="후보"</formula>
    </cfRule>
  </conditionalFormatting>
  <conditionalFormatting sqref="AC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23">
      <formula>AV22="X"</formula>
    </cfRule>
    <cfRule type="expression" priority="338" dxfId="22">
      <formula>AV22="후보"</formula>
    </cfRule>
  </conditionalFormatting>
  <conditionalFormatting sqref="AC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23">
      <formula>AV23="X"</formula>
    </cfRule>
    <cfRule type="expression" priority="319" dxfId="22">
      <formula>AV23="후보"</formula>
    </cfRule>
  </conditionalFormatting>
  <conditionalFormatting sqref="AC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23">
      <formula>AV24="X"</formula>
    </cfRule>
    <cfRule type="expression" priority="300" dxfId="22">
      <formula>AV24="후보"</formula>
    </cfRule>
  </conditionalFormatting>
  <conditionalFormatting sqref="AC2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23">
      <formula>AV25="X"</formula>
    </cfRule>
    <cfRule type="expression" priority="281" dxfId="22">
      <formula>AV25="후보"</formula>
    </cfRule>
  </conditionalFormatting>
  <conditionalFormatting sqref="AC2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23">
      <formula>AV26="X"</formula>
    </cfRule>
    <cfRule type="expression" priority="262" dxfId="22">
      <formula>AV26="후보"</formula>
    </cfRule>
  </conditionalFormatting>
  <conditionalFormatting sqref="AC26 N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7">
    <cfRule type="expression" priority="256" dxfId="23">
      <formula>AV27="X"</formula>
    </cfRule>
    <cfRule type="expression" priority="257" dxfId="22">
      <formula>AV27="후보"</formula>
    </cfRule>
  </conditionalFormatting>
  <conditionalFormatting sqref="AC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23">
      <formula>AV28="X"</formula>
    </cfRule>
    <cfRule type="expression" priority="238" dxfId="22">
      <formula>AV28="후보"</formula>
    </cfRule>
  </conditionalFormatting>
  <conditionalFormatting sqref="AC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23">
      <formula>AV29="X"</formula>
    </cfRule>
    <cfRule type="expression" priority="219" dxfId="22">
      <formula>AV29="후보"</formula>
    </cfRule>
  </conditionalFormatting>
  <conditionalFormatting sqref="AC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23">
      <formula>AV30="X"</formula>
    </cfRule>
    <cfRule type="expression" priority="200" dxfId="22">
      <formula>AV30="후보"</formula>
    </cfRule>
  </conditionalFormatting>
  <conditionalFormatting sqref="AC30 N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29" t="n">
        <v>625</v>
      </c>
      <c r="D6" s="127" t="n">
        <v>109.2</v>
      </c>
      <c r="E6" s="128" t="n">
        <v>33</v>
      </c>
      <c r="F6" s="127" t="n">
        <v>85</v>
      </c>
      <c r="G6" s="17" t="n">
        <v>26</v>
      </c>
      <c r="H6" s="129" t="n">
        <v>517</v>
      </c>
      <c r="I6" s="130" t="n">
        <v>49000</v>
      </c>
      <c r="J6" s="130" t="inlineStr">
        <is>
          <t>5</t>
        </is>
      </c>
      <c r="K6" s="130" t="n">
        <v>43000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29" t="n">
        <v>625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108</v>
      </c>
      <c r="I7" s="130" t="n">
        <v>54000</v>
      </c>
      <c r="J7" s="130" t="inlineStr">
        <is>
          <t>10</t>
        </is>
      </c>
      <c r="K7" s="130" t="n">
        <v>42000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LH퍼스트리움</t>
        </is>
      </c>
      <c r="B9" s="10" t="inlineStr">
        <is>
          <t>'18.01.</t>
        </is>
      </c>
      <c r="C9" s="129" t="n">
        <v>711</v>
      </c>
      <c r="D9" s="127" t="n">
        <v>84</v>
      </c>
      <c r="E9" s="128" t="n">
        <v>25</v>
      </c>
      <c r="F9" s="127" t="n">
        <v>59.9</v>
      </c>
      <c r="G9" s="17" t="n">
        <v>18</v>
      </c>
      <c r="H9" s="129" t="n">
        <v>55</v>
      </c>
      <c r="I9" s="130" t="n">
        <v>39000</v>
      </c>
      <c r="J9" s="130" t="inlineStr">
        <is>
          <t>9</t>
        </is>
      </c>
      <c r="K9" s="130" t="n">
        <v>30000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29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546</v>
      </c>
      <c r="I10" s="130" t="n">
        <v>35000</v>
      </c>
      <c r="J10" s="130" t="inlineStr">
        <is>
          <t>7</t>
        </is>
      </c>
      <c r="K10" s="130" t="n">
        <v>32000</v>
      </c>
      <c r="L10" s="130" t="inlineStr">
        <is>
          <t>11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29" t="n">
        <v>711</v>
      </c>
      <c r="D11" s="127" t="n">
        <v>84</v>
      </c>
      <c r="E11" s="128" t="n">
        <v>25</v>
      </c>
      <c r="F11" s="127" t="n">
        <v>60</v>
      </c>
      <c r="G11" s="17" t="n">
        <v>18</v>
      </c>
      <c r="H11" s="129" t="n">
        <v>55</v>
      </c>
      <c r="I11" s="130" t="n">
        <v>35000</v>
      </c>
      <c r="J11" s="130" t="inlineStr">
        <is>
          <t>7</t>
        </is>
      </c>
      <c r="K11" s="130" t="n">
        <v>32000</v>
      </c>
      <c r="L11" s="130" t="inlineStr">
        <is>
          <t>11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84A1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29" t="n">
        <v>711</v>
      </c>
      <c r="D12" s="127" t="n">
        <v>84</v>
      </c>
      <c r="E12" s="128" t="n">
        <v>25</v>
      </c>
      <c r="F12" s="127" t="n">
        <v>60</v>
      </c>
      <c r="G12" s="17" t="n">
        <v>18</v>
      </c>
      <c r="H12" s="129" t="n">
        <v>55</v>
      </c>
      <c r="I12" s="130" t="n">
        <v>35000</v>
      </c>
      <c r="J12" s="130" t="inlineStr">
        <is>
          <t>7</t>
        </is>
      </c>
      <c r="K12" s="130" t="n">
        <v>32000</v>
      </c>
      <c r="L12" s="130" t="inlineStr">
        <is>
          <t>11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29" t="n">
        <v>615</v>
      </c>
      <c r="D14" s="127" t="n">
        <v>127.6</v>
      </c>
      <c r="E14" s="128" t="n">
        <v>39</v>
      </c>
      <c r="F14" s="127" t="n">
        <v>104.3</v>
      </c>
      <c r="G14" s="17" t="n">
        <v>32</v>
      </c>
      <c r="H14" s="129" t="n">
        <v>312</v>
      </c>
      <c r="I14" s="130" t="n">
        <v>77000</v>
      </c>
      <c r="J14" s="130" t="inlineStr">
        <is>
          <t>5</t>
        </is>
      </c>
      <c r="K14" s="130" t="n">
        <v>50000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29" t="n">
        <v>615</v>
      </c>
      <c r="D15" s="127" t="n">
        <v>142.1</v>
      </c>
      <c r="E15" s="128" t="n">
        <v>43</v>
      </c>
      <c r="F15" s="127" t="n">
        <v>115.9</v>
      </c>
      <c r="G15" s="17" t="n">
        <v>35</v>
      </c>
      <c r="H15" s="129" t="n">
        <v>189</v>
      </c>
      <c r="I15" s="130" t="n">
        <v>85000</v>
      </c>
      <c r="J15" s="130" t="inlineStr">
        <is>
          <t>6</t>
        </is>
      </c>
      <c r="K15" s="130" t="n">
        <v>55000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142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29" t="n">
        <v>615</v>
      </c>
      <c r="D16" s="127" t="n">
        <v>152.2</v>
      </c>
      <c r="E16" s="128" t="n">
        <v>46</v>
      </c>
      <c r="F16" s="127" t="n">
        <v>124.2</v>
      </c>
      <c r="G16" s="17" t="n">
        <v>38</v>
      </c>
      <c r="H16" s="129" t="n">
        <v>114</v>
      </c>
      <c r="I16" s="130" t="n">
        <v>107000</v>
      </c>
      <c r="J16" s="130" t="inlineStr">
        <is>
          <t>고</t>
        </is>
      </c>
      <c r="K16" s="130" t="n">
        <v>57000</v>
      </c>
      <c r="L16" s="130" t="inlineStr">
        <is>
          <t>19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제일풍경채</t>
        </is>
      </c>
      <c r="B18" s="10" t="inlineStr">
        <is>
          <t>'18.02.</t>
        </is>
      </c>
      <c r="C18" s="129" t="n">
        <v>553</v>
      </c>
      <c r="D18" s="127" t="n">
        <v>111.5</v>
      </c>
      <c r="E18" s="128" t="n">
        <v>34</v>
      </c>
      <c r="F18" s="127" t="n">
        <v>84.90000000000001</v>
      </c>
      <c r="G18" s="17" t="n">
        <v>26</v>
      </c>
      <c r="H18" s="129" t="n">
        <v>344</v>
      </c>
      <c r="I18" s="130" t="n">
        <v>48800</v>
      </c>
      <c r="J18" s="130" t="inlineStr">
        <is>
          <t>6</t>
        </is>
      </c>
      <c r="K18" s="130" t="n">
        <v>37000</v>
      </c>
      <c r="L18" s="130" t="inlineStr">
        <is>
          <t>8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111A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29" t="n">
        <v>553</v>
      </c>
      <c r="D19" s="127" t="n">
        <v>111.9</v>
      </c>
      <c r="E19" s="128" t="n">
        <v>34</v>
      </c>
      <c r="F19" s="127" t="n">
        <v>84.8</v>
      </c>
      <c r="G19" s="17" t="n">
        <v>26</v>
      </c>
      <c r="H19" s="129" t="n">
        <v>19</v>
      </c>
      <c r="I19" s="130" t="n"/>
      <c r="J19" s="130" t="n"/>
      <c r="K19" s="130" t="n">
        <v>40000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29" t="n">
        <v>553</v>
      </c>
      <c r="D20" s="127" t="n">
        <v>133.7</v>
      </c>
      <c r="E20" s="128" t="n">
        <v>40</v>
      </c>
      <c r="F20" s="127" t="n">
        <v>103</v>
      </c>
      <c r="G20" s="17" t="n">
        <v>31</v>
      </c>
      <c r="H20" s="129" t="n">
        <v>190</v>
      </c>
      <c r="I20" s="130" t="n">
        <v>65000</v>
      </c>
      <c r="J20" s="130" t="inlineStr">
        <is>
          <t>중</t>
        </is>
      </c>
      <c r="K20" s="130" t="n">
        <v>49000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29" t="n">
        <v>1070</v>
      </c>
      <c r="D22" s="127" t="n">
        <v>99.5</v>
      </c>
      <c r="E22" s="128" t="n">
        <v>30</v>
      </c>
      <c r="F22" s="127" t="n">
        <v>74.09999999999999</v>
      </c>
      <c r="G22" s="17" t="n">
        <v>22</v>
      </c>
      <c r="H22" s="129" t="n">
        <v>294</v>
      </c>
      <c r="I22" s="130" t="n">
        <v>49000</v>
      </c>
      <c r="J22" s="130" t="inlineStr">
        <is>
          <t>11</t>
        </is>
      </c>
      <c r="K22" s="130" t="n">
        <v>37000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29" t="n">
        <v>1070</v>
      </c>
      <c r="D23" s="127" t="n">
        <v>111.3</v>
      </c>
      <c r="E23" s="128" t="n">
        <v>34</v>
      </c>
      <c r="F23" s="127" t="n">
        <v>85</v>
      </c>
      <c r="G23" s="17" t="n">
        <v>26</v>
      </c>
      <c r="H23" s="129" t="n">
        <v>776</v>
      </c>
      <c r="I23" s="130" t="n">
        <v>53800</v>
      </c>
      <c r="J23" s="130" t="inlineStr">
        <is>
          <t>중</t>
        </is>
      </c>
      <c r="K23" s="130" t="n">
        <v>41000</v>
      </c>
      <c r="L23" s="130" t="inlineStr">
        <is>
          <t>16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111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 N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23">
      <formula>AV17="X"</formula>
    </cfRule>
    <cfRule type="expression" priority="105" dxfId="22">
      <formula>AV17="후보"</formula>
    </cfRule>
  </conditionalFormatting>
  <conditionalFormatting sqref="AC17 N1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23">
      <formula>AV20="X"</formula>
    </cfRule>
    <cfRule type="expression" priority="62" dxfId="22">
      <formula>AV20="후보"</formula>
    </cfRule>
  </conditionalFormatting>
  <conditionalFormatting sqref="AC2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23">
      <formula>AV21="X"</formula>
    </cfRule>
    <cfRule type="expression" priority="43" dxfId="22">
      <formula>AV21="후보"</formula>
    </cfRule>
  </conditionalFormatting>
  <conditionalFormatting sqref="AC21 N2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29" t="n">
        <v>328</v>
      </c>
      <c r="D6" s="127" t="n">
        <v>83</v>
      </c>
      <c r="E6" s="128" t="n">
        <v>25</v>
      </c>
      <c r="F6" s="127" t="n">
        <v>59.8</v>
      </c>
      <c r="G6" s="17" t="n">
        <v>18</v>
      </c>
      <c r="H6" s="129" t="n">
        <v>312</v>
      </c>
      <c r="I6" s="130" t="n">
        <v>19000</v>
      </c>
      <c r="J6" s="130" t="inlineStr">
        <is>
          <t>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83A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29" t="n">
        <v>328</v>
      </c>
      <c r="D7" s="127" t="n">
        <v>98.5</v>
      </c>
      <c r="E7" s="128" t="n">
        <v>30</v>
      </c>
      <c r="F7" s="127" t="n">
        <v>60</v>
      </c>
      <c r="G7" s="17" t="n">
        <v>18</v>
      </c>
      <c r="H7" s="129" t="n">
        <v>16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영무예다음</t>
        </is>
      </c>
      <c r="B9" s="10" t="inlineStr">
        <is>
          <t>'06.06.</t>
        </is>
      </c>
      <c r="C9" s="129" t="n">
        <v>264</v>
      </c>
      <c r="D9" s="127" t="n">
        <v>86.7</v>
      </c>
      <c r="E9" s="128" t="n">
        <v>26</v>
      </c>
      <c r="F9" s="127" t="n">
        <v>50.9</v>
      </c>
      <c r="G9" s="17" t="n">
        <v>15</v>
      </c>
      <c r="H9" s="129" t="n">
        <v>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86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29" t="n">
        <v>264</v>
      </c>
      <c r="D10" s="127" t="n">
        <v>105.8</v>
      </c>
      <c r="E10" s="128" t="n">
        <v>32</v>
      </c>
      <c r="F10" s="127" t="n">
        <v>77.09999999999999</v>
      </c>
      <c r="G10" s="17" t="n">
        <v>23</v>
      </c>
      <c r="H10" s="129" t="n">
        <v>1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29" t="n">
        <v>264</v>
      </c>
      <c r="D11" s="127" t="n">
        <v>113.8</v>
      </c>
      <c r="E11" s="128" t="n">
        <v>34</v>
      </c>
      <c r="F11" s="127" t="n">
        <v>81.3</v>
      </c>
      <c r="G11" s="17" t="n">
        <v>25</v>
      </c>
      <c r="H11" s="129" t="n">
        <v>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29" t="n">
        <v>264</v>
      </c>
      <c r="D12" s="127" t="n">
        <v>121.4</v>
      </c>
      <c r="E12" s="128" t="n">
        <v>37</v>
      </c>
      <c r="F12" s="127" t="n">
        <v>84.8</v>
      </c>
      <c r="G12" s="17" t="n">
        <v>26</v>
      </c>
      <c r="H12" s="129" t="n">
        <v>257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121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대창하이빌타운</t>
        </is>
      </c>
      <c r="B14" s="10" t="inlineStr">
        <is>
          <t>'98.01.</t>
        </is>
      </c>
      <c r="C14" s="129" t="n">
        <v>835</v>
      </c>
      <c r="D14" s="127" t="n">
        <v>42</v>
      </c>
      <c r="E14" s="128" t="n">
        <v>13</v>
      </c>
      <c r="F14" s="127" t="n">
        <v>28.7</v>
      </c>
      <c r="G14" s="17" t="n">
        <v>9</v>
      </c>
      <c r="H14" s="129" t="n">
        <v>835</v>
      </c>
      <c r="I14" s="130" t="n">
        <v>2600</v>
      </c>
      <c r="J14" s="130" t="inlineStr">
        <is>
          <t>고</t>
        </is>
      </c>
      <c r="K14" s="130" t="n">
        <v>2000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1</v>
      </c>
      <c r="R14" s="117" t="n">
        <v>1</v>
      </c>
      <c r="S14" s="117" t="inlineStr">
        <is>
          <t>계</t>
        </is>
      </c>
      <c r="T14" s="5" t="n">
        <v>42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세움펠리피아</t>
        </is>
      </c>
      <c r="B16" s="10" t="inlineStr">
        <is>
          <t>'16.02.</t>
        </is>
      </c>
      <c r="C16" s="129" t="n">
        <v>211</v>
      </c>
      <c r="D16" s="127" t="n">
        <v>85.8</v>
      </c>
      <c r="E16" s="128" t="n">
        <v>26</v>
      </c>
      <c r="F16" s="127" t="n">
        <v>59.9</v>
      </c>
      <c r="G16" s="17" t="n">
        <v>18</v>
      </c>
      <c r="H16" s="129" t="n">
        <v>136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29" t="n">
        <v>211</v>
      </c>
      <c r="D17" s="127" t="n">
        <v>85.8</v>
      </c>
      <c r="E17" s="128" t="n">
        <v>26</v>
      </c>
      <c r="F17" s="127" t="n">
        <v>59.9</v>
      </c>
      <c r="G17" s="17" t="n">
        <v>18</v>
      </c>
      <c r="H17" s="129" t="n">
        <v>25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85A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29" t="n">
        <v>211</v>
      </c>
      <c r="D18" s="127" t="n">
        <v>98</v>
      </c>
      <c r="E18" s="128" t="n">
        <v>30</v>
      </c>
      <c r="F18" s="127" t="n">
        <v>68.40000000000001</v>
      </c>
      <c r="G18" s="17" t="n">
        <v>21</v>
      </c>
      <c r="H18" s="129" t="n">
        <v>50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29" t="n">
        <v>505</v>
      </c>
      <c r="D20" s="127" t="n">
        <v>80.40000000000001</v>
      </c>
      <c r="E20" s="128" t="n">
        <v>24</v>
      </c>
      <c r="F20" s="127" t="n">
        <v>59.7</v>
      </c>
      <c r="G20" s="17" t="n">
        <v>18</v>
      </c>
      <c r="H20" s="129" t="n">
        <v>188</v>
      </c>
      <c r="I20" s="130" t="n">
        <v>23500</v>
      </c>
      <c r="J20" s="130" t="inlineStr">
        <is>
          <t>중</t>
        </is>
      </c>
      <c r="K20" s="130" t="n">
        <v>21000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80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29" t="n">
        <v>505</v>
      </c>
      <c r="D21" s="127" t="n">
        <v>87</v>
      </c>
      <c r="E21" s="128" t="n">
        <v>26</v>
      </c>
      <c r="F21" s="127" t="n">
        <v>64.59999999999999</v>
      </c>
      <c r="G21" s="17" t="n">
        <v>20</v>
      </c>
      <c r="H21" s="129" t="n">
        <v>159</v>
      </c>
      <c r="I21" s="130" t="n">
        <v>29000</v>
      </c>
      <c r="J21" s="130" t="inlineStr">
        <is>
          <t>중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87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29" t="n">
        <v>505</v>
      </c>
      <c r="D22" s="127" t="n">
        <v>114.2</v>
      </c>
      <c r="E22" s="128" t="n">
        <v>35</v>
      </c>
      <c r="F22" s="127" t="n">
        <v>84.8</v>
      </c>
      <c r="G22" s="17" t="n">
        <v>26</v>
      </c>
      <c r="H22" s="129" t="n">
        <v>158</v>
      </c>
      <c r="I22" s="130" t="n">
        <v>37000</v>
      </c>
      <c r="J22" s="130" t="inlineStr">
        <is>
          <t>고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114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남양반월타운</t>
        </is>
      </c>
      <c r="B24" s="10" t="inlineStr">
        <is>
          <t>'97.01.</t>
        </is>
      </c>
      <c r="C24" s="129" t="n">
        <v>486</v>
      </c>
      <c r="D24" s="127" t="n">
        <v>84.90000000000001</v>
      </c>
      <c r="E24" s="128" t="n">
        <v>26</v>
      </c>
      <c r="F24" s="127" t="n">
        <v>59.9</v>
      </c>
      <c r="G24" s="17" t="n">
        <v>18</v>
      </c>
      <c r="H24" s="129" t="n">
        <v>486</v>
      </c>
      <c r="I24" s="130" t="n">
        <v>8500</v>
      </c>
      <c r="J24" s="130" t="inlineStr">
        <is>
          <t>중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복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월드컵이지움</t>
        </is>
      </c>
      <c r="B26" s="10" t="inlineStr">
        <is>
          <t>'15.03.</t>
        </is>
      </c>
      <c r="C26" s="129" t="n">
        <v>210</v>
      </c>
      <c r="D26" s="127" t="n">
        <v>86.8</v>
      </c>
      <c r="E26" s="128" t="n">
        <v>26</v>
      </c>
      <c r="F26" s="127" t="n">
        <v>59.9</v>
      </c>
      <c r="G26" s="17" t="n">
        <v>18</v>
      </c>
      <c r="H26" s="129" t="n">
        <v>124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86A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29" t="n">
        <v>210</v>
      </c>
      <c r="D27" s="127" t="n">
        <v>86.8</v>
      </c>
      <c r="E27" s="128" t="n">
        <v>26</v>
      </c>
      <c r="F27" s="127" t="n">
        <v>59.9</v>
      </c>
      <c r="G27" s="17" t="n">
        <v>18</v>
      </c>
      <c r="H27" s="129" t="n">
        <v>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86A1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29" t="n">
        <v>210</v>
      </c>
      <c r="D28" s="127" t="n">
        <v>87.59999999999999</v>
      </c>
      <c r="E28" s="128" t="n">
        <v>26</v>
      </c>
      <c r="F28" s="127" t="n">
        <v>60</v>
      </c>
      <c r="G28" s="17" t="n">
        <v>18</v>
      </c>
      <c r="H28" s="129" t="n">
        <v>10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87B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29" t="n">
        <v>210</v>
      </c>
      <c r="D29" s="127" t="n">
        <v>88.3</v>
      </c>
      <c r="E29" s="128" t="n">
        <v>27</v>
      </c>
      <c r="F29" s="127" t="n">
        <v>59.6</v>
      </c>
      <c r="G29" s="17" t="n">
        <v>18</v>
      </c>
      <c r="H29" s="129" t="n">
        <v>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88C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삼오</t>
        </is>
      </c>
      <c r="B31" s="10" t="inlineStr">
        <is>
          <t>'96.02.</t>
        </is>
      </c>
      <c r="C31" s="129" t="n">
        <v>418</v>
      </c>
      <c r="D31" s="127" t="n">
        <v>76.09999999999999</v>
      </c>
      <c r="E31" s="128" t="n">
        <v>23</v>
      </c>
      <c r="F31" s="127" t="n">
        <v>60</v>
      </c>
      <c r="G31" s="17" t="n">
        <v>18</v>
      </c>
      <c r="H31" s="129" t="n">
        <v>190</v>
      </c>
      <c r="I31" s="130" t="n">
        <v>9500</v>
      </c>
      <c r="J31" s="130" t="inlineStr">
        <is>
          <t>7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29" t="n">
        <v>418</v>
      </c>
      <c r="D32" s="127" t="n">
        <v>107.3</v>
      </c>
      <c r="E32" s="128" t="n">
        <v>32</v>
      </c>
      <c r="F32" s="127" t="n">
        <v>84.5</v>
      </c>
      <c r="G32" s="17" t="n">
        <v>26</v>
      </c>
      <c r="H32" s="129" t="n">
        <v>204</v>
      </c>
      <c r="I32" s="130" t="n">
        <v>14000</v>
      </c>
      <c r="J32" s="130" t="inlineStr">
        <is>
          <t>16</t>
        </is>
      </c>
      <c r="K32" s="130" t="n">
        <v>11000</v>
      </c>
      <c r="L32" s="130" t="inlineStr">
        <is>
          <t>19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107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29" t="n">
        <v>418</v>
      </c>
      <c r="D33" s="127" t="n">
        <v>161.3</v>
      </c>
      <c r="E33" s="128" t="n">
        <v>49</v>
      </c>
      <c r="F33" s="127" t="n">
        <v>127</v>
      </c>
      <c r="G33" s="17" t="n">
        <v>38</v>
      </c>
      <c r="H33" s="129" t="n">
        <v>24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23">
      <formula>AV4="X"</formula>
    </cfRule>
    <cfRule type="expression" priority="436" dxfId="22">
      <formula>AV4="후보"</formula>
    </cfRule>
  </conditionalFormatting>
  <conditionalFormatting sqref="AC1:AC2 AC4:AC6 N4:N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N1:N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23">
      <formula>AV7="X"</formula>
    </cfRule>
    <cfRule type="expression" priority="415" dxfId="22">
      <formula>AV7="후보"</formula>
    </cfRule>
  </conditionalFormatting>
  <conditionalFormatting sqref="AC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23">
      <formula>AV8="X"</formula>
    </cfRule>
    <cfRule type="expression" priority="396" dxfId="22">
      <formula>AV8="후보"</formula>
    </cfRule>
  </conditionalFormatting>
  <conditionalFormatting sqref="AC8 N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9">
    <cfRule type="expression" priority="390" dxfId="23">
      <formula>AV9="X"</formula>
    </cfRule>
    <cfRule type="expression" priority="391" dxfId="22">
      <formula>AV9="후보"</formula>
    </cfRule>
  </conditionalFormatting>
  <conditionalFormatting sqref="AC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23">
      <formula>AV10="X"</formula>
    </cfRule>
    <cfRule type="expression" priority="372" dxfId="22">
      <formula>AV10="후보"</formula>
    </cfRule>
  </conditionalFormatting>
  <conditionalFormatting sqref="AC1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23">
      <formula>AV13="X"</formula>
    </cfRule>
    <cfRule type="expression" priority="315" dxfId="22">
      <formula>AV13="후보"</formula>
    </cfRule>
  </conditionalFormatting>
  <conditionalFormatting sqref="AC13 N1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 N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 N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6">
    <cfRule type="expression" priority="137" dxfId="23">
      <formula>AV26="X"</formula>
    </cfRule>
    <cfRule type="expression" priority="138" dxfId="22">
      <formula>AV26="후보"</formula>
    </cfRule>
  </conditionalFormatting>
  <conditionalFormatting sqref="AC2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23">
      <formula>AV27="X"</formula>
    </cfRule>
    <cfRule type="expression" priority="119" dxfId="22">
      <formula>AV27="후보"</formula>
    </cfRule>
  </conditionalFormatting>
  <conditionalFormatting sqref="AC2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KJ라미안</t>
        </is>
      </c>
      <c r="B6" s="10" t="inlineStr">
        <is>
          <t>'06.06.</t>
        </is>
      </c>
      <c r="C6" s="129" t="n">
        <v>360</v>
      </c>
      <c r="D6" s="127" t="n">
        <v>135.2</v>
      </c>
      <c r="E6" s="128" t="n">
        <v>41</v>
      </c>
      <c r="F6" s="127" t="n">
        <v>102.9</v>
      </c>
      <c r="G6" s="17" t="n">
        <v>31</v>
      </c>
      <c r="H6" s="129" t="n">
        <v>360</v>
      </c>
      <c r="I6" s="130" t="n">
        <v>36000</v>
      </c>
      <c r="J6" s="130" t="inlineStr">
        <is>
          <t>8</t>
        </is>
      </c>
      <c r="K6" s="130" t="n">
        <v>31000</v>
      </c>
      <c r="L6" s="130" t="inlineStr">
        <is>
          <t>10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135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비사벌(468-2)</t>
        </is>
      </c>
      <c r="B8" s="10" t="inlineStr">
        <is>
          <t>'84.02.</t>
        </is>
      </c>
      <c r="C8" s="129" t="n">
        <v>533</v>
      </c>
      <c r="D8" s="127" t="n">
        <v>48.5</v>
      </c>
      <c r="E8" s="128" t="n">
        <v>15</v>
      </c>
      <c r="F8" s="127" t="n">
        <v>39.9</v>
      </c>
      <c r="G8" s="17" t="n">
        <v>12</v>
      </c>
      <c r="H8" s="129" t="n">
        <v>40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48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29" t="n">
        <v>533</v>
      </c>
      <c r="D9" s="127" t="n">
        <v>59.8</v>
      </c>
      <c r="E9" s="128" t="n">
        <v>18</v>
      </c>
      <c r="F9" s="127" t="n">
        <v>50</v>
      </c>
      <c r="G9" s="17" t="n">
        <v>15</v>
      </c>
      <c r="H9" s="129" t="n">
        <v>120</v>
      </c>
      <c r="I9" s="130" t="n">
        <v>9500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복</t>
        </is>
      </c>
      <c r="T9" s="5" t="n">
        <v>59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29" t="n">
        <v>533</v>
      </c>
      <c r="D10" s="127" t="n">
        <v>64.5</v>
      </c>
      <c r="E10" s="128" t="n">
        <v>20</v>
      </c>
      <c r="F10" s="127" t="n">
        <v>58</v>
      </c>
      <c r="G10" s="17" t="n">
        <v>18</v>
      </c>
      <c r="H10" s="129" t="n">
        <v>65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inlineStr">
        <is>
          <t>64A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29" t="n">
        <v>533</v>
      </c>
      <c r="D11" s="127" t="n">
        <v>65.2</v>
      </c>
      <c r="E11" s="128" t="n">
        <v>20</v>
      </c>
      <c r="F11" s="127" t="n">
        <v>59.5</v>
      </c>
      <c r="G11" s="17" t="n">
        <v>18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65C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29" t="n">
        <v>533</v>
      </c>
      <c r="D12" s="127" t="n">
        <v>66.2</v>
      </c>
      <c r="E12" s="128" t="n">
        <v>20</v>
      </c>
      <c r="F12" s="127" t="n">
        <v>59.6</v>
      </c>
      <c r="G12" s="17" t="n">
        <v>18</v>
      </c>
      <c r="H12" s="129" t="n">
        <v>40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66B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29" t="n">
        <v>533</v>
      </c>
      <c r="D13" s="127" t="n">
        <v>69.59999999999999</v>
      </c>
      <c r="E13" s="128" t="n">
        <v>21</v>
      </c>
      <c r="F13" s="127" t="n">
        <v>59.9</v>
      </c>
      <c r="G13" s="17" t="n">
        <v>18</v>
      </c>
      <c r="H13" s="129" t="n">
        <v>40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69C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29" t="n">
        <v>533</v>
      </c>
      <c r="D14" s="127" t="n">
        <v>69.7</v>
      </c>
      <c r="E14" s="128" t="n">
        <v>21</v>
      </c>
      <c r="F14" s="127" t="n">
        <v>58.1</v>
      </c>
      <c r="G14" s="17" t="n">
        <v>18</v>
      </c>
      <c r="H14" s="129" t="n">
        <v>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69A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29" t="n">
        <v>533</v>
      </c>
      <c r="D15" s="127" t="n">
        <v>70.2</v>
      </c>
      <c r="E15" s="128" t="n">
        <v>21</v>
      </c>
      <c r="F15" s="127" t="n">
        <v>59.9</v>
      </c>
      <c r="G15" s="17" t="n">
        <v>18</v>
      </c>
      <c r="H15" s="129" t="n">
        <v>195</v>
      </c>
      <c r="I15" s="130" t="n">
        <v>12500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70B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송천우림</t>
        </is>
      </c>
      <c r="B17" s="10" t="inlineStr">
        <is>
          <t>'96.10.</t>
        </is>
      </c>
      <c r="C17" s="129" t="n">
        <v>417</v>
      </c>
      <c r="D17" s="127" t="n">
        <v>76.59999999999999</v>
      </c>
      <c r="E17" s="128" t="n">
        <v>23</v>
      </c>
      <c r="F17" s="127" t="n">
        <v>59.8</v>
      </c>
      <c r="G17" s="17" t="n">
        <v>18</v>
      </c>
      <c r="H17" s="129" t="n">
        <v>198</v>
      </c>
      <c r="I17" s="130" t="n">
        <v>13500</v>
      </c>
      <c r="J17" s="130" t="inlineStr">
        <is>
          <t>16</t>
        </is>
      </c>
      <c r="K17" s="130" t="n">
        <v>14000</v>
      </c>
      <c r="L17" s="130" t="inlineStr">
        <is>
          <t>16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29" t="n">
        <v>417</v>
      </c>
      <c r="D18" s="127" t="n">
        <v>94.2</v>
      </c>
      <c r="E18" s="128" t="n">
        <v>29</v>
      </c>
      <c r="F18" s="127" t="n">
        <v>73.59999999999999</v>
      </c>
      <c r="G18" s="17" t="n">
        <v>22</v>
      </c>
      <c r="H18" s="129" t="n">
        <v>20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94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29" t="n">
        <v>417</v>
      </c>
      <c r="D19" s="127" t="n">
        <v>108.7</v>
      </c>
      <c r="E19" s="128" t="n">
        <v>33</v>
      </c>
      <c r="F19" s="127" t="n">
        <v>84.90000000000001</v>
      </c>
      <c r="G19" s="17" t="n">
        <v>26</v>
      </c>
      <c r="H19" s="129" t="n">
        <v>119</v>
      </c>
      <c r="I19" s="130" t="n">
        <v>20000</v>
      </c>
      <c r="J19" s="130" t="inlineStr">
        <is>
          <t>11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29" t="n">
        <v>417</v>
      </c>
      <c r="D20" s="127" t="n">
        <v>108.4</v>
      </c>
      <c r="E20" s="128" t="n">
        <v>33</v>
      </c>
      <c r="F20" s="127" t="n">
        <v>84.59999999999999</v>
      </c>
      <c r="G20" s="17" t="n">
        <v>26</v>
      </c>
      <c r="H20" s="129" t="n">
        <v>20</v>
      </c>
      <c r="I20" s="130" t="n">
        <v>20000</v>
      </c>
      <c r="J20" s="130" t="inlineStr">
        <is>
          <t>고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29" t="n">
        <v>417</v>
      </c>
      <c r="D21" s="127" t="n">
        <v>108.7</v>
      </c>
      <c r="E21" s="128" t="n">
        <v>33</v>
      </c>
      <c r="F21" s="127" t="n">
        <v>84.90000000000001</v>
      </c>
      <c r="G21" s="17" t="n">
        <v>26</v>
      </c>
      <c r="H21" s="129" t="n">
        <v>20</v>
      </c>
      <c r="I21" s="130" t="n">
        <v>20000</v>
      </c>
      <c r="J21" s="130" t="inlineStr">
        <is>
          <t>11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108C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29" t="n">
        <v>417</v>
      </c>
      <c r="D22" s="127" t="n">
        <v>126.8</v>
      </c>
      <c r="E22" s="128" t="n">
        <v>38</v>
      </c>
      <c r="F22" s="127" t="n">
        <v>102.4</v>
      </c>
      <c r="G22" s="17" t="n">
        <v>31</v>
      </c>
      <c r="H22" s="129" t="n">
        <v>40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서호2단지</t>
        </is>
      </c>
      <c r="B24" s="10" t="inlineStr">
        <is>
          <t>'95.11.</t>
        </is>
      </c>
      <c r="C24" s="129" t="n">
        <v>394</v>
      </c>
      <c r="D24" s="127" t="n">
        <v>84.7</v>
      </c>
      <c r="E24" s="128" t="n">
        <v>26</v>
      </c>
      <c r="F24" s="127" t="n">
        <v>59.9</v>
      </c>
      <c r="G24" s="17" t="n">
        <v>18</v>
      </c>
      <c r="H24" s="129" t="n">
        <v>174</v>
      </c>
      <c r="I24" s="130" t="n">
        <v>12000</v>
      </c>
      <c r="J24" s="130" t="inlineStr">
        <is>
          <t>고</t>
        </is>
      </c>
      <c r="K24" s="130" t="n">
        <v>12000</v>
      </c>
      <c r="L24" s="130" t="inlineStr">
        <is>
          <t>19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계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29" t="n">
        <v>394</v>
      </c>
      <c r="D25" s="127" t="n">
        <v>105.7</v>
      </c>
      <c r="E25" s="128" t="n">
        <v>32</v>
      </c>
      <c r="F25" s="127" t="n">
        <v>84.90000000000001</v>
      </c>
      <c r="G25" s="17" t="n">
        <v>26</v>
      </c>
      <c r="H25" s="129" t="n">
        <v>199</v>
      </c>
      <c r="I25" s="130" t="n">
        <v>19000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29" t="n">
        <v>394</v>
      </c>
      <c r="D26" s="127" t="n">
        <v>107.6</v>
      </c>
      <c r="E26" s="128" t="n">
        <v>33</v>
      </c>
      <c r="F26" s="127" t="n">
        <v>85</v>
      </c>
      <c r="G26" s="17" t="n">
        <v>26</v>
      </c>
      <c r="H26" s="129" t="n">
        <v>21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29" t="n">
        <v>520</v>
      </c>
      <c r="D28" s="127" t="n">
        <v>115.3</v>
      </c>
      <c r="E28" s="128" t="n">
        <v>35</v>
      </c>
      <c r="F28" s="127" t="n">
        <v>84.90000000000001</v>
      </c>
      <c r="G28" s="17" t="n">
        <v>26</v>
      </c>
      <c r="H28" s="129" t="n">
        <v>91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115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29" t="n">
        <v>520</v>
      </c>
      <c r="D29" s="127" t="n">
        <v>131.1</v>
      </c>
      <c r="E29" s="128" t="n">
        <v>40</v>
      </c>
      <c r="F29" s="127" t="n">
        <v>101.1</v>
      </c>
      <c r="G29" s="17" t="n">
        <v>31</v>
      </c>
      <c r="H29" s="129" t="n">
        <v>61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131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29" t="n">
        <v>520</v>
      </c>
      <c r="D30" s="127" t="n">
        <v>144.6</v>
      </c>
      <c r="E30" s="128" t="n">
        <v>44</v>
      </c>
      <c r="F30" s="127" t="n">
        <v>112.9</v>
      </c>
      <c r="G30" s="17" t="n">
        <v>34</v>
      </c>
      <c r="H30" s="129" t="n">
        <v>218</v>
      </c>
      <c r="I30" s="130" t="n">
        <v>46500</v>
      </c>
      <c r="J30" s="130" t="inlineStr">
        <is>
          <t>중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29" t="n">
        <v>520</v>
      </c>
      <c r="D31" s="127" t="n">
        <v>184.4</v>
      </c>
      <c r="E31" s="128" t="n">
        <v>56</v>
      </c>
      <c r="F31" s="127" t="n">
        <v>143.8</v>
      </c>
      <c r="G31" s="17" t="n">
        <v>43</v>
      </c>
      <c r="H31" s="129" t="n">
        <v>140</v>
      </c>
      <c r="I31" s="130" t="n">
        <v>55000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184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29" t="n">
        <v>520</v>
      </c>
      <c r="D32" s="127" t="n">
        <v>234.8</v>
      </c>
      <c r="E32" s="128" t="n">
        <v>71</v>
      </c>
      <c r="F32" s="127" t="n">
        <v>182.3</v>
      </c>
      <c r="G32" s="17" t="n">
        <v>55</v>
      </c>
      <c r="H32" s="129" t="n">
        <v>10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3</v>
      </c>
      <c r="S32" s="117" t="inlineStr">
        <is>
          <t>계</t>
        </is>
      </c>
      <c r="T32" s="5" t="n">
        <v>234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29" t="n">
        <v>478</v>
      </c>
      <c r="D34" s="127" t="n">
        <v>135.5</v>
      </c>
      <c r="E34" s="128" t="n">
        <v>41</v>
      </c>
      <c r="F34" s="127" t="n">
        <v>101.9</v>
      </c>
      <c r="G34" s="17" t="n">
        <v>31</v>
      </c>
      <c r="H34" s="129" t="n">
        <v>118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135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29" t="n">
        <v>478</v>
      </c>
      <c r="D35" s="127" t="n">
        <v>164.5</v>
      </c>
      <c r="E35" s="128" t="n">
        <v>50</v>
      </c>
      <c r="F35" s="127" t="n">
        <v>126.5</v>
      </c>
      <c r="G35" s="17" t="n">
        <v>38</v>
      </c>
      <c r="H35" s="129" t="n">
        <v>168</v>
      </c>
      <c r="I35" s="130" t="n">
        <v>67000</v>
      </c>
      <c r="J35" s="130" t="inlineStr">
        <is>
          <t>12</t>
        </is>
      </c>
      <c r="K35" s="130" t="n">
        <v>54000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164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29" t="n">
        <v>478</v>
      </c>
      <c r="D36" s="127" t="n">
        <v>191.6</v>
      </c>
      <c r="E36" s="128" t="n">
        <v>58</v>
      </c>
      <c r="F36" s="127" t="n">
        <v>154</v>
      </c>
      <c r="G36" s="17" t="n">
        <v>47</v>
      </c>
      <c r="H36" s="129" t="n">
        <v>144</v>
      </c>
      <c r="I36" s="130" t="n">
        <v>78000</v>
      </c>
      <c r="J36" s="130" t="inlineStr">
        <is>
          <t>8</t>
        </is>
      </c>
      <c r="K36" s="130" t="n">
        <v>58000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191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29" t="n">
        <v>478</v>
      </c>
      <c r="D37" s="127" t="n">
        <v>217</v>
      </c>
      <c r="E37" s="128" t="n">
        <v>66</v>
      </c>
      <c r="F37" s="127" t="n">
        <v>183.8</v>
      </c>
      <c r="G37" s="17" t="n">
        <v>56</v>
      </c>
      <c r="H37" s="129" t="n">
        <v>48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216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벽산e-리버파크</t>
        </is>
      </c>
      <c r="B39" s="10" t="inlineStr">
        <is>
          <t>'13.10.</t>
        </is>
      </c>
      <c r="C39" s="129" t="n">
        <v>464</v>
      </c>
      <c r="D39" s="127" t="n">
        <v>110.9</v>
      </c>
      <c r="E39" s="128" t="n">
        <v>34</v>
      </c>
      <c r="F39" s="127" t="n">
        <v>84.90000000000001</v>
      </c>
      <c r="G39" s="17" t="n">
        <v>26</v>
      </c>
      <c r="H39" s="129" t="n">
        <v>180</v>
      </c>
      <c r="I39" s="130" t="n">
        <v>36000</v>
      </c>
      <c r="J39" s="130" t="inlineStr">
        <is>
          <t>8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29" t="n">
        <v>464</v>
      </c>
      <c r="D40" s="127" t="n">
        <v>110.1</v>
      </c>
      <c r="E40" s="128" t="n">
        <v>33</v>
      </c>
      <c r="F40" s="127" t="n">
        <v>85</v>
      </c>
      <c r="G40" s="17" t="n">
        <v>26</v>
      </c>
      <c r="H40" s="129" t="n">
        <v>160</v>
      </c>
      <c r="I40" s="130" t="n">
        <v>35500</v>
      </c>
      <c r="J40" s="130" t="inlineStr">
        <is>
          <t>고</t>
        </is>
      </c>
      <c r="K40" s="130" t="n">
        <v>33000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110A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29" t="n">
        <v>464</v>
      </c>
      <c r="D41" s="127" t="n">
        <v>110.5</v>
      </c>
      <c r="E41" s="128" t="n">
        <v>33</v>
      </c>
      <c r="F41" s="127" t="n">
        <v>84.90000000000001</v>
      </c>
      <c r="G41" s="17" t="n">
        <v>26</v>
      </c>
      <c r="H41" s="129" t="n">
        <v>124</v>
      </c>
      <c r="I41" s="130" t="n">
        <v>32300</v>
      </c>
      <c r="J41" s="130" t="inlineStr">
        <is>
          <t>중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110C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한양</t>
        </is>
      </c>
      <c r="B43" s="10" t="inlineStr">
        <is>
          <t>'93.05.</t>
        </is>
      </c>
      <c r="C43" s="129" t="n">
        <v>782</v>
      </c>
      <c r="D43" s="127" t="n">
        <v>90.90000000000001</v>
      </c>
      <c r="E43" s="128" t="n">
        <v>28</v>
      </c>
      <c r="F43" s="127" t="n">
        <v>75.2</v>
      </c>
      <c r="G43" s="17" t="n">
        <v>23</v>
      </c>
      <c r="H43" s="129" t="n">
        <v>165</v>
      </c>
      <c r="I43" s="130" t="n">
        <v>14000</v>
      </c>
      <c r="J43" s="130" t="inlineStr">
        <is>
          <t>15</t>
        </is>
      </c>
      <c r="K43" s="130" t="n">
        <v>12000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inlineStr">
        <is>
          <t>90A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29" t="n">
        <v>782</v>
      </c>
      <c r="D44" s="127" t="n">
        <v>91.2</v>
      </c>
      <c r="E44" s="128" t="n">
        <v>28</v>
      </c>
      <c r="F44" s="127" t="n">
        <v>75.40000000000001</v>
      </c>
      <c r="G44" s="17" t="n">
        <v>23</v>
      </c>
      <c r="H44" s="129" t="n">
        <v>15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inlineStr">
        <is>
          <t>91B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29" t="n">
        <v>782</v>
      </c>
      <c r="D45" s="127" t="n">
        <v>102.3</v>
      </c>
      <c r="E45" s="128" t="n">
        <v>31</v>
      </c>
      <c r="F45" s="127" t="n">
        <v>84.59999999999999</v>
      </c>
      <c r="G45" s="17" t="n">
        <v>26</v>
      </c>
      <c r="H45" s="129" t="n">
        <v>395</v>
      </c>
      <c r="I45" s="130" t="n">
        <v>16500</v>
      </c>
      <c r="J45" s="130" t="inlineStr">
        <is>
          <t>5</t>
        </is>
      </c>
      <c r="K45" s="130" t="n">
        <v>16000</v>
      </c>
      <c r="L45" s="130" t="inlineStr">
        <is>
          <t>10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102B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29" t="n">
        <v>782</v>
      </c>
      <c r="D46" s="127" t="n">
        <v>102.2</v>
      </c>
      <c r="E46" s="128" t="n">
        <v>31</v>
      </c>
      <c r="F46" s="127" t="n">
        <v>84.5</v>
      </c>
      <c r="G46" s="17" t="n">
        <v>26</v>
      </c>
      <c r="H46" s="129" t="n">
        <v>45</v>
      </c>
      <c r="I46" s="130" t="n">
        <v>16000</v>
      </c>
      <c r="J46" s="130" t="inlineStr">
        <is>
          <t>12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29" t="n">
        <v>782</v>
      </c>
      <c r="D47" s="127" t="n">
        <v>141.2</v>
      </c>
      <c r="E47" s="128" t="n">
        <v>43</v>
      </c>
      <c r="F47" s="127" t="n">
        <v>116.7</v>
      </c>
      <c r="G47" s="17" t="n">
        <v>35</v>
      </c>
      <c r="H47" s="129" t="n">
        <v>162</v>
      </c>
      <c r="I47" s="130" t="n">
        <v>21200</v>
      </c>
      <c r="J47" s="130" t="inlineStr">
        <is>
          <t>6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141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0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송천자이</t>
        </is>
      </c>
      <c r="B49" s="10" t="inlineStr">
        <is>
          <t>'06.06.</t>
        </is>
      </c>
      <c r="C49" s="129" t="n">
        <v>428</v>
      </c>
      <c r="D49" s="127" t="n">
        <v>113.2</v>
      </c>
      <c r="E49" s="128" t="n">
        <v>34</v>
      </c>
      <c r="F49" s="127" t="n">
        <v>85</v>
      </c>
      <c r="G49" s="17" t="n">
        <v>26</v>
      </c>
      <c r="H49" s="129" t="n">
        <v>324</v>
      </c>
      <c r="I49" s="130" t="n">
        <v>34300</v>
      </c>
      <c r="J49" s="130" t="inlineStr">
        <is>
          <t>19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113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29" t="n">
        <v>428</v>
      </c>
      <c r="D50" s="127" t="n">
        <v>157.8</v>
      </c>
      <c r="E50" s="128" t="n">
        <v>48</v>
      </c>
      <c r="F50" s="127" t="n">
        <v>125.6</v>
      </c>
      <c r="G50" s="17" t="n">
        <v>38</v>
      </c>
      <c r="H50" s="129" t="n">
        <v>104</v>
      </c>
      <c r="I50" s="130" t="n">
        <v>46000</v>
      </c>
      <c r="J50" s="130" t="inlineStr">
        <is>
          <t>17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157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29" t="n">
        <v>304</v>
      </c>
      <c r="D52" s="127" t="n">
        <v>135.8</v>
      </c>
      <c r="E52" s="128" t="n">
        <v>41</v>
      </c>
      <c r="F52" s="127" t="n">
        <v>101.9</v>
      </c>
      <c r="G52" s="17" t="n">
        <v>31</v>
      </c>
      <c r="H52" s="129" t="n">
        <v>197</v>
      </c>
      <c r="I52" s="130" t="n">
        <v>54500</v>
      </c>
      <c r="J52" s="130" t="inlineStr">
        <is>
          <t>9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135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29" t="n">
        <v>304</v>
      </c>
      <c r="D53" s="127" t="n">
        <v>165.6</v>
      </c>
      <c r="E53" s="128" t="n">
        <v>50</v>
      </c>
      <c r="F53" s="127" t="n">
        <v>126.5</v>
      </c>
      <c r="G53" s="17" t="n">
        <v>38</v>
      </c>
      <c r="H53" s="129" t="n">
        <v>107</v>
      </c>
      <c r="I53" s="130" t="n">
        <v>61000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성원무지개</t>
        </is>
      </c>
      <c r="B55" s="10" t="inlineStr">
        <is>
          <t>'88.01.</t>
        </is>
      </c>
      <c r="C55" s="129" t="n">
        <v>317</v>
      </c>
      <c r="D55" s="127" t="n">
        <v>69.7</v>
      </c>
      <c r="E55" s="128" t="n">
        <v>21</v>
      </c>
      <c r="F55" s="127" t="n">
        <v>59.9</v>
      </c>
      <c r="G55" s="17" t="n">
        <v>18</v>
      </c>
      <c r="H55" s="129" t="n">
        <v>314</v>
      </c>
      <c r="I55" s="130" t="n">
        <v>13000</v>
      </c>
      <c r="J55" s="130" t="inlineStr">
        <is>
          <t>5</t>
        </is>
      </c>
      <c r="K55" s="130" t="n">
        <v>5000</v>
      </c>
      <c r="L55" s="130" t="inlineStr">
        <is>
          <t>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2</v>
      </c>
      <c r="R55" s="117" t="n">
        <v>1</v>
      </c>
      <c r="S55" s="117" t="inlineStr">
        <is>
          <t>계</t>
        </is>
      </c>
      <c r="T55" s="5" t="n">
        <v>69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29" t="n">
        <v>317</v>
      </c>
      <c r="D56" s="127" t="n">
        <v>71.3</v>
      </c>
      <c r="E56" s="128" t="n">
        <v>22</v>
      </c>
      <c r="F56" s="127" t="n">
        <v>59.2</v>
      </c>
      <c r="G56" s="17" t="n">
        <v>18</v>
      </c>
      <c r="H56" s="129" t="n">
        <v>3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용소마을제일</t>
        </is>
      </c>
      <c r="B58" s="10" t="inlineStr">
        <is>
          <t>'99.10.</t>
        </is>
      </c>
      <c r="C58" s="129" t="n">
        <v>272</v>
      </c>
      <c r="D58" s="127" t="n">
        <v>105.9</v>
      </c>
      <c r="E58" s="128" t="n">
        <v>32</v>
      </c>
      <c r="F58" s="127" t="n">
        <v>85</v>
      </c>
      <c r="G58" s="17" t="n">
        <v>26</v>
      </c>
      <c r="H58" s="129" t="n">
        <v>134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29" t="n">
        <v>272</v>
      </c>
      <c r="D59" s="127" t="n">
        <v>123.9</v>
      </c>
      <c r="E59" s="128" t="n">
        <v>37</v>
      </c>
      <c r="F59" s="127" t="n">
        <v>99.8</v>
      </c>
      <c r="G59" s="17" t="n">
        <v>30</v>
      </c>
      <c r="H59" s="129" t="n">
        <v>87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123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29" t="n">
        <v>272</v>
      </c>
      <c r="D60" s="127" t="n">
        <v>162.3</v>
      </c>
      <c r="E60" s="128" t="n">
        <v>49</v>
      </c>
      <c r="F60" s="127" t="n">
        <v>135</v>
      </c>
      <c r="G60" s="17" t="n">
        <v>41</v>
      </c>
      <c r="H60" s="129" t="n">
        <v>51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162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진흥더블파크</t>
        </is>
      </c>
      <c r="B62" s="10" t="inlineStr">
        <is>
          <t>'08.04.</t>
        </is>
      </c>
      <c r="C62" s="129" t="n">
        <v>900</v>
      </c>
      <c r="D62" s="127" t="n">
        <v>114.7</v>
      </c>
      <c r="E62" s="128" t="n">
        <v>35</v>
      </c>
      <c r="F62" s="127" t="n">
        <v>85</v>
      </c>
      <c r="G62" s="17" t="n">
        <v>26</v>
      </c>
      <c r="H62" s="129" t="n">
        <v>612</v>
      </c>
      <c r="I62" s="130" t="n">
        <v>36000</v>
      </c>
      <c r="J62" s="130" t="inlineStr">
        <is>
          <t>12</t>
        </is>
      </c>
      <c r="K62" s="130" t="n">
        <v>35000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114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29" t="n">
        <v>900</v>
      </c>
      <c r="D63" s="127" t="n">
        <v>151.8</v>
      </c>
      <c r="E63" s="128" t="n">
        <v>46</v>
      </c>
      <c r="F63" s="127" t="n">
        <v>122</v>
      </c>
      <c r="G63" s="17" t="n">
        <v>37</v>
      </c>
      <c r="H63" s="129" t="n">
        <v>216</v>
      </c>
      <c r="I63" s="130" t="n">
        <v>49500</v>
      </c>
      <c r="J63" s="130" t="inlineStr">
        <is>
          <t>11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151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29" t="n">
        <v>900</v>
      </c>
      <c r="D64" s="127" t="n">
        <v>187.9</v>
      </c>
      <c r="E64" s="128" t="n">
        <v>57</v>
      </c>
      <c r="F64" s="127" t="n">
        <v>155.7</v>
      </c>
      <c r="G64" s="17" t="n">
        <v>47</v>
      </c>
      <c r="H64" s="129" t="n">
        <v>72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187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삼성</t>
        </is>
      </c>
      <c r="B66" s="10" t="inlineStr">
        <is>
          <t>'90.11.</t>
        </is>
      </c>
      <c r="C66" s="129" t="n">
        <v>261</v>
      </c>
      <c r="D66" s="127" t="n">
        <v>75.7</v>
      </c>
      <c r="E66" s="128" t="n">
        <v>23</v>
      </c>
      <c r="F66" s="127" t="n">
        <v>54.9</v>
      </c>
      <c r="G66" s="17" t="n">
        <v>17</v>
      </c>
      <c r="H66" s="129" t="n">
        <v>30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복</t>
        </is>
      </c>
      <c r="T66" s="5" t="n">
        <v>75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29" t="n">
        <v>261</v>
      </c>
      <c r="D67" s="127" t="n">
        <v>82.3</v>
      </c>
      <c r="E67" s="128" t="n">
        <v>25</v>
      </c>
      <c r="F67" s="127" t="n">
        <v>59.7</v>
      </c>
      <c r="G67" s="17" t="n">
        <v>18</v>
      </c>
      <c r="H67" s="129" t="n">
        <v>231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복</t>
        </is>
      </c>
      <c r="T67" s="5" t="n">
        <v>82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29" t="n">
        <v>468</v>
      </c>
      <c r="D69" s="127" t="n">
        <v>105.9</v>
      </c>
      <c r="E69" s="128" t="n">
        <v>32</v>
      </c>
      <c r="F69" s="127" t="n">
        <v>84.8</v>
      </c>
      <c r="G69" s="17" t="n">
        <v>26</v>
      </c>
      <c r="H69" s="129" t="n">
        <v>118</v>
      </c>
      <c r="I69" s="130" t="n">
        <v>37500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29" t="n">
        <v>468</v>
      </c>
      <c r="D70" s="127" t="n">
        <v>125.7</v>
      </c>
      <c r="E70" s="128" t="n">
        <v>38</v>
      </c>
      <c r="F70" s="127" t="n">
        <v>100</v>
      </c>
      <c r="G70" s="17" t="n">
        <v>30</v>
      </c>
      <c r="H70" s="129" t="n">
        <v>60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125B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29" t="n">
        <v>468</v>
      </c>
      <c r="D71" s="127" t="n">
        <v>127.4</v>
      </c>
      <c r="E71" s="128" t="n">
        <v>39</v>
      </c>
      <c r="F71" s="127" t="n">
        <v>103.2</v>
      </c>
      <c r="G71" s="17" t="n">
        <v>31</v>
      </c>
      <c r="H71" s="129" t="n">
        <v>180</v>
      </c>
      <c r="I71" s="130" t="n">
        <v>55500</v>
      </c>
      <c r="J71" s="130" t="inlineStr">
        <is>
          <t>15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127A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29" t="n">
        <v>468</v>
      </c>
      <c r="D72" s="127" t="n">
        <v>149.4</v>
      </c>
      <c r="E72" s="128" t="n">
        <v>45</v>
      </c>
      <c r="F72" s="127" t="n">
        <v>117.1</v>
      </c>
      <c r="G72" s="17" t="n">
        <v>35</v>
      </c>
      <c r="H72" s="129" t="n">
        <v>110</v>
      </c>
      <c r="I72" s="130" t="n">
        <v>51000</v>
      </c>
      <c r="J72" s="130" t="inlineStr">
        <is>
          <t>고</t>
        </is>
      </c>
      <c r="K72" s="130" t="n">
        <v>38000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27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2" t="n"/>
      <c r="P73" s="132" t="n"/>
      <c r="Q73" s="128" t="n"/>
      <c r="R73" s="128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0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송천KCC스위첸</t>
        </is>
      </c>
      <c r="B74" s="10" t="inlineStr">
        <is>
          <t>'16.11.</t>
        </is>
      </c>
      <c r="C74" s="129" t="n">
        <v>480</v>
      </c>
      <c r="D74" s="127" t="n">
        <v>109.9</v>
      </c>
      <c r="E74" s="128" t="n">
        <v>33</v>
      </c>
      <c r="F74" s="127" t="n">
        <v>84.90000000000001</v>
      </c>
      <c r="G74" s="17" t="n">
        <v>26</v>
      </c>
      <c r="H74" s="129" t="n">
        <v>129</v>
      </c>
      <c r="I74" s="130" t="n">
        <v>47000</v>
      </c>
      <c r="J74" s="130" t="inlineStr">
        <is>
          <t>중</t>
        </is>
      </c>
      <c r="K74" s="130" t="n">
        <v>39000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109A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29" t="n">
        <v>480</v>
      </c>
      <c r="D75" s="127" t="n">
        <v>109.9</v>
      </c>
      <c r="E75" s="128" t="n">
        <v>33</v>
      </c>
      <c r="F75" s="127" t="n">
        <v>84.90000000000001</v>
      </c>
      <c r="G75" s="17" t="n">
        <v>26</v>
      </c>
      <c r="H75" s="129" t="n">
        <v>129</v>
      </c>
      <c r="I75" s="130" t="n">
        <v>47000</v>
      </c>
      <c r="J75" s="130" t="inlineStr">
        <is>
          <t>중</t>
        </is>
      </c>
      <c r="K75" s="130" t="n">
        <v>39000</v>
      </c>
      <c r="L75" s="130" t="inlineStr">
        <is>
          <t>13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109A1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29" t="n">
        <v>480</v>
      </c>
      <c r="D76" s="127" t="n">
        <v>110.3</v>
      </c>
      <c r="E76" s="128" t="n">
        <v>33</v>
      </c>
      <c r="F76" s="127" t="n">
        <v>84.90000000000001</v>
      </c>
      <c r="G76" s="17" t="n">
        <v>26</v>
      </c>
      <c r="H76" s="129" t="n">
        <v>222</v>
      </c>
      <c r="I76" s="130" t="n">
        <v>45000</v>
      </c>
      <c r="J76" s="130" t="inlineStr">
        <is>
          <t>5</t>
        </is>
      </c>
      <c r="K76" s="130" t="n">
        <v>39000</v>
      </c>
      <c r="L76" s="130" t="inlineStr">
        <is>
          <t>8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110B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현대2차</t>
        </is>
      </c>
      <c r="B78" s="10" t="inlineStr">
        <is>
          <t>'97.05.</t>
        </is>
      </c>
      <c r="C78" s="129" t="n">
        <v>585</v>
      </c>
      <c r="D78" s="127" t="n">
        <v>79.3</v>
      </c>
      <c r="E78" s="128" t="n">
        <v>24</v>
      </c>
      <c r="F78" s="127" t="n">
        <v>60</v>
      </c>
      <c r="G78" s="17" t="n">
        <v>18</v>
      </c>
      <c r="H78" s="129" t="n">
        <v>262</v>
      </c>
      <c r="I78" s="130" t="n">
        <v>18500</v>
      </c>
      <c r="J78" s="130" t="inlineStr">
        <is>
          <t>19</t>
        </is>
      </c>
      <c r="K78" s="130" t="n">
        <v>17000</v>
      </c>
      <c r="L78" s="130" t="inlineStr">
        <is>
          <t>14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79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29" t="n">
        <v>585</v>
      </c>
      <c r="D79" s="127" t="n">
        <v>96</v>
      </c>
      <c r="E79" s="128" t="n">
        <v>29</v>
      </c>
      <c r="F79" s="127" t="n">
        <v>75.09999999999999</v>
      </c>
      <c r="G79" s="17" t="n">
        <v>23</v>
      </c>
      <c r="H79" s="129" t="n">
        <v>108</v>
      </c>
      <c r="I79" s="130" t="n">
        <v>21500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96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29" t="n">
        <v>585</v>
      </c>
      <c r="D80" s="127" t="n">
        <v>106.7</v>
      </c>
      <c r="E80" s="128" t="n">
        <v>32</v>
      </c>
      <c r="F80" s="127" t="n">
        <v>85</v>
      </c>
      <c r="G80" s="17" t="n">
        <v>26</v>
      </c>
      <c r="H80" s="129" t="n">
        <v>215</v>
      </c>
      <c r="I80" s="130" t="n">
        <v>23800</v>
      </c>
      <c r="J80" s="130" t="inlineStr">
        <is>
          <t>18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106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서호1단지</t>
        </is>
      </c>
      <c r="B82" s="10" t="inlineStr">
        <is>
          <t>'92.11.</t>
        </is>
      </c>
      <c r="C82" s="129" t="n">
        <v>480</v>
      </c>
      <c r="D82" s="127" t="n">
        <v>102</v>
      </c>
      <c r="E82" s="128" t="n">
        <v>31</v>
      </c>
      <c r="F82" s="127" t="n">
        <v>84.59999999999999</v>
      </c>
      <c r="G82" s="17" t="n">
        <v>26</v>
      </c>
      <c r="H82" s="129" t="n">
        <v>210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101A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29" t="n">
        <v>480</v>
      </c>
      <c r="D83" s="127" t="n">
        <v>102.4</v>
      </c>
      <c r="E83" s="128" t="n">
        <v>31</v>
      </c>
      <c r="F83" s="127" t="n">
        <v>84.7</v>
      </c>
      <c r="G83" s="17" t="n">
        <v>26</v>
      </c>
      <c r="H83" s="129" t="n">
        <v>150</v>
      </c>
      <c r="I83" s="130" t="n">
        <v>19000</v>
      </c>
      <c r="J83" s="130" t="inlineStr">
        <is>
          <t>9</t>
        </is>
      </c>
      <c r="K83" s="130" t="n">
        <v>17500</v>
      </c>
      <c r="L83" s="130" t="inlineStr">
        <is>
          <t>15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29" t="n">
        <v>480</v>
      </c>
      <c r="D84" s="127" t="n">
        <v>152.8</v>
      </c>
      <c r="E84" s="128" t="n">
        <v>46</v>
      </c>
      <c r="F84" s="127" t="n">
        <v>130.9</v>
      </c>
      <c r="G84" s="17" t="n">
        <v>40</v>
      </c>
      <c r="H84" s="129" t="n">
        <v>60</v>
      </c>
      <c r="I84" s="130" t="n">
        <v>25000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4</v>
      </c>
      <c r="R84" s="117" t="n">
        <v>2</v>
      </c>
      <c r="S84" s="117" t="inlineStr">
        <is>
          <t>계</t>
        </is>
      </c>
      <c r="T84" s="5" t="n">
        <v>152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29" t="n">
        <v>480</v>
      </c>
      <c r="D85" s="127" t="n">
        <v>194</v>
      </c>
      <c r="E85" s="128" t="n">
        <v>59</v>
      </c>
      <c r="F85" s="127" t="n">
        <v>164.9</v>
      </c>
      <c r="G85" s="17" t="n">
        <v>50</v>
      </c>
      <c r="H85" s="129" t="n">
        <v>60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5</v>
      </c>
      <c r="R85" s="117" t="n">
        <v>3</v>
      </c>
      <c r="S85" s="117" t="inlineStr">
        <is>
          <t>계</t>
        </is>
      </c>
      <c r="T85" s="5" t="n">
        <v>193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송천신일</t>
        </is>
      </c>
      <c r="B87" s="10" t="inlineStr">
        <is>
          <t>'93.12.</t>
        </is>
      </c>
      <c r="C87" s="129" t="n">
        <v>753</v>
      </c>
      <c r="D87" s="127" t="n">
        <v>81</v>
      </c>
      <c r="E87" s="128" t="n">
        <v>24</v>
      </c>
      <c r="F87" s="127" t="n">
        <v>59.9</v>
      </c>
      <c r="G87" s="17" t="n">
        <v>18</v>
      </c>
      <c r="H87" s="129" t="n">
        <v>273</v>
      </c>
      <c r="I87" s="130" t="n">
        <v>12500</v>
      </c>
      <c r="J87" s="130" t="inlineStr">
        <is>
          <t>10</t>
        </is>
      </c>
      <c r="K87" s="130" t="n">
        <v>11500</v>
      </c>
      <c r="L87" s="130" t="inlineStr">
        <is>
          <t>14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복</t>
        </is>
      </c>
      <c r="T87" s="5" t="n">
        <v>80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29" t="n">
        <v>753</v>
      </c>
      <c r="D88" s="127" t="n">
        <v>103.8</v>
      </c>
      <c r="E88" s="128" t="n">
        <v>31</v>
      </c>
      <c r="F88" s="127" t="n">
        <v>84.8</v>
      </c>
      <c r="G88" s="17" t="n">
        <v>26</v>
      </c>
      <c r="H88" s="129" t="n">
        <v>39</v>
      </c>
      <c r="I88" s="130" t="n">
        <v>21500</v>
      </c>
      <c r="J88" s="130" t="inlineStr">
        <is>
          <t>18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103A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29" t="n">
        <v>753</v>
      </c>
      <c r="D89" s="127" t="n">
        <v>104.1</v>
      </c>
      <c r="E89" s="128" t="n">
        <v>31</v>
      </c>
      <c r="F89" s="127" t="n">
        <v>85</v>
      </c>
      <c r="G89" s="17" t="n">
        <v>26</v>
      </c>
      <c r="H89" s="129" t="n">
        <v>281</v>
      </c>
      <c r="I89" s="130" t="n">
        <v>20000</v>
      </c>
      <c r="J89" s="130" t="inlineStr">
        <is>
          <t>20</t>
        </is>
      </c>
      <c r="K89" s="130" t="n">
        <v>19500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104B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29" t="n">
        <v>753</v>
      </c>
      <c r="D90" s="127" t="n">
        <v>152.9</v>
      </c>
      <c r="E90" s="128" t="n">
        <v>46</v>
      </c>
      <c r="F90" s="127" t="n">
        <v>130.4</v>
      </c>
      <c r="G90" s="17" t="n">
        <v>39</v>
      </c>
      <c r="H90" s="129" t="n">
        <v>160</v>
      </c>
      <c r="I90" s="130" t="n">
        <v>30000</v>
      </c>
      <c r="J90" s="130" t="inlineStr">
        <is>
          <t>13</t>
        </is>
      </c>
      <c r="K90" s="130" t="n">
        <v>30000</v>
      </c>
      <c r="L90" s="130" t="inlineStr">
        <is>
          <t>16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4</v>
      </c>
      <c r="R90" s="117" t="n">
        <v>2</v>
      </c>
      <c r="S90" s="117" t="inlineStr">
        <is>
          <t>계</t>
        </is>
      </c>
      <c r="T90" s="5" t="n">
        <v>152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27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2" t="n"/>
      <c r="P91" s="132" t="n"/>
      <c r="Q91" s="128" t="n"/>
      <c r="R91" s="128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0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29" t="n">
        <v>396</v>
      </c>
      <c r="D92" s="127" t="n">
        <v>109.9</v>
      </c>
      <c r="E92" s="128" t="n">
        <v>33</v>
      </c>
      <c r="F92" s="127" t="n">
        <v>84.8</v>
      </c>
      <c r="G92" s="17" t="n">
        <v>26</v>
      </c>
      <c r="H92" s="129" t="n">
        <v>374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109A</t>
        </is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29" t="n">
        <v>396</v>
      </c>
      <c r="D93" s="127" t="n">
        <v>110.8</v>
      </c>
      <c r="E93" s="128" t="n">
        <v>34</v>
      </c>
      <c r="F93" s="127" t="n">
        <v>84.7</v>
      </c>
      <c r="G93" s="17" t="n">
        <v>26</v>
      </c>
      <c r="H93" s="129" t="n">
        <v>22</v>
      </c>
      <c r="I93" s="130" t="n">
        <v>46000</v>
      </c>
      <c r="J93" s="130" t="inlineStr">
        <is>
          <t>고</t>
        </is>
      </c>
      <c r="K93" s="130" t="n">
        <v>35000</v>
      </c>
      <c r="L93" s="130" t="inlineStr">
        <is>
          <t>중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광진한솔</t>
        </is>
      </c>
      <c r="B95" s="10" t="inlineStr">
        <is>
          <t>'94.06.</t>
        </is>
      </c>
      <c r="C95" s="129" t="n">
        <v>275</v>
      </c>
      <c r="D95" s="127" t="n">
        <v>79</v>
      </c>
      <c r="E95" s="128" t="n">
        <v>24</v>
      </c>
      <c r="F95" s="127" t="n">
        <v>60</v>
      </c>
      <c r="G95" s="17" t="n">
        <v>18</v>
      </c>
      <c r="H95" s="129" t="n">
        <v>178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29" t="n">
        <v>275</v>
      </c>
      <c r="D96" s="127" t="n">
        <v>105</v>
      </c>
      <c r="E96" s="128" t="n">
        <v>32</v>
      </c>
      <c r="F96" s="127" t="n">
        <v>85</v>
      </c>
      <c r="G96" s="17" t="n">
        <v>26</v>
      </c>
      <c r="H96" s="129" t="n">
        <v>97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104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27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2" t="n"/>
      <c r="P97" s="132" t="n"/>
      <c r="Q97" s="128" t="n"/>
      <c r="R97" s="128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0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영창</t>
        </is>
      </c>
      <c r="B98" s="10" t="inlineStr">
        <is>
          <t>'93.12.</t>
        </is>
      </c>
      <c r="C98" s="129" t="n">
        <v>205</v>
      </c>
      <c r="D98" s="127" t="n">
        <v>80.2</v>
      </c>
      <c r="E98" s="128" t="n">
        <v>24</v>
      </c>
      <c r="F98" s="127" t="n">
        <v>59.9</v>
      </c>
      <c r="G98" s="17" t="n">
        <v>18</v>
      </c>
      <c r="H98" s="129" t="n">
        <v>205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1</v>
      </c>
      <c r="S98" s="117" t="inlineStr">
        <is>
          <t>복</t>
        </is>
      </c>
      <c r="T98" s="5" t="n">
        <v>80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영창드림맨션</t>
        </is>
      </c>
      <c r="B100" s="10" t="inlineStr">
        <is>
          <t>'97.12.</t>
        </is>
      </c>
      <c r="C100" s="129" t="n">
        <v>242</v>
      </c>
      <c r="D100" s="127" t="n">
        <v>79.3</v>
      </c>
      <c r="E100" s="128" t="n">
        <v>24</v>
      </c>
      <c r="F100" s="127" t="n">
        <v>59.8</v>
      </c>
      <c r="G100" s="17" t="n">
        <v>18</v>
      </c>
      <c r="H100" s="129" t="n">
        <v>80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79A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29" t="n">
        <v>242</v>
      </c>
      <c r="D101" s="127" t="n">
        <v>79.5</v>
      </c>
      <c r="E101" s="128" t="n">
        <v>24</v>
      </c>
      <c r="F101" s="127" t="n">
        <v>60</v>
      </c>
      <c r="G101" s="17" t="n">
        <v>18</v>
      </c>
      <c r="H101" s="129" t="n">
        <v>17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79B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29" t="n">
        <v>242</v>
      </c>
      <c r="D102" s="127" t="n">
        <v>108</v>
      </c>
      <c r="E102" s="128" t="n">
        <v>33</v>
      </c>
      <c r="F102" s="127" t="n">
        <v>84.90000000000001</v>
      </c>
      <c r="G102" s="17" t="n">
        <v>26</v>
      </c>
      <c r="H102" s="129" t="n">
        <v>93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29" t="n">
        <v>242</v>
      </c>
      <c r="D103" s="127" t="n">
        <v>118.6</v>
      </c>
      <c r="E103" s="128" t="n">
        <v>36</v>
      </c>
      <c r="F103" s="127" t="n">
        <v>99.09999999999999</v>
      </c>
      <c r="G103" s="17" t="n">
        <v>30</v>
      </c>
      <c r="H103" s="129" t="n">
        <v>26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118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29" t="n">
        <v>242</v>
      </c>
      <c r="D104" s="127" t="n">
        <v>137.4</v>
      </c>
      <c r="E104" s="128" t="n">
        <v>42</v>
      </c>
      <c r="F104" s="127" t="n">
        <v>114.8</v>
      </c>
      <c r="G104" s="17" t="n">
        <v>35</v>
      </c>
      <c r="H104" s="129" t="n">
        <v>26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137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23">
      <formula>AV4="X"</formula>
    </cfRule>
    <cfRule type="expression" priority="1575" dxfId="22">
      <formula>AV4="후보"</formula>
    </cfRule>
  </conditionalFormatting>
  <conditionalFormatting sqref="AC1:AC2 AC4:AC6 N4:N5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1:N2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6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23">
      <formula>AV7="X"</formula>
    </cfRule>
    <cfRule type="expression" priority="1554" dxfId="22">
      <formula>AV7="후보"</formula>
    </cfRule>
  </conditionalFormatting>
  <conditionalFormatting sqref="AC7 N7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8">
    <cfRule type="expression" priority="1548" dxfId="23">
      <formula>AV8="X"</formula>
    </cfRule>
    <cfRule type="expression" priority="1549" dxfId="22">
      <formula>AV8="후보"</formula>
    </cfRule>
  </conditionalFormatting>
  <conditionalFormatting sqref="AC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23">
      <formula>AV9="X"</formula>
    </cfRule>
    <cfRule type="expression" priority="1530" dxfId="22">
      <formula>AV9="후보"</formula>
    </cfRule>
  </conditionalFormatting>
  <conditionalFormatting sqref="AC9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9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23">
      <formula>AV10="X"</formula>
    </cfRule>
    <cfRule type="expression" priority="1511" dxfId="22">
      <formula>AV10="후보"</formula>
    </cfRule>
  </conditionalFormatting>
  <conditionalFormatting sqref="AC1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0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23">
      <formula>AV11="X"</formula>
    </cfRule>
    <cfRule type="expression" priority="1492" dxfId="22">
      <formula>AV11="후보"</formula>
    </cfRule>
  </conditionalFormatting>
  <conditionalFormatting sqref="AC11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1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23">
      <formula>AV12="X"</formula>
    </cfRule>
    <cfRule type="expression" priority="1473" dxfId="22">
      <formula>AV12="후보"</formula>
    </cfRule>
  </conditionalFormatting>
  <conditionalFormatting sqref="AC12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12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23">
      <formula>AV13="X"</formula>
    </cfRule>
    <cfRule type="expression" priority="1454" dxfId="22">
      <formula>AV13="후보"</formula>
    </cfRule>
  </conditionalFormatting>
  <conditionalFormatting sqref="AC13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13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23">
      <formula>AV14="X"</formula>
    </cfRule>
    <cfRule type="expression" priority="1435" dxfId="22">
      <formula>AV14="후보"</formula>
    </cfRule>
  </conditionalFormatting>
  <conditionalFormatting sqref="AC1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14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23">
      <formula>AV15="X"</formula>
    </cfRule>
    <cfRule type="expression" priority="1416" dxfId="22">
      <formula>AV15="후보"</formula>
    </cfRule>
  </conditionalFormatting>
  <conditionalFormatting sqref="AC1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15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23">
      <formula>AV16="X"</formula>
    </cfRule>
    <cfRule type="expression" priority="1397" dxfId="22">
      <formula>AV16="후보"</formula>
    </cfRule>
  </conditionalFormatting>
  <conditionalFormatting sqref="AC16 N1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17">
    <cfRule type="expression" priority="1391" dxfId="23">
      <formula>AV17="X"</formula>
    </cfRule>
    <cfRule type="expression" priority="1392" dxfId="22">
      <formula>AV17="후보"</formula>
    </cfRule>
  </conditionalFormatting>
  <conditionalFormatting sqref="AC17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17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23">
      <formula>AV18="X"</formula>
    </cfRule>
    <cfRule type="expression" priority="1373" dxfId="22">
      <formula>AV18="후보"</formula>
    </cfRule>
  </conditionalFormatting>
  <conditionalFormatting sqref="AC18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18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23">
      <formula>AV19="X"</formula>
    </cfRule>
    <cfRule type="expression" priority="1354" dxfId="22">
      <formula>AV19="후보"</formula>
    </cfRule>
  </conditionalFormatting>
  <conditionalFormatting sqref="AC19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9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23">
      <formula>AV20="X"</formula>
    </cfRule>
    <cfRule type="expression" priority="1335" dxfId="22">
      <formula>AV20="후보"</formula>
    </cfRule>
  </conditionalFormatting>
  <conditionalFormatting sqref="AC20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2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23">
      <formula>AV21="X"</formula>
    </cfRule>
    <cfRule type="expression" priority="1316" dxfId="22">
      <formula>AV21="후보"</formula>
    </cfRule>
  </conditionalFormatting>
  <conditionalFormatting sqref="AC21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21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23">
      <formula>AV22="X"</formula>
    </cfRule>
    <cfRule type="expression" priority="1297" dxfId="22">
      <formula>AV22="후보"</formula>
    </cfRule>
  </conditionalFormatting>
  <conditionalFormatting sqref="AC2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23">
      <formula>AV23="X"</formula>
    </cfRule>
    <cfRule type="expression" priority="1278" dxfId="22">
      <formula>AV23="후보"</formula>
    </cfRule>
  </conditionalFormatting>
  <conditionalFormatting sqref="AC23 N23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24">
    <cfRule type="expression" priority="1272" dxfId="23">
      <formula>AV24="X"</formula>
    </cfRule>
    <cfRule type="expression" priority="1273" dxfId="22">
      <formula>AV24="후보"</formula>
    </cfRule>
  </conditionalFormatting>
  <conditionalFormatting sqref="AC24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24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23">
      <formula>AV25="X"</formula>
    </cfRule>
    <cfRule type="expression" priority="1254" dxfId="22">
      <formula>AV25="후보"</formula>
    </cfRule>
  </conditionalFormatting>
  <conditionalFormatting sqref="AC25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25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23">
      <formula>AV26="X"</formula>
    </cfRule>
    <cfRule type="expression" priority="1235" dxfId="22">
      <formula>AV26="후보"</formula>
    </cfRule>
  </conditionalFormatting>
  <conditionalFormatting sqref="AC26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26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23">
      <formula>AV27="X"</formula>
    </cfRule>
    <cfRule type="expression" priority="1216" dxfId="22">
      <formula>AV27="후보"</formula>
    </cfRule>
  </conditionalFormatting>
  <conditionalFormatting sqref="AC27 N27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28">
    <cfRule type="expression" priority="1210" dxfId="23">
      <formula>AV28="X"</formula>
    </cfRule>
    <cfRule type="expression" priority="1211" dxfId="22">
      <formula>AV28="후보"</formula>
    </cfRule>
  </conditionalFormatting>
  <conditionalFormatting sqref="AC28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28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23">
      <formula>AV29="X"</formula>
    </cfRule>
    <cfRule type="expression" priority="1192" dxfId="22">
      <formula>AV29="후보"</formula>
    </cfRule>
  </conditionalFormatting>
  <conditionalFormatting sqref="AC29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29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23">
      <formula>AV30="X"</formula>
    </cfRule>
    <cfRule type="expression" priority="1173" dxfId="22">
      <formula>AV30="후보"</formula>
    </cfRule>
  </conditionalFormatting>
  <conditionalFormatting sqref="AC30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3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23">
      <formula>AV31="X"</formula>
    </cfRule>
    <cfRule type="expression" priority="1154" dxfId="22">
      <formula>AV31="후보"</formula>
    </cfRule>
  </conditionalFormatting>
  <conditionalFormatting sqref="AC31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31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23">
      <formula>AV32="X"</formula>
    </cfRule>
    <cfRule type="expression" priority="1135" dxfId="22">
      <formula>AV32="후보"</formula>
    </cfRule>
  </conditionalFormatting>
  <conditionalFormatting sqref="AC3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23">
      <formula>AV33="X"</formula>
    </cfRule>
    <cfRule type="expression" priority="1116" dxfId="22">
      <formula>AV33="후보"</formula>
    </cfRule>
  </conditionalFormatting>
  <conditionalFormatting sqref="AC33 N33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34">
    <cfRule type="expression" priority="1110" dxfId="23">
      <formula>AV34="X"</formula>
    </cfRule>
    <cfRule type="expression" priority="1111" dxfId="22">
      <formula>AV34="후보"</formula>
    </cfRule>
  </conditionalFormatting>
  <conditionalFormatting sqref="AC34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34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23">
      <formula>AV35="X"</formula>
    </cfRule>
    <cfRule type="expression" priority="1092" dxfId="22">
      <formula>AV35="후보"</formula>
    </cfRule>
  </conditionalFormatting>
  <conditionalFormatting sqref="AC35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35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23">
      <formula>AV36="X"</formula>
    </cfRule>
    <cfRule type="expression" priority="1073" dxfId="22">
      <formula>AV36="후보"</formula>
    </cfRule>
  </conditionalFormatting>
  <conditionalFormatting sqref="AC36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36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23">
      <formula>AV37="X"</formula>
    </cfRule>
    <cfRule type="expression" priority="1054" dxfId="22">
      <formula>AV37="후보"</formula>
    </cfRule>
  </conditionalFormatting>
  <conditionalFormatting sqref="AC37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3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23">
      <formula>AV38="X"</formula>
    </cfRule>
    <cfRule type="expression" priority="1035" dxfId="22">
      <formula>AV38="후보"</formula>
    </cfRule>
  </conditionalFormatting>
  <conditionalFormatting sqref="AC38 N38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AV39">
    <cfRule type="expression" priority="1029" dxfId="23">
      <formula>AV39="X"</formula>
    </cfRule>
    <cfRule type="expression" priority="1030" dxfId="22">
      <formula>AV39="후보"</formula>
    </cfRule>
  </conditionalFormatting>
  <conditionalFormatting sqref="AC39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39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23">
      <formula>AV40="X"</formula>
    </cfRule>
    <cfRule type="expression" priority="1011" dxfId="22">
      <formula>AV40="후보"</formula>
    </cfRule>
  </conditionalFormatting>
  <conditionalFormatting sqref="AC40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40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23">
      <formula>AV41="X"</formula>
    </cfRule>
    <cfRule type="expression" priority="992" dxfId="22">
      <formula>AV41="후보"</formula>
    </cfRule>
  </conditionalFormatting>
  <conditionalFormatting sqref="AC41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41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23">
      <formula>AV42="X"</formula>
    </cfRule>
    <cfRule type="expression" priority="973" dxfId="22">
      <formula>AV42="후보"</formula>
    </cfRule>
  </conditionalFormatting>
  <conditionalFormatting sqref="AC42 N42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AV43">
    <cfRule type="expression" priority="967" dxfId="23">
      <formula>AV43="X"</formula>
    </cfRule>
    <cfRule type="expression" priority="968" dxfId="22">
      <formula>AV43="후보"</formula>
    </cfRule>
  </conditionalFormatting>
  <conditionalFormatting sqref="AC43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23">
      <formula>AV44="X"</formula>
    </cfRule>
    <cfRule type="expression" priority="949" dxfId="22">
      <formula>AV44="후보"</formula>
    </cfRule>
  </conditionalFormatting>
  <conditionalFormatting sqref="AC44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23">
      <formula>AV45="X"</formula>
    </cfRule>
    <cfRule type="expression" priority="930" dxfId="22">
      <formula>AV45="후보"</formula>
    </cfRule>
  </conditionalFormatting>
  <conditionalFormatting sqref="AC45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23">
      <formula>AV46="X"</formula>
    </cfRule>
    <cfRule type="expression" priority="911" dxfId="22">
      <formula>AV46="후보"</formula>
    </cfRule>
  </conditionalFormatting>
  <conditionalFormatting sqref="AC46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23">
      <formula>AV47="X"</formula>
    </cfRule>
    <cfRule type="expression" priority="892" dxfId="22">
      <formula>AV47="후보"</formula>
    </cfRule>
  </conditionalFormatting>
  <conditionalFormatting sqref="AC47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23">
      <formula>AV48="X"</formula>
    </cfRule>
    <cfRule type="expression" priority="873" dxfId="22">
      <formula>AV48="후보"</formula>
    </cfRule>
  </conditionalFormatting>
  <conditionalFormatting sqref="AC48 N48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49">
    <cfRule type="expression" priority="867" dxfId="23">
      <formula>AV49="X"</formula>
    </cfRule>
    <cfRule type="expression" priority="868" dxfId="22">
      <formula>AV49="후보"</formula>
    </cfRule>
  </conditionalFormatting>
  <conditionalFormatting sqref="AC49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4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23">
      <formula>AV50="X"</formula>
    </cfRule>
    <cfRule type="expression" priority="849" dxfId="22">
      <formula>AV50="후보"</formula>
    </cfRule>
  </conditionalFormatting>
  <conditionalFormatting sqref="AC50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5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23">
      <formula>AV51="X"</formula>
    </cfRule>
    <cfRule type="expression" priority="830" dxfId="22">
      <formula>AV51="후보"</formula>
    </cfRule>
  </conditionalFormatting>
  <conditionalFormatting sqref="AC51 N51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52">
    <cfRule type="expression" priority="824" dxfId="23">
      <formula>AV52="X"</formula>
    </cfRule>
    <cfRule type="expression" priority="825" dxfId="22">
      <formula>AV52="후보"</formula>
    </cfRule>
  </conditionalFormatting>
  <conditionalFormatting sqref="AC52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5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23">
      <formula>AV53="X"</formula>
    </cfRule>
    <cfRule type="expression" priority="806" dxfId="22">
      <formula>AV53="후보"</formula>
    </cfRule>
  </conditionalFormatting>
  <conditionalFormatting sqref="AC53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5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23">
      <formula>AV54="X"</formula>
    </cfRule>
    <cfRule type="expression" priority="787" dxfId="22">
      <formula>AV54="후보"</formula>
    </cfRule>
  </conditionalFormatting>
  <conditionalFormatting sqref="AC54 N54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55">
    <cfRule type="expression" priority="781" dxfId="23">
      <formula>AV55="X"</formula>
    </cfRule>
    <cfRule type="expression" priority="782" dxfId="22">
      <formula>AV55="후보"</formula>
    </cfRule>
  </conditionalFormatting>
  <conditionalFormatting sqref="AC55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5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23">
      <formula>AV56="X"</formula>
    </cfRule>
    <cfRule type="expression" priority="763" dxfId="22">
      <formula>AV56="후보"</formula>
    </cfRule>
  </conditionalFormatting>
  <conditionalFormatting sqref="AC56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56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23">
      <formula>AV57="X"</formula>
    </cfRule>
    <cfRule type="expression" priority="744" dxfId="22">
      <formula>AV57="후보"</formula>
    </cfRule>
  </conditionalFormatting>
  <conditionalFormatting sqref="AC57 N57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AV58">
    <cfRule type="expression" priority="738" dxfId="23">
      <formula>AV58="X"</formula>
    </cfRule>
    <cfRule type="expression" priority="739" dxfId="22">
      <formula>AV58="후보"</formula>
    </cfRule>
  </conditionalFormatting>
  <conditionalFormatting sqref="AC5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23">
      <formula>AV59="X"</formula>
    </cfRule>
    <cfRule type="expression" priority="720" dxfId="22">
      <formula>AV59="후보"</formula>
    </cfRule>
  </conditionalFormatting>
  <conditionalFormatting sqref="AC59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59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23">
      <formula>AV60="X"</formula>
    </cfRule>
    <cfRule type="expression" priority="701" dxfId="22">
      <formula>AV60="후보"</formula>
    </cfRule>
  </conditionalFormatting>
  <conditionalFormatting sqref="AC6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60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23">
      <formula>AV61="X"</formula>
    </cfRule>
    <cfRule type="expression" priority="682" dxfId="22">
      <formula>AV61="후보"</formula>
    </cfRule>
  </conditionalFormatting>
  <conditionalFormatting sqref="AC61 N61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AV62">
    <cfRule type="expression" priority="676" dxfId="23">
      <formula>AV62="X"</formula>
    </cfRule>
    <cfRule type="expression" priority="677" dxfId="22">
      <formula>AV62="후보"</formula>
    </cfRule>
  </conditionalFormatting>
  <conditionalFormatting sqref="AC6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6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23">
      <formula>AV63="X"</formula>
    </cfRule>
    <cfRule type="expression" priority="658" dxfId="22">
      <formula>AV63="후보"</formula>
    </cfRule>
  </conditionalFormatting>
  <conditionalFormatting sqref="AC6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3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23">
      <formula>AV64="X"</formula>
    </cfRule>
    <cfRule type="expression" priority="639" dxfId="22">
      <formula>AV64="후보"</formula>
    </cfRule>
  </conditionalFormatting>
  <conditionalFormatting sqref="AC64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64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23">
      <formula>AV65="X"</formula>
    </cfRule>
    <cfRule type="expression" priority="620" dxfId="22">
      <formula>AV65="후보"</formula>
    </cfRule>
  </conditionalFormatting>
  <conditionalFormatting sqref="AC65 N65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66">
    <cfRule type="expression" priority="614" dxfId="23">
      <formula>AV66="X"</formula>
    </cfRule>
    <cfRule type="expression" priority="615" dxfId="22">
      <formula>AV66="후보"</formula>
    </cfRule>
  </conditionalFormatting>
  <conditionalFormatting sqref="AC6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23">
      <formula>AV67="X"</formula>
    </cfRule>
    <cfRule type="expression" priority="596" dxfId="22">
      <formula>AV67="후보"</formula>
    </cfRule>
  </conditionalFormatting>
  <conditionalFormatting sqref="AC6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23">
      <formula>AV68="X"</formula>
    </cfRule>
    <cfRule type="expression" priority="577" dxfId="22">
      <formula>AV68="후보"</formula>
    </cfRule>
  </conditionalFormatting>
  <conditionalFormatting sqref="AC68 N6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69">
    <cfRule type="expression" priority="571" dxfId="23">
      <formula>AV69="X"</formula>
    </cfRule>
    <cfRule type="expression" priority="572" dxfId="22">
      <formula>AV69="후보"</formula>
    </cfRule>
  </conditionalFormatting>
  <conditionalFormatting sqref="AC6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23">
      <formula>AV70="X"</formula>
    </cfRule>
    <cfRule type="expression" priority="553" dxfId="22">
      <formula>AV70="후보"</formula>
    </cfRule>
  </conditionalFormatting>
  <conditionalFormatting sqref="AC7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7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23">
      <formula>AV71="X"</formula>
    </cfRule>
    <cfRule type="expression" priority="534" dxfId="22">
      <formula>AV71="후보"</formula>
    </cfRule>
  </conditionalFormatting>
  <conditionalFormatting sqref="AC7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7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23">
      <formula>AV72="X"</formula>
    </cfRule>
    <cfRule type="expression" priority="515" dxfId="22">
      <formula>AV72="후보"</formula>
    </cfRule>
  </conditionalFormatting>
  <conditionalFormatting sqref="AC7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7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23">
      <formula>AV73="X"</formula>
    </cfRule>
    <cfRule type="expression" priority="496" dxfId="22">
      <formula>AV73="후보"</formula>
    </cfRule>
  </conditionalFormatting>
  <conditionalFormatting sqref="AC73 N7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74">
    <cfRule type="expression" priority="490" dxfId="23">
      <formula>AV74="X"</formula>
    </cfRule>
    <cfRule type="expression" priority="491" dxfId="22">
      <formula>AV74="후보"</formula>
    </cfRule>
  </conditionalFormatting>
  <conditionalFormatting sqref="AC7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23">
      <formula>AV75="X"</formula>
    </cfRule>
    <cfRule type="expression" priority="472" dxfId="22">
      <formula>AV75="후보"</formula>
    </cfRule>
  </conditionalFormatting>
  <conditionalFormatting sqref="AC7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23">
      <formula>AV76="X"</formula>
    </cfRule>
    <cfRule type="expression" priority="453" dxfId="22">
      <formula>AV76="후보"</formula>
    </cfRule>
  </conditionalFormatting>
  <conditionalFormatting sqref="AC7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23">
      <formula>AV77="X"</formula>
    </cfRule>
    <cfRule type="expression" priority="434" dxfId="22">
      <formula>AV77="후보"</formula>
    </cfRule>
  </conditionalFormatting>
  <conditionalFormatting sqref="AC77 N7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78">
    <cfRule type="expression" priority="428" dxfId="23">
      <formula>AV78="X"</formula>
    </cfRule>
    <cfRule type="expression" priority="429" dxfId="22">
      <formula>AV78="후보"</formula>
    </cfRule>
  </conditionalFormatting>
  <conditionalFormatting sqref="AC7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23">
      <formula>AV79="X"</formula>
    </cfRule>
    <cfRule type="expression" priority="410" dxfId="22">
      <formula>AV79="후보"</formula>
    </cfRule>
  </conditionalFormatting>
  <conditionalFormatting sqref="AC7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23">
      <formula>AV80="X"</formula>
    </cfRule>
    <cfRule type="expression" priority="391" dxfId="22">
      <formula>AV80="후보"</formula>
    </cfRule>
  </conditionalFormatting>
  <conditionalFormatting sqref="AC8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23">
      <formula>AV81="X"</formula>
    </cfRule>
    <cfRule type="expression" priority="372" dxfId="22">
      <formula>AV81="후보"</formula>
    </cfRule>
  </conditionalFormatting>
  <conditionalFormatting sqref="AC81 N8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82">
    <cfRule type="expression" priority="366" dxfId="23">
      <formula>AV82="X"</formula>
    </cfRule>
    <cfRule type="expression" priority="367" dxfId="22">
      <formula>AV82="후보"</formula>
    </cfRule>
  </conditionalFormatting>
  <conditionalFormatting sqref="AC8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23">
      <formula>AV83="X"</formula>
    </cfRule>
    <cfRule type="expression" priority="348" dxfId="22">
      <formula>AV83="후보"</formula>
    </cfRule>
  </conditionalFormatting>
  <conditionalFormatting sqref="AC8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23">
      <formula>AV84="X"</formula>
    </cfRule>
    <cfRule type="expression" priority="329" dxfId="22">
      <formula>AV84="후보"</formula>
    </cfRule>
  </conditionalFormatting>
  <conditionalFormatting sqref="AC8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23">
      <formula>AV85="X"</formula>
    </cfRule>
    <cfRule type="expression" priority="310" dxfId="22">
      <formula>AV85="후보"</formula>
    </cfRule>
  </conditionalFormatting>
  <conditionalFormatting sqref="AC8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23">
      <formula>AV86="X"</formula>
    </cfRule>
    <cfRule type="expression" priority="291" dxfId="22">
      <formula>AV86="후보"</formula>
    </cfRule>
  </conditionalFormatting>
  <conditionalFormatting sqref="AC86 N8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87">
    <cfRule type="expression" priority="285" dxfId="23">
      <formula>AV87="X"</formula>
    </cfRule>
    <cfRule type="expression" priority="286" dxfId="22">
      <formula>AV87="후보"</formula>
    </cfRule>
  </conditionalFormatting>
  <conditionalFormatting sqref="AC8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23">
      <formula>AV88="X"</formula>
    </cfRule>
    <cfRule type="expression" priority="267" dxfId="22">
      <formula>AV88="후보"</formula>
    </cfRule>
  </conditionalFormatting>
  <conditionalFormatting sqref="AC8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23">
      <formula>AV89="X"</formula>
    </cfRule>
    <cfRule type="expression" priority="248" dxfId="22">
      <formula>AV89="후보"</formula>
    </cfRule>
  </conditionalFormatting>
  <conditionalFormatting sqref="AC8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23">
      <formula>AV90="X"</formula>
    </cfRule>
    <cfRule type="expression" priority="229" dxfId="22">
      <formula>AV90="후보"</formula>
    </cfRule>
  </conditionalFormatting>
  <conditionalFormatting sqref="AC9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9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23">
      <formula>AV91="X"</formula>
    </cfRule>
    <cfRule type="expression" priority="210" dxfId="22">
      <formula>AV91="후보"</formula>
    </cfRule>
  </conditionalFormatting>
  <conditionalFormatting sqref="AC91 N9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2">
    <cfRule type="expression" priority="204" dxfId="23">
      <formula>AV92="X"</formula>
    </cfRule>
    <cfRule type="expression" priority="205" dxfId="22">
      <formula>AV92="후보"</formula>
    </cfRule>
  </conditionalFormatting>
  <conditionalFormatting sqref="AC9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23">
      <formula>AV93="X"</formula>
    </cfRule>
    <cfRule type="expression" priority="186" dxfId="22">
      <formula>AV93="후보"</formula>
    </cfRule>
  </conditionalFormatting>
  <conditionalFormatting sqref="AC9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23">
      <formula>AV94="X"</formula>
    </cfRule>
    <cfRule type="expression" priority="167" dxfId="22">
      <formula>AV94="후보"</formula>
    </cfRule>
  </conditionalFormatting>
  <conditionalFormatting sqref="AC94 N9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5">
    <cfRule type="expression" priority="161" dxfId="23">
      <formula>AV95="X"</formula>
    </cfRule>
    <cfRule type="expression" priority="162" dxfId="22">
      <formula>AV95="후보"</formula>
    </cfRule>
  </conditionalFormatting>
  <conditionalFormatting sqref="AC9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23">
      <formula>AV96="X"</formula>
    </cfRule>
    <cfRule type="expression" priority="143" dxfId="22">
      <formula>AV96="후보"</formula>
    </cfRule>
  </conditionalFormatting>
  <conditionalFormatting sqref="AC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23">
      <formula>AV97="X"</formula>
    </cfRule>
    <cfRule type="expression" priority="124" dxfId="22">
      <formula>AV97="후보"</formula>
    </cfRule>
  </conditionalFormatting>
  <conditionalFormatting sqref="AC97 N9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8">
    <cfRule type="expression" priority="118" dxfId="23">
      <formula>AV98="X"</formula>
    </cfRule>
    <cfRule type="expression" priority="119" dxfId="22">
      <formula>AV98="후보"</formula>
    </cfRule>
  </conditionalFormatting>
  <conditionalFormatting sqref="AC9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23">
      <formula>AV99="X"</formula>
    </cfRule>
    <cfRule type="expression" priority="100" dxfId="22">
      <formula>AV99="후보"</formula>
    </cfRule>
  </conditionalFormatting>
  <conditionalFormatting sqref="AC99 N9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0">
    <cfRule type="expression" priority="94" dxfId="23">
      <formula>AV100="X"</formula>
    </cfRule>
    <cfRule type="expression" priority="95" dxfId="22">
      <formula>AV100="후보"</formula>
    </cfRule>
  </conditionalFormatting>
  <conditionalFormatting sqref="AC10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23">
      <formula>AV101="X"</formula>
    </cfRule>
    <cfRule type="expression" priority="76" dxfId="22">
      <formula>AV101="후보"</formula>
    </cfRule>
  </conditionalFormatting>
  <conditionalFormatting sqref="AC10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23">
      <formula>AV102="X"</formula>
    </cfRule>
    <cfRule type="expression" priority="57" dxfId="22">
      <formula>AV102="후보"</formula>
    </cfRule>
  </conditionalFormatting>
  <conditionalFormatting sqref="AC10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23">
      <formula>AV103="X"</formula>
    </cfRule>
    <cfRule type="expression" priority="38" dxfId="22">
      <formula>AV103="후보"</formula>
    </cfRule>
  </conditionalFormatting>
  <conditionalFormatting sqref="AC10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23">
      <formula>AV104="X"</formula>
    </cfRule>
    <cfRule type="expression" priority="19" dxfId="22">
      <formula>AV104="후보"</formula>
    </cfRule>
  </conditionalFormatting>
  <conditionalFormatting sqref="AC10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29" t="n">
        <v>402</v>
      </c>
      <c r="D6" s="127" t="n">
        <v>82.59999999999999</v>
      </c>
      <c r="E6" s="128" t="n">
        <v>25</v>
      </c>
      <c r="F6" s="127" t="n">
        <v>60</v>
      </c>
      <c r="G6" s="17" t="n">
        <v>18</v>
      </c>
      <c r="H6" s="129" t="n">
        <v>96</v>
      </c>
      <c r="I6" s="130" t="n">
        <v>40000</v>
      </c>
      <c r="J6" s="130" t="inlineStr">
        <is>
          <t>20</t>
        </is>
      </c>
      <c r="K6" s="130" t="n">
        <v>32000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82A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29" t="n">
        <v>402</v>
      </c>
      <c r="D7" s="127" t="n">
        <v>82.40000000000001</v>
      </c>
      <c r="E7" s="128" t="n">
        <v>25</v>
      </c>
      <c r="F7" s="127" t="n">
        <v>60</v>
      </c>
      <c r="G7" s="17" t="n">
        <v>18</v>
      </c>
      <c r="H7" s="129" t="n">
        <v>22</v>
      </c>
      <c r="I7" s="130" t="n">
        <v>42000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82B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29" t="n">
        <v>402</v>
      </c>
      <c r="D8" s="127" t="n">
        <v>111.9</v>
      </c>
      <c r="E8" s="128" t="n">
        <v>34</v>
      </c>
      <c r="F8" s="127" t="n">
        <v>84.90000000000001</v>
      </c>
      <c r="G8" s="17" t="n">
        <v>26</v>
      </c>
      <c r="H8" s="129" t="n">
        <v>156</v>
      </c>
      <c r="I8" s="130" t="n">
        <v>53500</v>
      </c>
      <c r="J8" s="130" t="inlineStr">
        <is>
          <t>7</t>
        </is>
      </c>
      <c r="K8" s="130" t="n">
        <v>38000</v>
      </c>
      <c r="L8" s="130" t="inlineStr">
        <is>
          <t>29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111A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29" t="n">
        <v>402</v>
      </c>
      <c r="D9" s="127" t="n">
        <v>111.9</v>
      </c>
      <c r="E9" s="128" t="n">
        <v>34</v>
      </c>
      <c r="F9" s="127" t="n">
        <v>84.8</v>
      </c>
      <c r="G9" s="17" t="n">
        <v>26</v>
      </c>
      <c r="H9" s="129" t="n">
        <v>30</v>
      </c>
      <c r="I9" s="130" t="n">
        <v>54000</v>
      </c>
      <c r="J9" s="130" t="inlineStr">
        <is>
          <t>6</t>
        </is>
      </c>
      <c r="K9" s="130" t="n">
        <v>40000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111B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29" t="n">
        <v>402</v>
      </c>
      <c r="D10" s="127" t="n">
        <v>112</v>
      </c>
      <c r="E10" s="128" t="n">
        <v>34</v>
      </c>
      <c r="F10" s="127" t="n">
        <v>84.90000000000001</v>
      </c>
      <c r="G10" s="17" t="n">
        <v>26</v>
      </c>
      <c r="H10" s="129" t="n">
        <v>30</v>
      </c>
      <c r="I10" s="130" t="n">
        <v>55000</v>
      </c>
      <c r="J10" s="130" t="inlineStr">
        <is>
          <t>16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111C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29" t="n">
        <v>402</v>
      </c>
      <c r="D11" s="127" t="n">
        <v>145.4</v>
      </c>
      <c r="E11" s="128" t="n">
        <v>44</v>
      </c>
      <c r="F11" s="127" t="n">
        <v>120.2</v>
      </c>
      <c r="G11" s="17" t="n">
        <v>36</v>
      </c>
      <c r="H11" s="129" t="n">
        <v>68</v>
      </c>
      <c r="I11" s="130" t="n">
        <v>83000</v>
      </c>
      <c r="J11" s="130" t="inlineStr">
        <is>
          <t>6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145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에코시티자이</t>
        </is>
      </c>
      <c r="B13" s="10" t="inlineStr">
        <is>
          <t>'17.12.</t>
        </is>
      </c>
      <c r="C13" s="129" t="n">
        <v>640</v>
      </c>
      <c r="D13" s="127" t="n">
        <v>82.3</v>
      </c>
      <c r="E13" s="128" t="n">
        <v>25</v>
      </c>
      <c r="F13" s="127" t="n">
        <v>60</v>
      </c>
      <c r="G13" s="17" t="n">
        <v>18</v>
      </c>
      <c r="H13" s="129" t="n">
        <v>130</v>
      </c>
      <c r="I13" s="130" t="n">
        <v>41500</v>
      </c>
      <c r="J13" s="130" t="inlineStr">
        <is>
          <t>10</t>
        </is>
      </c>
      <c r="K13" s="130" t="n">
        <v>32000</v>
      </c>
      <c r="L13" s="130" t="inlineStr">
        <is>
          <t>7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29" t="n">
        <v>640</v>
      </c>
      <c r="D14" s="127" t="n">
        <v>115.2</v>
      </c>
      <c r="E14" s="128" t="n">
        <v>35</v>
      </c>
      <c r="F14" s="127" t="n">
        <v>85</v>
      </c>
      <c r="G14" s="17" t="n">
        <v>26</v>
      </c>
      <c r="H14" s="129" t="n">
        <v>464</v>
      </c>
      <c r="I14" s="130" t="n">
        <v>56500</v>
      </c>
      <c r="J14" s="130" t="inlineStr">
        <is>
          <t>11</t>
        </is>
      </c>
      <c r="K14" s="130" t="n">
        <v>41000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115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29" t="n">
        <v>640</v>
      </c>
      <c r="D15" s="127" t="n">
        <v>156.4</v>
      </c>
      <c r="E15" s="128" t="n">
        <v>47</v>
      </c>
      <c r="F15" s="127" t="n">
        <v>116.9</v>
      </c>
      <c r="G15" s="17" t="n">
        <v>35</v>
      </c>
      <c r="H15" s="129" t="n">
        <v>46</v>
      </c>
      <c r="I15" s="130" t="n">
        <v>95000</v>
      </c>
      <c r="J15" s="130" t="inlineStr">
        <is>
          <t>고</t>
        </is>
      </c>
      <c r="K15" s="130" t="n">
        <v>60000</v>
      </c>
      <c r="L15" s="130" t="inlineStr">
        <is>
          <t>8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29" t="n">
        <v>708</v>
      </c>
      <c r="D17" s="127" t="n">
        <v>83.5</v>
      </c>
      <c r="E17" s="128" t="n">
        <v>25</v>
      </c>
      <c r="F17" s="127" t="n">
        <v>60</v>
      </c>
      <c r="G17" s="17" t="n">
        <v>18</v>
      </c>
      <c r="H17" s="129" t="n">
        <v>116</v>
      </c>
      <c r="I17" s="130" t="n">
        <v>42500</v>
      </c>
      <c r="J17" s="130" t="inlineStr">
        <is>
          <t>5</t>
        </is>
      </c>
      <c r="K17" s="130" t="n">
        <v>32000</v>
      </c>
      <c r="L17" s="130" t="inlineStr">
        <is>
          <t>21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83A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29" t="n">
        <v>708</v>
      </c>
      <c r="D18" s="127" t="n">
        <v>117.4</v>
      </c>
      <c r="E18" s="128" t="n">
        <v>36</v>
      </c>
      <c r="F18" s="127" t="n">
        <v>85</v>
      </c>
      <c r="G18" s="17" t="n">
        <v>26</v>
      </c>
      <c r="H18" s="129" t="n">
        <v>505</v>
      </c>
      <c r="I18" s="130" t="n">
        <v>59000</v>
      </c>
      <c r="J18" s="130" t="inlineStr">
        <is>
          <t>11</t>
        </is>
      </c>
      <c r="K18" s="130" t="n">
        <v>43000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117A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29" t="n">
        <v>708</v>
      </c>
      <c r="D19" s="127" t="n">
        <v>117.1</v>
      </c>
      <c r="E19" s="128" t="n">
        <v>35</v>
      </c>
      <c r="F19" s="127" t="n">
        <v>84.90000000000001</v>
      </c>
      <c r="G19" s="17" t="n">
        <v>26</v>
      </c>
      <c r="H19" s="129" t="n">
        <v>87</v>
      </c>
      <c r="I19" s="130" t="n">
        <v>60000</v>
      </c>
      <c r="J19" s="130" t="inlineStr">
        <is>
          <t>17</t>
        </is>
      </c>
      <c r="K19" s="130" t="n">
        <v>40000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117B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송천주공</t>
        </is>
      </c>
      <c r="B21" s="10" t="inlineStr">
        <is>
          <t>'98.12.</t>
        </is>
      </c>
      <c r="C21" s="129" t="n">
        <v>1992</v>
      </c>
      <c r="D21" s="127" t="n">
        <v>62.9</v>
      </c>
      <c r="E21" s="128" t="n">
        <v>19</v>
      </c>
      <c r="F21" s="127" t="n">
        <v>49.1</v>
      </c>
      <c r="G21" s="17" t="n">
        <v>15</v>
      </c>
      <c r="H21" s="129" t="n">
        <v>84</v>
      </c>
      <c r="I21" s="130" t="n">
        <v>15000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n">
        <v>62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29" t="n">
        <v>1992</v>
      </c>
      <c r="D22" s="127" t="n">
        <v>76.90000000000001</v>
      </c>
      <c r="E22" s="128" t="n">
        <v>23</v>
      </c>
      <c r="F22" s="127" t="n">
        <v>59.8</v>
      </c>
      <c r="G22" s="17" t="n">
        <v>18</v>
      </c>
      <c r="H22" s="129" t="n">
        <v>75</v>
      </c>
      <c r="I22" s="130" t="n">
        <v>18500</v>
      </c>
      <c r="J22" s="130" t="inlineStr">
        <is>
          <t>중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29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17500</v>
      </c>
      <c r="J23" s="130" t="inlineStr">
        <is>
          <t>6</t>
        </is>
      </c>
      <c r="K23" s="130" t="n">
        <v>16000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29" t="n">
        <v>1992</v>
      </c>
      <c r="D24" s="127" t="n">
        <v>108.7</v>
      </c>
      <c r="E24" s="128" t="n">
        <v>33</v>
      </c>
      <c r="F24" s="127" t="n">
        <v>84.90000000000001</v>
      </c>
      <c r="G24" s="17" t="n">
        <v>26</v>
      </c>
      <c r="H24" s="129" t="n">
        <v>45</v>
      </c>
      <c r="I24" s="130" t="n">
        <v>27000</v>
      </c>
      <c r="J24" s="130" t="inlineStr">
        <is>
          <t>12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108A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29" t="n">
        <v>1992</v>
      </c>
      <c r="D25" s="127" t="n">
        <v>109.1</v>
      </c>
      <c r="E25" s="128" t="n">
        <v>33</v>
      </c>
      <c r="F25" s="127" t="n">
        <v>84.90000000000001</v>
      </c>
      <c r="G25" s="17" t="n">
        <v>26</v>
      </c>
      <c r="H25" s="129" t="n">
        <v>195</v>
      </c>
      <c r="I25" s="130" t="n">
        <v>27000</v>
      </c>
      <c r="J25" s="130" t="inlineStr">
        <is>
          <t>10</t>
        </is>
      </c>
      <c r="K25" s="130" t="n">
        <v>27000</v>
      </c>
      <c r="L25" s="130" t="inlineStr">
        <is>
          <t>10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29" t="n">
        <v>662</v>
      </c>
      <c r="D27" s="127" t="n">
        <v>81.8</v>
      </c>
      <c r="E27" s="128" t="n">
        <v>25</v>
      </c>
      <c r="F27" s="127" t="n">
        <v>60</v>
      </c>
      <c r="G27" s="17" t="n">
        <v>18</v>
      </c>
      <c r="H27" s="129" t="n">
        <v>92</v>
      </c>
      <c r="I27" s="130" t="n">
        <v>41000</v>
      </c>
      <c r="J27" s="130" t="inlineStr">
        <is>
          <t>7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81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29" t="n">
        <v>662</v>
      </c>
      <c r="D28" s="127" t="n">
        <v>114.9</v>
      </c>
      <c r="E28" s="128" t="n">
        <v>35</v>
      </c>
      <c r="F28" s="127" t="n">
        <v>84.90000000000001</v>
      </c>
      <c r="G28" s="17" t="n">
        <v>26</v>
      </c>
      <c r="H28" s="129" t="n">
        <v>86</v>
      </c>
      <c r="I28" s="130" t="n">
        <v>59500</v>
      </c>
      <c r="J28" s="130" t="inlineStr">
        <is>
          <t>9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114C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29" t="n">
        <v>662</v>
      </c>
      <c r="D29" s="127" t="n">
        <v>114.7</v>
      </c>
      <c r="E29" s="128" t="n">
        <v>35</v>
      </c>
      <c r="F29" s="127" t="n">
        <v>84.90000000000001</v>
      </c>
      <c r="G29" s="17" t="n">
        <v>26</v>
      </c>
      <c r="H29" s="129" t="n">
        <v>47</v>
      </c>
      <c r="I29" s="130" t="n">
        <v>65000</v>
      </c>
      <c r="J29" s="130" t="inlineStr">
        <is>
          <t>22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29" t="n">
        <v>662</v>
      </c>
      <c r="D30" s="127" t="n">
        <v>115.2</v>
      </c>
      <c r="E30" s="128" t="n">
        <v>35</v>
      </c>
      <c r="F30" s="127" t="n">
        <v>84.90000000000001</v>
      </c>
      <c r="G30" s="17" t="n">
        <v>26</v>
      </c>
      <c r="H30" s="129" t="n">
        <v>282</v>
      </c>
      <c r="I30" s="130" t="n">
        <v>62000</v>
      </c>
      <c r="J30" s="130" t="inlineStr">
        <is>
          <t>26</t>
        </is>
      </c>
      <c r="K30" s="130" t="n">
        <v>40000</v>
      </c>
      <c r="L30" s="130" t="inlineStr">
        <is>
          <t>8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115A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29" t="n">
        <v>662</v>
      </c>
      <c r="D31" s="127" t="n">
        <v>115.3</v>
      </c>
      <c r="E31" s="128" t="n">
        <v>35</v>
      </c>
      <c r="F31" s="127" t="n">
        <v>84.90000000000001</v>
      </c>
      <c r="G31" s="17" t="n">
        <v>26</v>
      </c>
      <c r="H31" s="129" t="n">
        <v>83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115B1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29" t="n">
        <v>662</v>
      </c>
      <c r="D32" s="127" t="n">
        <v>133</v>
      </c>
      <c r="E32" s="128" t="n">
        <v>40</v>
      </c>
      <c r="F32" s="127" t="n">
        <v>98.7</v>
      </c>
      <c r="G32" s="17" t="n">
        <v>30</v>
      </c>
      <c r="H32" s="129" t="n">
        <v>60</v>
      </c>
      <c r="I32" s="130" t="n">
        <v>84000</v>
      </c>
      <c r="J32" s="130" t="inlineStr">
        <is>
          <t>7</t>
        </is>
      </c>
      <c r="K32" s="130" t="n">
        <v>60000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n">
        <v>133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29" t="n">
        <v>662</v>
      </c>
      <c r="D33" s="127" t="n">
        <v>143.2</v>
      </c>
      <c r="E33" s="128" t="n">
        <v>43</v>
      </c>
      <c r="F33" s="127" t="n">
        <v>104.5</v>
      </c>
      <c r="G33" s="17" t="n">
        <v>32</v>
      </c>
      <c r="H33" s="129" t="n">
        <v>12</v>
      </c>
      <c r="I33" s="130" t="n">
        <v>110000</v>
      </c>
      <c r="J33" s="130" t="inlineStr">
        <is>
          <t>29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143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송천현대3차</t>
        </is>
      </c>
      <c r="B35" s="10" t="inlineStr">
        <is>
          <t>'98.10.</t>
        </is>
      </c>
      <c r="C35" s="129" t="n">
        <v>915</v>
      </c>
      <c r="D35" s="127" t="n">
        <v>77.90000000000001</v>
      </c>
      <c r="E35" s="128" t="n">
        <v>24</v>
      </c>
      <c r="F35" s="127" t="n">
        <v>60</v>
      </c>
      <c r="G35" s="17" t="n">
        <v>18</v>
      </c>
      <c r="H35" s="129" t="n">
        <v>372</v>
      </c>
      <c r="I35" s="130" t="n">
        <v>18500</v>
      </c>
      <c r="J35" s="130" t="inlineStr">
        <is>
          <t>5</t>
        </is>
      </c>
      <c r="K35" s="130" t="n">
        <v>16000</v>
      </c>
      <c r="L35" s="130" t="inlineStr">
        <is>
          <t>11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29" t="n">
        <v>915</v>
      </c>
      <c r="D36" s="127" t="n">
        <v>106.5</v>
      </c>
      <c r="E36" s="128" t="n">
        <v>32</v>
      </c>
      <c r="F36" s="127" t="n">
        <v>85</v>
      </c>
      <c r="G36" s="17" t="n">
        <v>26</v>
      </c>
      <c r="H36" s="129" t="n">
        <v>438</v>
      </c>
      <c r="I36" s="130" t="n">
        <v>29500</v>
      </c>
      <c r="J36" s="130" t="inlineStr">
        <is>
          <t>5</t>
        </is>
      </c>
      <c r="K36" s="130" t="n">
        <v>28000</v>
      </c>
      <c r="L36" s="130" t="inlineStr">
        <is>
          <t>17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29" t="n">
        <v>915</v>
      </c>
      <c r="D37" s="127" t="n">
        <v>157.7</v>
      </c>
      <c r="E37" s="128" t="n">
        <v>48</v>
      </c>
      <c r="F37" s="127" t="n">
        <v>134.7</v>
      </c>
      <c r="G37" s="17" t="n">
        <v>41</v>
      </c>
      <c r="H37" s="129" t="n">
        <v>105</v>
      </c>
      <c r="I37" s="130" t="n">
        <v>38000</v>
      </c>
      <c r="J37" s="130" t="inlineStr">
        <is>
          <t>5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157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29" t="n">
        <v>370</v>
      </c>
      <c r="D39" s="127" t="n">
        <v>54.4</v>
      </c>
      <c r="E39" s="128" t="n">
        <v>16</v>
      </c>
      <c r="F39" s="127" t="n">
        <v>40</v>
      </c>
      <c r="G39" s="17" t="n">
        <v>12</v>
      </c>
      <c r="H39" s="129" t="n">
        <v>195</v>
      </c>
      <c r="I39" s="130" t="n">
        <v>10500</v>
      </c>
      <c r="J39" s="130" t="inlineStr">
        <is>
          <t>5</t>
        </is>
      </c>
      <c r="K39" s="130" t="n">
        <v>5500</v>
      </c>
      <c r="L39" s="130" t="inlineStr">
        <is>
          <t>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29" t="n">
        <v>370</v>
      </c>
      <c r="D40" s="127" t="n">
        <v>58.5</v>
      </c>
      <c r="E40" s="128" t="n">
        <v>18</v>
      </c>
      <c r="F40" s="127" t="n">
        <v>49.3</v>
      </c>
      <c r="G40" s="17" t="n">
        <v>15</v>
      </c>
      <c r="H40" s="129" t="n">
        <v>175</v>
      </c>
      <c r="I40" s="130" t="n">
        <v>9400</v>
      </c>
      <c r="J40" s="130" t="inlineStr">
        <is>
          <t>고</t>
        </is>
      </c>
      <c r="K40" s="130" t="n">
        <v>9000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58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29" t="n">
        <v>585</v>
      </c>
      <c r="D42" s="127" t="n">
        <v>109.4</v>
      </c>
      <c r="E42" s="128" t="n">
        <v>33</v>
      </c>
      <c r="F42" s="127" t="n">
        <v>85</v>
      </c>
      <c r="G42" s="17" t="n">
        <v>26</v>
      </c>
      <c r="H42" s="129" t="n">
        <v>539</v>
      </c>
      <c r="I42" s="130" t="n">
        <v>43000</v>
      </c>
      <c r="J42" s="130" t="inlineStr">
        <is>
          <t>5</t>
        </is>
      </c>
      <c r="K42" s="130" t="n">
        <v>38000</v>
      </c>
      <c r="L42" s="130" t="inlineStr">
        <is>
          <t>12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29" t="n">
        <v>585</v>
      </c>
      <c r="D43" s="127" t="n">
        <v>122.1</v>
      </c>
      <c r="E43" s="128" t="n">
        <v>37</v>
      </c>
      <c r="F43" s="127" t="n">
        <v>85</v>
      </c>
      <c r="G43" s="17" t="n">
        <v>26</v>
      </c>
      <c r="H43" s="129" t="n">
        <v>46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122B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29" t="n">
        <v>724</v>
      </c>
      <c r="D45" s="127" t="n">
        <v>80.3</v>
      </c>
      <c r="E45" s="128" t="n">
        <v>24</v>
      </c>
      <c r="F45" s="127" t="n">
        <v>59.9</v>
      </c>
      <c r="G45" s="17" t="n">
        <v>18</v>
      </c>
      <c r="H45" s="129" t="n">
        <v>105</v>
      </c>
      <c r="I45" s="130" t="n">
        <v>40000</v>
      </c>
      <c r="J45" s="130" t="inlineStr">
        <is>
          <t>7</t>
        </is>
      </c>
      <c r="K45" s="130" t="n">
        <v>30500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80A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29" t="n">
        <v>724</v>
      </c>
      <c r="D46" s="127" t="n">
        <v>80.5</v>
      </c>
      <c r="E46" s="128" t="n">
        <v>24</v>
      </c>
      <c r="F46" s="127" t="n">
        <v>60</v>
      </c>
      <c r="G46" s="17" t="n">
        <v>18</v>
      </c>
      <c r="H46" s="129" t="n">
        <v>60</v>
      </c>
      <c r="I46" s="130" t="n">
        <v>44000</v>
      </c>
      <c r="J46" s="130" t="inlineStr">
        <is>
          <t>12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80B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29" t="n">
        <v>724</v>
      </c>
      <c r="D47" s="127" t="n">
        <v>112.8</v>
      </c>
      <c r="E47" s="128" t="n">
        <v>34</v>
      </c>
      <c r="F47" s="127" t="n">
        <v>84.90000000000001</v>
      </c>
      <c r="G47" s="17" t="n">
        <v>26</v>
      </c>
      <c r="H47" s="129" t="n">
        <v>111</v>
      </c>
      <c r="I47" s="130" t="n">
        <v>62000</v>
      </c>
      <c r="J47" s="130" t="inlineStr">
        <is>
          <t>12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29" t="n">
        <v>724</v>
      </c>
      <c r="D48" s="127" t="n">
        <v>112.9</v>
      </c>
      <c r="E48" s="128" t="n">
        <v>34</v>
      </c>
      <c r="F48" s="127" t="n">
        <v>84.7</v>
      </c>
      <c r="G48" s="17" t="n">
        <v>26</v>
      </c>
      <c r="H48" s="129" t="n">
        <v>107</v>
      </c>
      <c r="I48" s="130" t="n">
        <v>56000</v>
      </c>
      <c r="J48" s="130" t="inlineStr">
        <is>
          <t>10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112D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29" t="n">
        <v>724</v>
      </c>
      <c r="D49" s="127" t="n">
        <v>113</v>
      </c>
      <c r="E49" s="128" t="n">
        <v>34</v>
      </c>
      <c r="F49" s="127" t="n">
        <v>85</v>
      </c>
      <c r="G49" s="17" t="n">
        <v>26</v>
      </c>
      <c r="H49" s="129" t="n">
        <v>100</v>
      </c>
      <c r="I49" s="130" t="n">
        <v>61500</v>
      </c>
      <c r="J49" s="130" t="inlineStr">
        <is>
          <t>15</t>
        </is>
      </c>
      <c r="K49" s="130" t="n">
        <v>40000</v>
      </c>
      <c r="L49" s="130" t="inlineStr">
        <is>
          <t>9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112G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29" t="n">
        <v>724</v>
      </c>
      <c r="D50" s="127" t="n">
        <v>112.7</v>
      </c>
      <c r="E50" s="128" t="n">
        <v>34</v>
      </c>
      <c r="F50" s="127" t="n">
        <v>84.90000000000001</v>
      </c>
      <c r="G50" s="17" t="n">
        <v>26</v>
      </c>
      <c r="H50" s="129" t="n">
        <v>75</v>
      </c>
      <c r="I50" s="130" t="n">
        <v>59500</v>
      </c>
      <c r="J50" s="130" t="inlineStr">
        <is>
          <t>12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112A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29" t="n">
        <v>724</v>
      </c>
      <c r="D51" s="127" t="n">
        <v>112.8</v>
      </c>
      <c r="E51" s="128" t="n">
        <v>34</v>
      </c>
      <c r="F51" s="127" t="n">
        <v>84.5</v>
      </c>
      <c r="G51" s="17" t="n">
        <v>26</v>
      </c>
      <c r="H51" s="129" t="n">
        <v>45</v>
      </c>
      <c r="I51" s="130" t="n">
        <v>63000</v>
      </c>
      <c r="J51" s="130" t="inlineStr">
        <is>
          <t>14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112C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29" t="n">
        <v>724</v>
      </c>
      <c r="D52" s="127" t="n">
        <v>112.7</v>
      </c>
      <c r="E52" s="128" t="n">
        <v>34</v>
      </c>
      <c r="F52" s="127" t="n">
        <v>84.90000000000001</v>
      </c>
      <c r="G52" s="17" t="n">
        <v>26</v>
      </c>
      <c r="H52" s="129" t="n">
        <v>15</v>
      </c>
      <c r="I52" s="130" t="n">
        <v>59500</v>
      </c>
      <c r="J52" s="130" t="inlineStr">
        <is>
          <t>12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112E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29" t="n">
        <v>724</v>
      </c>
      <c r="D53" s="127" t="n">
        <v>113.5</v>
      </c>
      <c r="E53" s="128" t="n">
        <v>34</v>
      </c>
      <c r="F53" s="127" t="n">
        <v>85</v>
      </c>
      <c r="G53" s="17" t="n">
        <v>26</v>
      </c>
      <c r="H53" s="129" t="n">
        <v>106</v>
      </c>
      <c r="I53" s="130" t="n">
        <v>57000</v>
      </c>
      <c r="J53" s="130" t="inlineStr">
        <is>
          <t>15</t>
        </is>
      </c>
      <c r="K53" s="130" t="n">
        <v>42000</v>
      </c>
      <c r="L53" s="130" t="inlineStr">
        <is>
          <t>16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113F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쌍용2단지</t>
        </is>
      </c>
      <c r="B55" s="10" t="inlineStr">
        <is>
          <t>'98.09.</t>
        </is>
      </c>
      <c r="C55" s="129" t="n">
        <v>308</v>
      </c>
      <c r="D55" s="127" t="n">
        <v>95.8</v>
      </c>
      <c r="E55" s="128" t="n">
        <v>29</v>
      </c>
      <c r="F55" s="127" t="n">
        <v>76.8</v>
      </c>
      <c r="G55" s="17" t="n">
        <v>23</v>
      </c>
      <c r="H55" s="129" t="n">
        <v>164</v>
      </c>
      <c r="I55" s="130" t="n">
        <v>16600</v>
      </c>
      <c r="J55" s="130" t="inlineStr">
        <is>
          <t>9</t>
        </is>
      </c>
      <c r="K55" s="130" t="n">
        <v>17500</v>
      </c>
      <c r="L55" s="130" t="inlineStr">
        <is>
          <t>중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95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29" t="n">
        <v>308</v>
      </c>
      <c r="D56" s="127" t="n">
        <v>106.9</v>
      </c>
      <c r="E56" s="128" t="n">
        <v>32</v>
      </c>
      <c r="F56" s="127" t="n">
        <v>85</v>
      </c>
      <c r="G56" s="17" t="n">
        <v>26</v>
      </c>
      <c r="H56" s="129" t="n">
        <v>144</v>
      </c>
      <c r="I56" s="130" t="n">
        <v>20500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106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롯데2단지</t>
        </is>
      </c>
      <c r="B58" s="10" t="inlineStr">
        <is>
          <t>'87.06.</t>
        </is>
      </c>
      <c r="C58" s="129" t="n">
        <v>290</v>
      </c>
      <c r="D58" s="127" t="n">
        <v>59.9</v>
      </c>
      <c r="E58" s="128" t="n">
        <v>18</v>
      </c>
      <c r="F58" s="127" t="n">
        <v>54.1</v>
      </c>
      <c r="G58" s="17" t="n">
        <v>16</v>
      </c>
      <c r="H58" s="129" t="n">
        <v>120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59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29" t="n">
        <v>290</v>
      </c>
      <c r="D59" s="127" t="n">
        <v>65.5</v>
      </c>
      <c r="E59" s="128" t="n">
        <v>20</v>
      </c>
      <c r="F59" s="127" t="n">
        <v>59.4</v>
      </c>
      <c r="G59" s="17" t="n">
        <v>18</v>
      </c>
      <c r="H59" s="129" t="n">
        <v>170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n">
        <v>65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29" t="n">
        <v>720</v>
      </c>
      <c r="D61" s="127" t="n">
        <v>80.3</v>
      </c>
      <c r="E61" s="128" t="n">
        <v>24</v>
      </c>
      <c r="F61" s="127" t="n">
        <v>60</v>
      </c>
      <c r="G61" s="17" t="n">
        <v>18</v>
      </c>
      <c r="H61" s="129" t="n">
        <v>108</v>
      </c>
      <c r="I61" s="130" t="n">
        <v>42500</v>
      </c>
      <c r="J61" s="130" t="inlineStr">
        <is>
          <t>6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80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29" t="n">
        <v>720</v>
      </c>
      <c r="D62" s="127" t="n">
        <v>112.9</v>
      </c>
      <c r="E62" s="128" t="n">
        <v>34</v>
      </c>
      <c r="F62" s="127" t="n">
        <v>84.90000000000001</v>
      </c>
      <c r="G62" s="17" t="n">
        <v>26</v>
      </c>
      <c r="H62" s="129" t="n">
        <v>133</v>
      </c>
      <c r="I62" s="130" t="n">
        <v>58000</v>
      </c>
      <c r="J62" s="130" t="inlineStr">
        <is>
          <t>중</t>
        </is>
      </c>
      <c r="K62" s="130" t="n">
        <v>42000</v>
      </c>
      <c r="L62" s="130" t="inlineStr">
        <is>
          <t>19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inlineStr">
        <is>
          <t>112C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29" t="n">
        <v>720</v>
      </c>
      <c r="D63" s="127" t="n">
        <v>112.6</v>
      </c>
      <c r="E63" s="128" t="n">
        <v>34</v>
      </c>
      <c r="F63" s="127" t="n">
        <v>84.90000000000001</v>
      </c>
      <c r="G63" s="17" t="n">
        <v>26</v>
      </c>
      <c r="H63" s="129" t="n">
        <v>98</v>
      </c>
      <c r="I63" s="130" t="n">
        <v>63000</v>
      </c>
      <c r="J63" s="130" t="inlineStr">
        <is>
          <t>15</t>
        </is>
      </c>
      <c r="K63" s="130" t="n">
        <v>42000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29" t="n">
        <v>720</v>
      </c>
      <c r="D64" s="127" t="n">
        <v>113.1</v>
      </c>
      <c r="E64" s="128" t="n">
        <v>34</v>
      </c>
      <c r="F64" s="127" t="n">
        <v>84.90000000000001</v>
      </c>
      <c r="G64" s="17" t="n">
        <v>26</v>
      </c>
      <c r="H64" s="129" t="n">
        <v>251</v>
      </c>
      <c r="I64" s="130" t="n">
        <v>63000</v>
      </c>
      <c r="J64" s="130" t="inlineStr">
        <is>
          <t>9</t>
        </is>
      </c>
      <c r="K64" s="130" t="n">
        <v>42000</v>
      </c>
      <c r="L64" s="130" t="inlineStr">
        <is>
          <t>10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inlineStr">
        <is>
          <t>113A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29" t="n">
        <v>720</v>
      </c>
      <c r="D65" s="127" t="n">
        <v>113.2</v>
      </c>
      <c r="E65" s="128" t="n">
        <v>34</v>
      </c>
      <c r="F65" s="127" t="n">
        <v>84.90000000000001</v>
      </c>
      <c r="G65" s="17" t="n">
        <v>26</v>
      </c>
      <c r="H65" s="129" t="n">
        <v>130</v>
      </c>
      <c r="I65" s="130" t="n">
        <v>60000</v>
      </c>
      <c r="J65" s="130" t="inlineStr">
        <is>
          <t>17</t>
        </is>
      </c>
      <c r="K65" s="130" t="n">
        <v>61000</v>
      </c>
      <c r="L65" s="130" t="inlineStr">
        <is>
          <t>고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113B1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롯데1단지</t>
        </is>
      </c>
      <c r="B67" s="10" t="inlineStr">
        <is>
          <t>'85.07.</t>
        </is>
      </c>
      <c r="C67" s="129" t="n">
        <v>240</v>
      </c>
      <c r="D67" s="127" t="n">
        <v>54.1</v>
      </c>
      <c r="E67" s="128" t="n">
        <v>16</v>
      </c>
      <c r="F67" s="127" t="n">
        <v>47.8</v>
      </c>
      <c r="G67" s="17" t="n">
        <v>14</v>
      </c>
      <c r="H67" s="129" t="n">
        <v>240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54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에코시티더샵3차</t>
        </is>
      </c>
      <c r="B69" s="10" t="inlineStr">
        <is>
          <t>'19.03.</t>
        </is>
      </c>
      <c r="C69" s="129" t="n">
        <v>644</v>
      </c>
      <c r="D69" s="127" t="n">
        <v>80.59999999999999</v>
      </c>
      <c r="E69" s="128" t="n">
        <v>24</v>
      </c>
      <c r="F69" s="127" t="n">
        <v>59.8</v>
      </c>
      <c r="G69" s="17" t="n">
        <v>18</v>
      </c>
      <c r="H69" s="129" t="n">
        <v>117</v>
      </c>
      <c r="I69" s="130" t="n">
        <v>42500</v>
      </c>
      <c r="J69" s="130" t="inlineStr">
        <is>
          <t>11</t>
        </is>
      </c>
      <c r="K69" s="130" t="n">
        <v>32000</v>
      </c>
      <c r="L69" s="130" t="inlineStr">
        <is>
          <t>24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80A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29" t="n">
        <v>644</v>
      </c>
      <c r="D70" s="127" t="n">
        <v>81</v>
      </c>
      <c r="E70" s="128" t="n">
        <v>24</v>
      </c>
      <c r="F70" s="127" t="n">
        <v>60</v>
      </c>
      <c r="G70" s="17" t="n">
        <v>18</v>
      </c>
      <c r="H70" s="129" t="n">
        <v>29</v>
      </c>
      <c r="I70" s="130" t="n">
        <v>42500</v>
      </c>
      <c r="J70" s="130" t="inlineStr">
        <is>
          <t>7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80B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29" t="n">
        <v>644</v>
      </c>
      <c r="D71" s="127" t="n">
        <v>112.7</v>
      </c>
      <c r="E71" s="128" t="n">
        <v>34</v>
      </c>
      <c r="F71" s="127" t="n">
        <v>85</v>
      </c>
      <c r="G71" s="17" t="n">
        <v>26</v>
      </c>
      <c r="H71" s="129" t="n">
        <v>133</v>
      </c>
      <c r="I71" s="130" t="n">
        <v>64000</v>
      </c>
      <c r="J71" s="130" t="inlineStr">
        <is>
          <t>25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112B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29" t="n">
        <v>644</v>
      </c>
      <c r="D72" s="127" t="n">
        <v>113.9</v>
      </c>
      <c r="E72" s="128" t="n">
        <v>34</v>
      </c>
      <c r="F72" s="127" t="n">
        <v>85</v>
      </c>
      <c r="G72" s="17" t="n">
        <v>26</v>
      </c>
      <c r="H72" s="129" t="n">
        <v>110</v>
      </c>
      <c r="I72" s="130" t="n">
        <v>63000</v>
      </c>
      <c r="J72" s="130" t="inlineStr">
        <is>
          <t>18</t>
        </is>
      </c>
      <c r="K72" s="130" t="n">
        <v>46000</v>
      </c>
      <c r="L72" s="130" t="inlineStr">
        <is>
          <t>13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113C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29" t="n">
        <v>644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27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113A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29" t="n">
        <v>644</v>
      </c>
      <c r="D74" s="127" t="n">
        <v>113.9</v>
      </c>
      <c r="E74" s="128" t="n">
        <v>34</v>
      </c>
      <c r="F74" s="127" t="n">
        <v>85</v>
      </c>
      <c r="G74" s="17" t="n">
        <v>26</v>
      </c>
      <c r="H74" s="129" t="n">
        <v>4</v>
      </c>
      <c r="I74" s="130" t="n">
        <v>63000</v>
      </c>
      <c r="J74" s="130" t="inlineStr">
        <is>
          <t>18</t>
        </is>
      </c>
      <c r="K74" s="130" t="n">
        <v>46000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113D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29" t="n">
        <v>644</v>
      </c>
      <c r="D75" s="127" t="n">
        <v>132.2</v>
      </c>
      <c r="E75" s="128" t="n">
        <v>40</v>
      </c>
      <c r="F75" s="127" t="n">
        <v>99.5</v>
      </c>
      <c r="G75" s="17" t="n">
        <v>30</v>
      </c>
      <c r="H75" s="129" t="n">
        <v>110</v>
      </c>
      <c r="I75" s="130" t="n">
        <v>89000</v>
      </c>
      <c r="J75" s="130" t="inlineStr">
        <is>
          <t>8</t>
        </is>
      </c>
      <c r="K75" s="130" t="n">
        <v>56000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29" t="n">
        <v>644</v>
      </c>
      <c r="D76" s="127" t="n">
        <v>155.2</v>
      </c>
      <c r="E76" s="128" t="n">
        <v>47</v>
      </c>
      <c r="F76" s="127" t="n">
        <v>117.7</v>
      </c>
      <c r="G76" s="17" t="n">
        <v>36</v>
      </c>
      <c r="H76" s="129" t="n">
        <v>110</v>
      </c>
      <c r="I76" s="130" t="n">
        <v>110000</v>
      </c>
      <c r="J76" s="130" t="inlineStr">
        <is>
          <t>24</t>
        </is>
      </c>
      <c r="K76" s="130" t="n">
        <v>70000</v>
      </c>
      <c r="L76" s="130" t="inlineStr">
        <is>
          <t>19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inlineStr">
        <is>
          <t>155A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29" t="n">
        <v>644</v>
      </c>
      <c r="D77" s="127" t="n">
        <v>155.2</v>
      </c>
      <c r="E77" s="128" t="n">
        <v>47</v>
      </c>
      <c r="F77" s="127" t="n">
        <v>117.7</v>
      </c>
      <c r="G77" s="17" t="n">
        <v>36</v>
      </c>
      <c r="H77" s="129" t="n">
        <v>4</v>
      </c>
      <c r="I77" s="130" t="n">
        <v>110000</v>
      </c>
      <c r="J77" s="130" t="inlineStr">
        <is>
          <t>24</t>
        </is>
      </c>
      <c r="K77" s="130" t="n">
        <v>70000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inlineStr">
        <is>
          <t>155B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현대1차</t>
        </is>
      </c>
      <c r="B79" s="10" t="inlineStr">
        <is>
          <t>'95.05.</t>
        </is>
      </c>
      <c r="C79" s="129" t="n">
        <v>248</v>
      </c>
      <c r="D79" s="127" t="n">
        <v>80.09999999999999</v>
      </c>
      <c r="E79" s="128" t="n">
        <v>24</v>
      </c>
      <c r="F79" s="127" t="n">
        <v>59.3</v>
      </c>
      <c r="G79" s="17" t="n">
        <v>18</v>
      </c>
      <c r="H79" s="129" t="n">
        <v>132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80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29" t="n">
        <v>248</v>
      </c>
      <c r="D80" s="127" t="n">
        <v>104.3</v>
      </c>
      <c r="E80" s="128" t="n">
        <v>32</v>
      </c>
      <c r="F80" s="127" t="n">
        <v>85</v>
      </c>
      <c r="G80" s="17" t="n">
        <v>26</v>
      </c>
      <c r="H80" s="129" t="n">
        <v>116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104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29" t="n">
        <v>878</v>
      </c>
      <c r="D82" s="127" t="n">
        <v>102.1</v>
      </c>
      <c r="E82" s="128" t="n">
        <v>31</v>
      </c>
      <c r="F82" s="127" t="n">
        <v>75.90000000000001</v>
      </c>
      <c r="G82" s="17" t="n">
        <v>23</v>
      </c>
      <c r="H82" s="129" t="n">
        <v>150</v>
      </c>
      <c r="I82" s="130" t="n"/>
      <c r="J82" s="130" t="n"/>
      <c r="K82" s="130" t="n">
        <v>38000</v>
      </c>
      <c r="L82" s="130" t="inlineStr">
        <is>
          <t>중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102A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29" t="n">
        <v>878</v>
      </c>
      <c r="D83" s="127" t="n">
        <v>102.3</v>
      </c>
      <c r="E83" s="128" t="n">
        <v>31</v>
      </c>
      <c r="F83" s="127" t="n">
        <v>76</v>
      </c>
      <c r="G83" s="17" t="n">
        <v>23</v>
      </c>
      <c r="H83" s="129" t="n">
        <v>60</v>
      </c>
      <c r="I83" s="130" t="n"/>
      <c r="J83" s="130" t="n"/>
      <c r="K83" s="130" t="n">
        <v>37000</v>
      </c>
      <c r="L83" s="130" t="inlineStr">
        <is>
          <t>16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29" t="n">
        <v>878</v>
      </c>
      <c r="D84" s="127" t="n">
        <v>113.9</v>
      </c>
      <c r="E84" s="128" t="n">
        <v>34</v>
      </c>
      <c r="F84" s="127" t="n">
        <v>84.90000000000001</v>
      </c>
      <c r="G84" s="17" t="n">
        <v>26</v>
      </c>
      <c r="H84" s="129" t="n">
        <v>237</v>
      </c>
      <c r="I84" s="130" t="n"/>
      <c r="J84" s="130" t="n"/>
      <c r="K84" s="130" t="n">
        <v>41000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113A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29" t="n">
        <v>878</v>
      </c>
      <c r="D85" s="127" t="n">
        <v>114.5</v>
      </c>
      <c r="E85" s="128" t="n">
        <v>35</v>
      </c>
      <c r="F85" s="127" t="n">
        <v>84.90000000000001</v>
      </c>
      <c r="G85" s="17" t="n">
        <v>26</v>
      </c>
      <c r="H85" s="129" t="n">
        <v>179</v>
      </c>
      <c r="I85" s="130" t="n"/>
      <c r="J85" s="130" t="n"/>
      <c r="K85" s="130" t="n">
        <v>41000</v>
      </c>
      <c r="L85" s="130" t="inlineStr">
        <is>
          <t>9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114B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29" t="n">
        <v>878</v>
      </c>
      <c r="D86" s="127" t="n">
        <v>132.9</v>
      </c>
      <c r="E86" s="128" t="n">
        <v>40</v>
      </c>
      <c r="F86" s="127" t="n">
        <v>99</v>
      </c>
      <c r="G86" s="17" t="n">
        <v>30</v>
      </c>
      <c r="H86" s="129" t="n">
        <v>140</v>
      </c>
      <c r="I86" s="130" t="n"/>
      <c r="J86" s="130" t="n"/>
      <c r="K86" s="130" t="n">
        <v>50000</v>
      </c>
      <c r="L86" s="130" t="inlineStr">
        <is>
          <t>10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132A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29" t="n">
        <v>878</v>
      </c>
      <c r="D87" s="127" t="n">
        <v>167</v>
      </c>
      <c r="E87" s="128" t="n">
        <v>51</v>
      </c>
      <c r="F87" s="127" t="n">
        <v>125.7</v>
      </c>
      <c r="G87" s="17" t="n">
        <v>38</v>
      </c>
      <c r="H87" s="129" t="n">
        <v>112</v>
      </c>
      <c r="I87" s="130" t="n">
        <v>115000</v>
      </c>
      <c r="J87" s="130" t="inlineStr">
        <is>
          <t>17</t>
        </is>
      </c>
      <c r="K87" s="130" t="n">
        <v>55000</v>
      </c>
      <c r="L87" s="130" t="inlineStr">
        <is>
          <t>22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166A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27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2" t="n"/>
      <c r="P88" s="132" t="n"/>
      <c r="Q88" s="128" t="n"/>
      <c r="R88" s="128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0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솔내마을동아</t>
        </is>
      </c>
      <c r="B89" s="10" t="inlineStr">
        <is>
          <t>'99.10.</t>
        </is>
      </c>
      <c r="C89" s="129" t="n">
        <v>505</v>
      </c>
      <c r="D89" s="127" t="n">
        <v>105.1</v>
      </c>
      <c r="E89" s="128" t="n">
        <v>32</v>
      </c>
      <c r="F89" s="127" t="n">
        <v>84.90000000000001</v>
      </c>
      <c r="G89" s="17" t="n">
        <v>26</v>
      </c>
      <c r="H89" s="129" t="n">
        <v>68</v>
      </c>
      <c r="I89" s="130" t="n">
        <v>19000</v>
      </c>
      <c r="J89" s="130" t="inlineStr">
        <is>
          <t>15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105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29" t="n">
        <v>505</v>
      </c>
      <c r="D90" s="127" t="n">
        <v>107.1</v>
      </c>
      <c r="E90" s="128" t="n">
        <v>32</v>
      </c>
      <c r="F90" s="127" t="n">
        <v>85</v>
      </c>
      <c r="G90" s="17" t="n">
        <v>26</v>
      </c>
      <c r="H90" s="129" t="n">
        <v>261</v>
      </c>
      <c r="I90" s="130" t="n">
        <v>18300</v>
      </c>
      <c r="J90" s="130" t="inlineStr">
        <is>
          <t>13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107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29" t="n">
        <v>505</v>
      </c>
      <c r="D91" s="127" t="n">
        <v>123.1</v>
      </c>
      <c r="E91" s="128" t="n">
        <v>37</v>
      </c>
      <c r="F91" s="127" t="n">
        <v>99.90000000000001</v>
      </c>
      <c r="G91" s="17" t="n">
        <v>30</v>
      </c>
      <c r="H91" s="129" t="n">
        <v>108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123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29" t="n">
        <v>505</v>
      </c>
      <c r="D92" s="127" t="n">
        <v>151.3</v>
      </c>
      <c r="E92" s="128" t="n">
        <v>46</v>
      </c>
      <c r="F92" s="127" t="n">
        <v>124.3</v>
      </c>
      <c r="G92" s="17" t="n">
        <v>38</v>
      </c>
      <c r="H92" s="129" t="n">
        <v>68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n">
        <v>151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29" t="n">
        <v>614</v>
      </c>
      <c r="D94" s="127" t="n">
        <v>115.7</v>
      </c>
      <c r="E94" s="128" t="n">
        <v>35</v>
      </c>
      <c r="F94" s="127" t="n">
        <v>85</v>
      </c>
      <c r="G94" s="17" t="n">
        <v>26</v>
      </c>
      <c r="H94" s="129" t="n">
        <v>210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115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29" t="n">
        <v>614</v>
      </c>
      <c r="D95" s="127" t="n">
        <v>156</v>
      </c>
      <c r="E95" s="128" t="n">
        <v>47</v>
      </c>
      <c r="F95" s="127" t="n">
        <v>116.8</v>
      </c>
      <c r="G95" s="17" t="n">
        <v>35</v>
      </c>
      <c r="H95" s="129" t="n">
        <v>119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inlineStr">
        <is>
          <t>156A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29" t="n">
        <v>614</v>
      </c>
      <c r="D96" s="127" t="n">
        <v>156.3</v>
      </c>
      <c r="E96" s="128" t="n">
        <v>47</v>
      </c>
      <c r="F96" s="127" t="n">
        <v>116.9</v>
      </c>
      <c r="G96" s="17" t="n">
        <v>35</v>
      </c>
      <c r="H96" s="129" t="n">
        <v>38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inlineStr">
        <is>
          <t>156B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29" t="n">
        <v>614</v>
      </c>
      <c r="D97" s="127" t="n">
        <v>160.7</v>
      </c>
      <c r="E97" s="128" t="n">
        <v>49</v>
      </c>
      <c r="F97" s="127" t="n">
        <v>120.6</v>
      </c>
      <c r="G97" s="17" t="n">
        <v>36</v>
      </c>
      <c r="H97" s="129" t="n">
        <v>122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4</v>
      </c>
      <c r="R97" s="117" t="n">
        <v>2</v>
      </c>
      <c r="S97" s="117" t="inlineStr">
        <is>
          <t>계</t>
        </is>
      </c>
      <c r="T97" s="5" t="n">
        <v>160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29" t="n">
        <v>614</v>
      </c>
      <c r="D98" s="127" t="n">
        <v>175.7</v>
      </c>
      <c r="E98" s="128" t="n">
        <v>53</v>
      </c>
      <c r="F98" s="127" t="n">
        <v>130.9</v>
      </c>
      <c r="G98" s="17" t="n">
        <v>40</v>
      </c>
      <c r="H98" s="129" t="n">
        <v>121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175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29" t="n">
        <v>614</v>
      </c>
      <c r="D99" s="127" t="n">
        <v>222.7</v>
      </c>
      <c r="E99" s="128" t="n">
        <v>67</v>
      </c>
      <c r="F99" s="127" t="n">
        <v>163.7</v>
      </c>
      <c r="G99" s="17" t="n">
        <v>50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3</v>
      </c>
      <c r="S99" s="117" t="inlineStr">
        <is>
          <t>계</t>
        </is>
      </c>
      <c r="T99" s="5" t="n">
        <v>222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29" t="n">
        <v>614</v>
      </c>
      <c r="D100" s="127" t="n">
        <v>228</v>
      </c>
      <c r="E100" s="128" t="n">
        <v>69</v>
      </c>
      <c r="F100" s="127" t="n">
        <v>167.4</v>
      </c>
      <c r="G100" s="17" t="n">
        <v>51</v>
      </c>
      <c r="H100" s="129" t="n">
        <v>1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4</v>
      </c>
      <c r="R100" s="117" t="n">
        <v>3</v>
      </c>
      <c r="S100" s="117" t="inlineStr">
        <is>
          <t>계</t>
        </is>
      </c>
      <c r="T100" s="5" t="n">
        <v>228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29" t="n">
        <v>614</v>
      </c>
      <c r="D101" s="127" t="n">
        <v>235.2</v>
      </c>
      <c r="E101" s="128" t="n">
        <v>71</v>
      </c>
      <c r="F101" s="127" t="n">
        <v>173</v>
      </c>
      <c r="G101" s="17" t="n">
        <v>52</v>
      </c>
      <c r="H101" s="129" t="n">
        <v>1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3</v>
      </c>
      <c r="S101" s="117" t="inlineStr">
        <is>
          <t>계</t>
        </is>
      </c>
      <c r="T101" s="5" t="n">
        <v>235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27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2" t="n"/>
      <c r="P102" s="132" t="n"/>
      <c r="Q102" s="128" t="n"/>
      <c r="R102" s="128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0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송천주공2차</t>
        </is>
      </c>
      <c r="B103" s="10" t="inlineStr">
        <is>
          <t>'04.07.</t>
        </is>
      </c>
      <c r="C103" s="129" t="n">
        <v>710</v>
      </c>
      <c r="D103" s="127" t="n">
        <v>67.5</v>
      </c>
      <c r="E103" s="128" t="n">
        <v>20</v>
      </c>
      <c r="F103" s="127" t="n">
        <v>51.9</v>
      </c>
      <c r="G103" s="17" t="n">
        <v>16</v>
      </c>
      <c r="H103" s="129" t="n">
        <v>258</v>
      </c>
      <c r="I103" s="130" t="n">
        <v>16300</v>
      </c>
      <c r="J103" s="130" t="inlineStr">
        <is>
          <t>14</t>
        </is>
      </c>
      <c r="K103" s="130" t="n">
        <v>15000</v>
      </c>
      <c r="L103" s="130" t="inlineStr">
        <is>
          <t>11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2</v>
      </c>
      <c r="R103" s="117" t="n">
        <v>1</v>
      </c>
      <c r="S103" s="117" t="inlineStr">
        <is>
          <t>계</t>
        </is>
      </c>
      <c r="T103" s="5" t="n">
        <v>67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29" t="n">
        <v>710</v>
      </c>
      <c r="D104" s="127" t="n">
        <v>77.5</v>
      </c>
      <c r="E104" s="128" t="n">
        <v>23</v>
      </c>
      <c r="F104" s="127" t="n">
        <v>59.6</v>
      </c>
      <c r="G104" s="17" t="n">
        <v>18</v>
      </c>
      <c r="H104" s="129" t="n">
        <v>452</v>
      </c>
      <c r="I104" s="130" t="n">
        <v>18700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n"/>
      <c r="B105" s="117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0">
        <f>IF(E105="","",E105)</f>
        <v/>
      </c>
      <c r="AJ105" s="117" t="n"/>
      <c r="AK105" s="117" t="n"/>
      <c r="AL105" s="117" t="n"/>
      <c r="AM105" s="117" t="n"/>
      <c r="AN105" s="117" t="n"/>
      <c r="AO105" s="117" t="n"/>
      <c r="AP105" s="117" t="n"/>
      <c r="AQ105" s="117" t="n"/>
      <c r="AR105" s="117" t="n"/>
      <c r="AS105" s="117" t="n"/>
      <c r="AT105" s="117" t="n"/>
      <c r="AU105" s="117" t="n"/>
      <c r="AV105" s="117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29" t="n">
        <v>948</v>
      </c>
      <c r="D106" s="127" t="n">
        <v>82.3</v>
      </c>
      <c r="E106" s="128" t="n">
        <v>25</v>
      </c>
      <c r="F106" s="127" t="n">
        <v>60</v>
      </c>
      <c r="G106" s="17" t="n">
        <v>18</v>
      </c>
      <c r="H106" s="129" t="n">
        <v>250</v>
      </c>
      <c r="I106" s="130" t="n">
        <v>40000</v>
      </c>
      <c r="J106" s="130" t="inlineStr">
        <is>
          <t>8</t>
        </is>
      </c>
      <c r="K106" s="130" t="n">
        <v>32000</v>
      </c>
      <c r="L106" s="130" t="inlineStr">
        <is>
          <t>19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82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29" t="n">
        <v>948</v>
      </c>
      <c r="D107" s="127" t="n">
        <v>114.8</v>
      </c>
      <c r="E107" s="128" t="n">
        <v>35</v>
      </c>
      <c r="F107" s="127" t="n">
        <v>85</v>
      </c>
      <c r="G107" s="17" t="n">
        <v>26</v>
      </c>
      <c r="H107" s="129" t="n">
        <v>492</v>
      </c>
      <c r="I107" s="130" t="n">
        <v>58000</v>
      </c>
      <c r="J107" s="130" t="inlineStr">
        <is>
          <t>6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114A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29" t="n">
        <v>948</v>
      </c>
      <c r="D108" s="127" t="n">
        <v>114.8</v>
      </c>
      <c r="E108" s="128" t="n">
        <v>35</v>
      </c>
      <c r="F108" s="127" t="n">
        <v>84.90000000000001</v>
      </c>
      <c r="G108" s="17" t="n">
        <v>26</v>
      </c>
      <c r="H108" s="129" t="n">
        <v>103</v>
      </c>
      <c r="I108" s="130" t="n">
        <v>59000</v>
      </c>
      <c r="J108" s="130" t="inlineStr">
        <is>
          <t>27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114B</t>
        </is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29" t="n">
        <v>948</v>
      </c>
      <c r="D109" s="127" t="n">
        <v>114.5</v>
      </c>
      <c r="E109" s="128" t="n">
        <v>35</v>
      </c>
      <c r="F109" s="127" t="n">
        <v>85</v>
      </c>
      <c r="G109" s="17" t="n">
        <v>26</v>
      </c>
      <c r="H109" s="129" t="n">
        <v>87</v>
      </c>
      <c r="I109" s="130" t="n">
        <v>63000</v>
      </c>
      <c r="J109" s="130" t="inlineStr">
        <is>
          <t>11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inlineStr">
        <is>
          <t>114C</t>
        </is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29" t="n">
        <v>948</v>
      </c>
      <c r="D110" s="127" t="n">
        <v>114.8</v>
      </c>
      <c r="E110" s="128" t="n">
        <v>35</v>
      </c>
      <c r="F110" s="127" t="n">
        <v>85</v>
      </c>
      <c r="G110" s="17" t="n">
        <v>26</v>
      </c>
      <c r="H110" s="129" t="n">
        <v>8</v>
      </c>
      <c r="I110" s="130" t="n">
        <v>58000</v>
      </c>
      <c r="J110" s="130" t="inlineStr">
        <is>
          <t>6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114D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29" t="n">
        <v>948</v>
      </c>
      <c r="D111" s="127" t="n">
        <v>115.4</v>
      </c>
      <c r="E111" s="128" t="n">
        <v>35</v>
      </c>
      <c r="F111" s="127" t="n">
        <v>85</v>
      </c>
      <c r="G111" s="17" t="n">
        <v>26</v>
      </c>
      <c r="H111" s="129" t="n">
        <v>8</v>
      </c>
      <c r="I111" s="130" t="n"/>
      <c r="J111" s="130" t="n"/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115E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27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2" t="n"/>
      <c r="P112" s="132" t="n"/>
      <c r="Q112" s="128" t="n"/>
      <c r="R112" s="128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0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29" t="n">
        <v>643</v>
      </c>
      <c r="D113" s="127" t="n">
        <v>82.40000000000001</v>
      </c>
      <c r="E113" s="128" t="n">
        <v>25</v>
      </c>
      <c r="F113" s="127" t="n">
        <v>60</v>
      </c>
      <c r="G113" s="17" t="n">
        <v>18</v>
      </c>
      <c r="H113" s="129" t="n">
        <v>116</v>
      </c>
      <c r="I113" s="130" t="n">
        <v>42000</v>
      </c>
      <c r="J113" s="130" t="inlineStr">
        <is>
          <t>9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82A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29" t="n">
        <v>643</v>
      </c>
      <c r="D114" s="127" t="n">
        <v>82.3</v>
      </c>
      <c r="E114" s="128" t="n">
        <v>25</v>
      </c>
      <c r="F114" s="127" t="n">
        <v>59.9</v>
      </c>
      <c r="G114" s="17" t="n">
        <v>18</v>
      </c>
      <c r="H114" s="129" t="n">
        <v>29</v>
      </c>
      <c r="I114" s="130" t="n">
        <v>40000</v>
      </c>
      <c r="J114" s="130" t="inlineStr">
        <is>
          <t>28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82B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29" t="n">
        <v>643</v>
      </c>
      <c r="D115" s="127" t="n">
        <v>115.9</v>
      </c>
      <c r="E115" s="128" t="n">
        <v>35</v>
      </c>
      <c r="F115" s="127" t="n">
        <v>85</v>
      </c>
      <c r="G115" s="17" t="n">
        <v>26</v>
      </c>
      <c r="H115" s="129" t="n">
        <v>274</v>
      </c>
      <c r="I115" s="130" t="n">
        <v>59000</v>
      </c>
      <c r="J115" s="130" t="inlineStr">
        <is>
          <t>7</t>
        </is>
      </c>
      <c r="K115" s="130" t="n"/>
      <c r="L115" s="130" t="n"/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115A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29" t="n">
        <v>643</v>
      </c>
      <c r="D116" s="127" t="n">
        <v>133.5</v>
      </c>
      <c r="E116" s="128" t="n">
        <v>40</v>
      </c>
      <c r="F116" s="127" t="n">
        <v>98.5</v>
      </c>
      <c r="G116" s="17" t="n">
        <v>30</v>
      </c>
      <c r="H116" s="129" t="n">
        <v>224</v>
      </c>
      <c r="I116" s="130" t="n">
        <v>78000</v>
      </c>
      <c r="J116" s="130" t="inlineStr">
        <is>
          <t>20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inlineStr">
        <is>
          <t>133A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27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2" t="n"/>
      <c r="P117" s="132" t="n"/>
      <c r="Q117" s="128" t="n"/>
      <c r="R117" s="128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0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29" t="n">
        <v>490</v>
      </c>
      <c r="D118" s="127" t="n">
        <v>110.9</v>
      </c>
      <c r="E118" s="128" t="n">
        <v>34</v>
      </c>
      <c r="F118" s="127" t="n">
        <v>84.8</v>
      </c>
      <c r="G118" s="17" t="n">
        <v>26</v>
      </c>
      <c r="H118" s="129" t="n">
        <v>260</v>
      </c>
      <c r="I118" s="130" t="n">
        <v>59000</v>
      </c>
      <c r="J118" s="130" t="inlineStr">
        <is>
          <t>5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110A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29" t="n">
        <v>490</v>
      </c>
      <c r="D119" s="127" t="n">
        <v>110.9</v>
      </c>
      <c r="E119" s="128" t="n">
        <v>34</v>
      </c>
      <c r="F119" s="127" t="n">
        <v>84.8</v>
      </c>
      <c r="G119" s="17" t="n">
        <v>26</v>
      </c>
      <c r="H119" s="129" t="n">
        <v>60</v>
      </c>
      <c r="I119" s="130" t="n">
        <v>59000</v>
      </c>
      <c r="J119" s="130" t="inlineStr">
        <is>
          <t>5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inlineStr">
        <is>
          <t>110B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29" t="n">
        <v>490</v>
      </c>
      <c r="D120" s="127" t="n">
        <v>111.7</v>
      </c>
      <c r="E120" s="128" t="n">
        <v>34</v>
      </c>
      <c r="F120" s="127" t="n">
        <v>85</v>
      </c>
      <c r="G120" s="17" t="n">
        <v>26</v>
      </c>
      <c r="H120" s="129" t="n">
        <v>114</v>
      </c>
      <c r="I120" s="130" t="n">
        <v>62000</v>
      </c>
      <c r="J120" s="130" t="inlineStr">
        <is>
          <t>18</t>
        </is>
      </c>
      <c r="K120" s="130" t="n">
        <v>40000</v>
      </c>
      <c r="L120" s="130" t="inlineStr">
        <is>
          <t>17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111C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29" t="n">
        <v>490</v>
      </c>
      <c r="D121" s="127" t="n">
        <v>155</v>
      </c>
      <c r="E121" s="128" t="n">
        <v>47</v>
      </c>
      <c r="F121" s="127" t="n">
        <v>118.9</v>
      </c>
      <c r="G121" s="17" t="n">
        <v>36</v>
      </c>
      <c r="H121" s="129" t="n">
        <v>56</v>
      </c>
      <c r="I121" s="130" t="n">
        <v>110000</v>
      </c>
      <c r="J121" s="130" t="inlineStr">
        <is>
          <t>8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4</v>
      </c>
      <c r="R121" s="117" t="n">
        <v>2</v>
      </c>
      <c r="S121" s="117" t="inlineStr">
        <is>
          <t>계</t>
        </is>
      </c>
      <c r="T121" s="5" t="n">
        <v>154</v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n"/>
      <c r="B122" s="117" t="n"/>
      <c r="C122" s="6" t="n"/>
      <c r="D122" s="9" t="n"/>
      <c r="E122" s="14" t="n"/>
      <c r="F122" s="127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2" t="n"/>
      <c r="P122" s="132" t="n"/>
      <c r="Q122" s="128" t="n"/>
      <c r="R122" s="128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0">
        <f>IF(E122="","",E122)</f>
        <v/>
      </c>
      <c r="AJ122" s="117" t="n"/>
      <c r="AK122" s="117" t="n"/>
      <c r="AL122" s="117" t="n"/>
      <c r="AM122" s="117" t="n"/>
      <c r="AN122" s="117" t="n"/>
      <c r="AO122" s="117" t="n"/>
      <c r="AP122" s="117" t="n"/>
      <c r="AQ122" s="117" t="n"/>
      <c r="AR122" s="117" t="n"/>
      <c r="AS122" s="117" t="n"/>
      <c r="AT122" s="117" t="n"/>
      <c r="AU122" s="117" t="n"/>
      <c r="AV122" s="117" t="n"/>
    </row>
    <row r="123">
      <c r="A123" s="9" t="inlineStr">
        <is>
          <t>송천시영</t>
        </is>
      </c>
      <c r="B123" s="10" t="inlineStr">
        <is>
          <t>'94.10.</t>
        </is>
      </c>
      <c r="C123" s="129" t="n">
        <v>360</v>
      </c>
      <c r="D123" s="127" t="n">
        <v>67.09999999999999</v>
      </c>
      <c r="E123" s="128" t="n">
        <v>20</v>
      </c>
      <c r="F123" s="127" t="n">
        <v>49.9</v>
      </c>
      <c r="G123" s="17" t="n">
        <v>15</v>
      </c>
      <c r="H123" s="129" t="n">
        <v>360</v>
      </c>
      <c r="I123" s="130" t="n">
        <v>8000</v>
      </c>
      <c r="J123" s="130" t="inlineStr">
        <is>
          <t>10</t>
        </is>
      </c>
      <c r="K123" s="130" t="n">
        <v>8200</v>
      </c>
      <c r="L123" s="130" t="inlineStr">
        <is>
          <t>10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n">
        <v>67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n"/>
      <c r="B124" s="117" t="n"/>
      <c r="C124" s="6" t="n"/>
      <c r="D124" s="9" t="n"/>
      <c r="E124" s="14" t="n"/>
      <c r="F124" s="127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2" t="n"/>
      <c r="P124" s="132" t="n"/>
      <c r="Q124" s="128" t="n"/>
      <c r="R124" s="128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0">
        <f>IF(E124="","",E124)</f>
        <v/>
      </c>
      <c r="AJ124" s="117" t="n"/>
      <c r="AK124" s="117" t="n"/>
      <c r="AL124" s="117" t="n"/>
      <c r="AM124" s="117" t="n"/>
      <c r="AN124" s="117" t="n"/>
      <c r="AO124" s="117" t="n"/>
      <c r="AP124" s="117" t="n"/>
      <c r="AQ124" s="117" t="n"/>
      <c r="AR124" s="117" t="n"/>
      <c r="AS124" s="117" t="n"/>
      <c r="AT124" s="117" t="n"/>
      <c r="AU124" s="117" t="n"/>
      <c r="AV124" s="117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29" t="n">
        <v>702</v>
      </c>
      <c r="D125" s="127" t="n">
        <v>110.1</v>
      </c>
      <c r="E125" s="128" t="n">
        <v>33</v>
      </c>
      <c r="F125" s="127" t="n">
        <v>84.90000000000001</v>
      </c>
      <c r="G125" s="17" t="n">
        <v>26</v>
      </c>
      <c r="H125" s="129" t="n">
        <v>214</v>
      </c>
      <c r="I125" s="130" t="n">
        <v>66000</v>
      </c>
      <c r="J125" s="130" t="inlineStr">
        <is>
          <t>14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110A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29" t="n">
        <v>702</v>
      </c>
      <c r="D126" s="127" t="n">
        <v>110.2</v>
      </c>
      <c r="E126" s="128" t="n">
        <v>33</v>
      </c>
      <c r="F126" s="127" t="n">
        <v>85</v>
      </c>
      <c r="G126" s="17" t="n">
        <v>26</v>
      </c>
      <c r="H126" s="129" t="n">
        <v>52</v>
      </c>
      <c r="I126" s="130" t="n">
        <v>65000</v>
      </c>
      <c r="J126" s="130" t="inlineStr">
        <is>
          <t>25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110B</t>
        </is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29" t="n">
        <v>702</v>
      </c>
      <c r="D127" s="127" t="n">
        <v>111.3</v>
      </c>
      <c r="E127" s="128" t="n">
        <v>34</v>
      </c>
      <c r="F127" s="127" t="n">
        <v>85</v>
      </c>
      <c r="G127" s="17" t="n">
        <v>26</v>
      </c>
      <c r="H127" s="129" t="n">
        <v>116</v>
      </c>
      <c r="I127" s="130" t="n">
        <v>65000</v>
      </c>
      <c r="J127" s="130" t="inlineStr">
        <is>
          <t>27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111C</t>
        </is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29" t="n">
        <v>702</v>
      </c>
      <c r="D128" s="127" t="n">
        <v>130.4</v>
      </c>
      <c r="E128" s="128" t="n">
        <v>39</v>
      </c>
      <c r="F128" s="127" t="n">
        <v>101</v>
      </c>
      <c r="G128" s="17" t="n">
        <v>31</v>
      </c>
      <c r="H128" s="129" t="n">
        <v>52</v>
      </c>
      <c r="I128" s="130" t="n">
        <v>92000</v>
      </c>
      <c r="J128" s="130" t="inlineStr">
        <is>
          <t>중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130A</t>
        </is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29" t="n">
        <v>702</v>
      </c>
      <c r="D129" s="127" t="n">
        <v>131.1</v>
      </c>
      <c r="E129" s="128" t="n">
        <v>40</v>
      </c>
      <c r="F129" s="127" t="n">
        <v>101</v>
      </c>
      <c r="G129" s="17" t="n">
        <v>31</v>
      </c>
      <c r="H129" s="129" t="n">
        <v>114</v>
      </c>
      <c r="I129" s="130" t="n">
        <v>85500</v>
      </c>
      <c r="J129" s="130" t="inlineStr">
        <is>
          <t>14</t>
        </is>
      </c>
      <c r="K129" s="130" t="n">
        <v>50000</v>
      </c>
      <c r="L129" s="130" t="inlineStr">
        <is>
          <t>23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131B</t>
        </is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29" t="n">
        <v>702</v>
      </c>
      <c r="D130" s="127" t="n">
        <v>151.7</v>
      </c>
      <c r="E130" s="128" t="n">
        <v>46</v>
      </c>
      <c r="F130" s="127" t="n">
        <v>117.9</v>
      </c>
      <c r="G130" s="17" t="n">
        <v>36</v>
      </c>
      <c r="H130" s="129" t="n">
        <v>54</v>
      </c>
      <c r="I130" s="130" t="n">
        <v>105000</v>
      </c>
      <c r="J130" s="130" t="inlineStr">
        <is>
          <t>7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inlineStr">
        <is>
          <t>151D</t>
        </is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29" t="n">
        <v>702</v>
      </c>
      <c r="D131" s="127" t="n">
        <v>152</v>
      </c>
      <c r="E131" s="128" t="n">
        <v>46</v>
      </c>
      <c r="F131" s="127" t="n">
        <v>117.9</v>
      </c>
      <c r="G131" s="17" t="n">
        <v>36</v>
      </c>
      <c r="H131" s="129" t="n">
        <v>48</v>
      </c>
      <c r="I131" s="130" t="n">
        <v>96000</v>
      </c>
      <c r="J131" s="130" t="inlineStr">
        <is>
          <t>고</t>
        </is>
      </c>
      <c r="K131" s="130" t="n">
        <v>70000</v>
      </c>
      <c r="L131" s="130" t="inlineStr">
        <is>
          <t>중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inlineStr">
        <is>
          <t>151A</t>
        </is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29" t="n">
        <v>702</v>
      </c>
      <c r="D132" s="127" t="n">
        <v>151.8</v>
      </c>
      <c r="E132" s="128" t="n">
        <v>46</v>
      </c>
      <c r="F132" s="127" t="n">
        <v>117.8</v>
      </c>
      <c r="G132" s="17" t="n">
        <v>36</v>
      </c>
      <c r="H132" s="129" t="n">
        <v>26</v>
      </c>
      <c r="I132" s="130" t="n">
        <v>125000</v>
      </c>
      <c r="J132" s="130" t="inlineStr">
        <is>
          <t>고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4</v>
      </c>
      <c r="R132" s="117" t="n">
        <v>2</v>
      </c>
      <c r="S132" s="117" t="inlineStr">
        <is>
          <t>계</t>
        </is>
      </c>
      <c r="T132" s="5" t="inlineStr">
        <is>
          <t>151B</t>
        </is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29" t="n">
        <v>702</v>
      </c>
      <c r="D133" s="127" t="n">
        <v>151.9</v>
      </c>
      <c r="E133" s="128" t="n">
        <v>46</v>
      </c>
      <c r="F133" s="127" t="n">
        <v>117.1</v>
      </c>
      <c r="G133" s="17" t="n">
        <v>35</v>
      </c>
      <c r="H133" s="129" t="n">
        <v>26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4</v>
      </c>
      <c r="R133" s="117" t="n">
        <v>2</v>
      </c>
      <c r="S133" s="117" t="inlineStr">
        <is>
          <t>계</t>
        </is>
      </c>
      <c r="T133" s="5" t="inlineStr">
        <is>
          <t>151C</t>
        </is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>
      <c r="A134" s="9" t="n"/>
      <c r="B134" s="117" t="n"/>
      <c r="C134" s="6" t="n"/>
      <c r="D134" s="9" t="n"/>
      <c r="E134" s="14" t="n"/>
      <c r="F134" s="127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2" t="n"/>
      <c r="P134" s="132" t="n"/>
      <c r="Q134" s="128" t="n"/>
      <c r="R134" s="128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0">
        <f>IF(E134="","",E134)</f>
        <v/>
      </c>
      <c r="AJ134" s="117" t="n"/>
      <c r="AK134" s="117" t="n"/>
      <c r="AL134" s="117" t="n"/>
      <c r="AM134" s="117" t="n"/>
      <c r="AN134" s="117" t="n"/>
      <c r="AO134" s="117" t="n"/>
      <c r="AP134" s="117" t="n"/>
      <c r="AQ134" s="117" t="n"/>
      <c r="AR134" s="117" t="n"/>
      <c r="AS134" s="117" t="n"/>
      <c r="AT134" s="117" t="n"/>
      <c r="AU134" s="117" t="n"/>
      <c r="AV134" s="117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29" t="n">
        <v>381</v>
      </c>
      <c r="D135" s="127" t="n">
        <v>109.3</v>
      </c>
      <c r="E135" s="128" t="n">
        <v>33</v>
      </c>
      <c r="F135" s="127" t="n">
        <v>85</v>
      </c>
      <c r="G135" s="17" t="n">
        <v>26</v>
      </c>
      <c r="H135" s="129" t="n">
        <v>346</v>
      </c>
      <c r="I135" s="130" t="n">
        <v>43100</v>
      </c>
      <c r="J135" s="130" t="inlineStr">
        <is>
          <t>8</t>
        </is>
      </c>
      <c r="K135" s="130" t="n">
        <v>35000</v>
      </c>
      <c r="L135" s="130" t="inlineStr">
        <is>
          <t>12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109A</t>
        </is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29" t="n">
        <v>381</v>
      </c>
      <c r="D136" s="127" t="n">
        <v>120.3</v>
      </c>
      <c r="E136" s="128" t="n">
        <v>36</v>
      </c>
      <c r="F136" s="127" t="n">
        <v>85</v>
      </c>
      <c r="G136" s="17" t="n">
        <v>26</v>
      </c>
      <c r="H136" s="129" t="n">
        <v>35</v>
      </c>
      <c r="I136" s="130" t="n">
        <v>45500</v>
      </c>
      <c r="J136" s="130" t="inlineStr">
        <is>
          <t>12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120B</t>
        </is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>
      <c r="A137" s="9" t="n"/>
      <c r="B137" s="117" t="n"/>
      <c r="C137" s="6" t="n"/>
      <c r="D137" s="9" t="n"/>
      <c r="E137" s="14" t="n"/>
      <c r="F137" s="127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2" t="n"/>
      <c r="P137" s="132" t="n"/>
      <c r="Q137" s="128" t="n"/>
      <c r="R137" s="128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0">
        <f>IF(E137="","",E137)</f>
        <v/>
      </c>
      <c r="AJ137" s="117" t="n"/>
      <c r="AK137" s="117" t="n"/>
      <c r="AL137" s="117" t="n"/>
      <c r="AM137" s="117" t="n"/>
      <c r="AN137" s="117" t="n"/>
      <c r="AO137" s="117" t="n"/>
      <c r="AP137" s="117" t="n"/>
      <c r="AQ137" s="117" t="n"/>
      <c r="AR137" s="117" t="n"/>
      <c r="AS137" s="117" t="n"/>
      <c r="AT137" s="117" t="n"/>
      <c r="AU137" s="117" t="n"/>
      <c r="AV137" s="117" t="n"/>
    </row>
    <row r="138">
      <c r="A138" s="9" t="inlineStr">
        <is>
          <t>대명궁궐</t>
        </is>
      </c>
      <c r="B138" s="10" t="inlineStr">
        <is>
          <t>'92.02.</t>
        </is>
      </c>
      <c r="C138" s="129" t="n">
        <v>525</v>
      </c>
      <c r="D138" s="127" t="n">
        <v>80.09999999999999</v>
      </c>
      <c r="E138" s="128" t="n">
        <v>24</v>
      </c>
      <c r="F138" s="127" t="n">
        <v>59.5</v>
      </c>
      <c r="G138" s="17" t="n">
        <v>18</v>
      </c>
      <c r="H138" s="129" t="n">
        <v>525</v>
      </c>
      <c r="I138" s="130" t="n">
        <v>8300</v>
      </c>
      <c r="J138" s="130" t="inlineStr">
        <is>
          <t>6</t>
        </is>
      </c>
      <c r="K138" s="130" t="n">
        <v>8000</v>
      </c>
      <c r="L138" s="130" t="inlineStr">
        <is>
          <t>15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복</t>
        </is>
      </c>
      <c r="T138" s="5" t="n">
        <v>80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23">
      <formula>AV4="X"</formula>
    </cfRule>
    <cfRule type="expression" priority="2179" dxfId="22">
      <formula>AV4="후보"</formula>
    </cfRule>
  </conditionalFormatting>
  <conditionalFormatting sqref="AC1:AC2 AC4:AC6 N4:N5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:N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6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23">
      <formula>AV7="X"</formula>
    </cfRule>
    <cfRule type="expression" priority="2158" dxfId="22">
      <formula>AV7="후보"</formula>
    </cfRule>
  </conditionalFormatting>
  <conditionalFormatting sqref="AC7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7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23">
      <formula>AV8="X"</formula>
    </cfRule>
    <cfRule type="expression" priority="2139" dxfId="22">
      <formula>AV8="후보"</formula>
    </cfRule>
  </conditionalFormatting>
  <conditionalFormatting sqref="AC8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8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23">
      <formula>AV9="X"</formula>
    </cfRule>
    <cfRule type="expression" priority="2120" dxfId="22">
      <formula>AV9="후보"</formula>
    </cfRule>
  </conditionalFormatting>
  <conditionalFormatting sqref="AC9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N9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23">
      <formula>AV10="X"</formula>
    </cfRule>
    <cfRule type="expression" priority="2101" dxfId="22">
      <formula>AV10="후보"</formula>
    </cfRule>
  </conditionalFormatting>
  <conditionalFormatting sqref="AC10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N10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23">
      <formula>AV11="X"</formula>
    </cfRule>
    <cfRule type="expression" priority="2082" dxfId="22">
      <formula>AV11="후보"</formula>
    </cfRule>
  </conditionalFormatting>
  <conditionalFormatting sqref="AC11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N11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23">
      <formula>AV12="X"</formula>
    </cfRule>
    <cfRule type="expression" priority="2063" dxfId="22">
      <formula>AV12="후보"</formula>
    </cfRule>
  </conditionalFormatting>
  <conditionalFormatting sqref="AC12 N12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AV13">
    <cfRule type="expression" priority="2057" dxfId="23">
      <formula>AV13="X"</formula>
    </cfRule>
    <cfRule type="expression" priority="2058" dxfId="22">
      <formula>AV13="후보"</formula>
    </cfRule>
  </conditionalFormatting>
  <conditionalFormatting sqref="AC13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N13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23">
      <formula>AV14="X"</formula>
    </cfRule>
    <cfRule type="expression" priority="2039" dxfId="22">
      <formula>AV14="후보"</formula>
    </cfRule>
  </conditionalFormatting>
  <conditionalFormatting sqref="AC14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N14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23">
      <formula>AV15="X"</formula>
    </cfRule>
    <cfRule type="expression" priority="2020" dxfId="22">
      <formula>AV15="후보"</formula>
    </cfRule>
  </conditionalFormatting>
  <conditionalFormatting sqref="AC15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N15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23">
      <formula>AV16="X"</formula>
    </cfRule>
    <cfRule type="expression" priority="2001" dxfId="22">
      <formula>AV16="후보"</formula>
    </cfRule>
  </conditionalFormatting>
  <conditionalFormatting sqref="AC16 N16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AV17">
    <cfRule type="expression" priority="1995" dxfId="23">
      <formula>AV17="X"</formula>
    </cfRule>
    <cfRule type="expression" priority="1996" dxfId="22">
      <formula>AV17="후보"</formula>
    </cfRule>
  </conditionalFormatting>
  <conditionalFormatting sqref="AC17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17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23">
      <formula>AV18="X"</formula>
    </cfRule>
    <cfRule type="expression" priority="1977" dxfId="22">
      <formula>AV18="후보"</formula>
    </cfRule>
  </conditionalFormatting>
  <conditionalFormatting sqref="AC18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8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23">
      <formula>AV19="X"</formula>
    </cfRule>
    <cfRule type="expression" priority="1958" dxfId="22">
      <formula>AV19="후보"</formula>
    </cfRule>
  </conditionalFormatting>
  <conditionalFormatting sqref="AC19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9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23">
      <formula>AV20="X"</formula>
    </cfRule>
    <cfRule type="expression" priority="1939" dxfId="22">
      <formula>AV20="후보"</formula>
    </cfRule>
  </conditionalFormatting>
  <conditionalFormatting sqref="AC20 N20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AV21">
    <cfRule type="expression" priority="1933" dxfId="23">
      <formula>AV21="X"</formula>
    </cfRule>
    <cfRule type="expression" priority="1934" dxfId="22">
      <formula>AV21="후보"</formula>
    </cfRule>
  </conditionalFormatting>
  <conditionalFormatting sqref="AC21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21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23">
      <formula>AV22="X"</formula>
    </cfRule>
    <cfRule type="expression" priority="1915" dxfId="22">
      <formula>AV22="후보"</formula>
    </cfRule>
  </conditionalFormatting>
  <conditionalFormatting sqref="AC22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22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23">
      <formula>AV23="X"</formula>
    </cfRule>
    <cfRule type="expression" priority="1896" dxfId="22">
      <formula>AV23="후보"</formula>
    </cfRule>
  </conditionalFormatting>
  <conditionalFormatting sqref="AC23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23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23">
      <formula>AV24="X"</formula>
    </cfRule>
    <cfRule type="expression" priority="1877" dxfId="22">
      <formula>AV24="후보"</formula>
    </cfRule>
  </conditionalFormatting>
  <conditionalFormatting sqref="AC24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24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23">
      <formula>AV25="X"</formula>
    </cfRule>
    <cfRule type="expression" priority="1858" dxfId="22">
      <formula>AV25="후보"</formula>
    </cfRule>
  </conditionalFormatting>
  <conditionalFormatting sqref="AC25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2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23">
      <formula>AV26="X"</formula>
    </cfRule>
    <cfRule type="expression" priority="1839" dxfId="22">
      <formula>AV26="후보"</formula>
    </cfRule>
  </conditionalFormatting>
  <conditionalFormatting sqref="AC26 N26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27">
    <cfRule type="expression" priority="1833" dxfId="23">
      <formula>AV27="X"</formula>
    </cfRule>
    <cfRule type="expression" priority="1834" dxfId="22">
      <formula>AV27="후보"</formula>
    </cfRule>
  </conditionalFormatting>
  <conditionalFormatting sqref="AC27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27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23">
      <formula>AV28="X"</formula>
    </cfRule>
    <cfRule type="expression" priority="1815" dxfId="22">
      <formula>AV28="후보"</formula>
    </cfRule>
  </conditionalFormatting>
  <conditionalFormatting sqref="AC28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8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23">
      <formula>AV29="X"</formula>
    </cfRule>
    <cfRule type="expression" priority="1796" dxfId="22">
      <formula>AV29="후보"</formula>
    </cfRule>
  </conditionalFormatting>
  <conditionalFormatting sqref="AC29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9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23">
      <formula>AV30="X"</formula>
    </cfRule>
    <cfRule type="expression" priority="1777" dxfId="22">
      <formula>AV30="후보"</formula>
    </cfRule>
  </conditionalFormatting>
  <conditionalFormatting sqref="AC30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30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23">
      <formula>AV31="X"</formula>
    </cfRule>
    <cfRule type="expression" priority="1758" dxfId="22">
      <formula>AV31="후보"</formula>
    </cfRule>
  </conditionalFormatting>
  <conditionalFormatting sqref="AC31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N31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23">
      <formula>AV32="X"</formula>
    </cfRule>
    <cfRule type="expression" priority="1739" dxfId="22">
      <formula>AV32="후보"</formula>
    </cfRule>
  </conditionalFormatting>
  <conditionalFormatting sqref="AC32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N32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23">
      <formula>AV33="X"</formula>
    </cfRule>
    <cfRule type="expression" priority="1720" dxfId="22">
      <formula>AV33="후보"</formula>
    </cfRule>
  </conditionalFormatting>
  <conditionalFormatting sqref="AC33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N33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23">
      <formula>AV34="X"</formula>
    </cfRule>
    <cfRule type="expression" priority="1701" dxfId="22">
      <formula>AV34="후보"</formula>
    </cfRule>
  </conditionalFormatting>
  <conditionalFormatting sqref="AC34 N34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AV35">
    <cfRule type="expression" priority="1695" dxfId="23">
      <formula>AV35="X"</formula>
    </cfRule>
    <cfRule type="expression" priority="1696" dxfId="22">
      <formula>AV35="후보"</formula>
    </cfRule>
  </conditionalFormatting>
  <conditionalFormatting sqref="AC35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35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23">
      <formula>AV36="X"</formula>
    </cfRule>
    <cfRule type="expression" priority="1677" dxfId="22">
      <formula>AV36="후보"</formula>
    </cfRule>
  </conditionalFormatting>
  <conditionalFormatting sqref="AC36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23">
      <formula>AV37="X"</formula>
    </cfRule>
    <cfRule type="expression" priority="1658" dxfId="22">
      <formula>AV37="후보"</formula>
    </cfRule>
  </conditionalFormatting>
  <conditionalFormatting sqref="AC37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37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23">
      <formula>AV38="X"</formula>
    </cfRule>
    <cfRule type="expression" priority="1639" dxfId="22">
      <formula>AV38="후보"</formula>
    </cfRule>
  </conditionalFormatting>
  <conditionalFormatting sqref="AC38 N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39">
    <cfRule type="expression" priority="1633" dxfId="23">
      <formula>AV39="X"</formula>
    </cfRule>
    <cfRule type="expression" priority="1634" dxfId="22">
      <formula>AV39="후보"</formula>
    </cfRule>
  </conditionalFormatting>
  <conditionalFormatting sqref="AC3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23">
      <formula>AV40="X"</formula>
    </cfRule>
    <cfRule type="expression" priority="1615" dxfId="22">
      <formula>AV40="후보"</formula>
    </cfRule>
  </conditionalFormatting>
  <conditionalFormatting sqref="AC4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23">
      <formula>AV41="X"</formula>
    </cfRule>
    <cfRule type="expression" priority="1596" dxfId="22">
      <formula>AV41="후보"</formula>
    </cfRule>
  </conditionalFormatting>
  <conditionalFormatting sqref="AC41 N4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42">
    <cfRule type="expression" priority="1590" dxfId="23">
      <formula>AV42="X"</formula>
    </cfRule>
    <cfRule type="expression" priority="1591" dxfId="22">
      <formula>AV42="후보"</formula>
    </cfRule>
  </conditionalFormatting>
  <conditionalFormatting sqref="AC42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42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23">
      <formula>AV43="X"</formula>
    </cfRule>
    <cfRule type="expression" priority="1572" dxfId="22">
      <formula>AV43="후보"</formula>
    </cfRule>
  </conditionalFormatting>
  <conditionalFormatting sqref="AC43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43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23">
      <formula>AV44="X"</formula>
    </cfRule>
    <cfRule type="expression" priority="1553" dxfId="22">
      <formula>AV44="후보"</formula>
    </cfRule>
  </conditionalFormatting>
  <conditionalFormatting sqref="AC44 N44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45">
    <cfRule type="expression" priority="1547" dxfId="23">
      <formula>AV45="X"</formula>
    </cfRule>
    <cfRule type="expression" priority="1548" dxfId="22">
      <formula>AV45="후보"</formula>
    </cfRule>
  </conditionalFormatting>
  <conditionalFormatting sqref="AC4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4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23">
      <formula>AV46="X"</formula>
    </cfRule>
    <cfRule type="expression" priority="1529" dxfId="22">
      <formula>AV46="후보"</formula>
    </cfRule>
  </conditionalFormatting>
  <conditionalFormatting sqref="AC4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23">
      <formula>AV47="X"</formula>
    </cfRule>
    <cfRule type="expression" priority="1510" dxfId="22">
      <formula>AV47="후보"</formula>
    </cfRule>
  </conditionalFormatting>
  <conditionalFormatting sqref="AC4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47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23">
      <formula>AV48="X"</formula>
    </cfRule>
    <cfRule type="expression" priority="1491" dxfId="22">
      <formula>AV48="후보"</formula>
    </cfRule>
  </conditionalFormatting>
  <conditionalFormatting sqref="AC4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48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23">
      <formula>AV49="X"</formula>
    </cfRule>
    <cfRule type="expression" priority="1472" dxfId="22">
      <formula>AV49="후보"</formula>
    </cfRule>
  </conditionalFormatting>
  <conditionalFormatting sqref="AC4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23">
      <formula>AV50="X"</formula>
    </cfRule>
    <cfRule type="expression" priority="1453" dxfId="22">
      <formula>AV50="후보"</formula>
    </cfRule>
  </conditionalFormatting>
  <conditionalFormatting sqref="AC5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23">
      <formula>AV51="X"</formula>
    </cfRule>
    <cfRule type="expression" priority="1434" dxfId="22">
      <formula>AV51="후보"</formula>
    </cfRule>
  </conditionalFormatting>
  <conditionalFormatting sqref="AC5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5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23">
      <formula>AV52="X"</formula>
    </cfRule>
    <cfRule type="expression" priority="1415" dxfId="22">
      <formula>AV52="후보"</formula>
    </cfRule>
  </conditionalFormatting>
  <conditionalFormatting sqref="AC5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5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23">
      <formula>AV53="X"</formula>
    </cfRule>
    <cfRule type="expression" priority="1396" dxfId="22">
      <formula>AV53="후보"</formula>
    </cfRule>
  </conditionalFormatting>
  <conditionalFormatting sqref="AC5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5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23">
      <formula>AV54="X"</formula>
    </cfRule>
    <cfRule type="expression" priority="1377" dxfId="22">
      <formula>AV54="후보"</formula>
    </cfRule>
  </conditionalFormatting>
  <conditionalFormatting sqref="AC54 N5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55">
    <cfRule type="expression" priority="1371" dxfId="23">
      <formula>AV55="X"</formula>
    </cfRule>
    <cfRule type="expression" priority="1372" dxfId="22">
      <formula>AV55="후보"</formula>
    </cfRule>
  </conditionalFormatting>
  <conditionalFormatting sqref="AC5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5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23">
      <formula>AV56="X"</formula>
    </cfRule>
    <cfRule type="expression" priority="1353" dxfId="22">
      <formula>AV56="후보"</formula>
    </cfRule>
  </conditionalFormatting>
  <conditionalFormatting sqref="AC5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5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23">
      <formula>AV57="X"</formula>
    </cfRule>
    <cfRule type="expression" priority="1334" dxfId="22">
      <formula>AV57="후보"</formula>
    </cfRule>
  </conditionalFormatting>
  <conditionalFormatting sqref="AC57 N5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8">
    <cfRule type="expression" priority="1328" dxfId="23">
      <formula>AV58="X"</formula>
    </cfRule>
    <cfRule type="expression" priority="1329" dxfId="22">
      <formula>AV58="후보"</formula>
    </cfRule>
  </conditionalFormatting>
  <conditionalFormatting sqref="AC5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23">
      <formula>AV59="X"</formula>
    </cfRule>
    <cfRule type="expression" priority="1310" dxfId="22">
      <formula>AV59="후보"</formula>
    </cfRule>
  </conditionalFormatting>
  <conditionalFormatting sqref="AC5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23">
      <formula>AV60="X"</formula>
    </cfRule>
    <cfRule type="expression" priority="1291" dxfId="22">
      <formula>AV60="후보"</formula>
    </cfRule>
  </conditionalFormatting>
  <conditionalFormatting sqref="AC60 N6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61">
    <cfRule type="expression" priority="1285" dxfId="23">
      <formula>AV61="X"</formula>
    </cfRule>
    <cfRule type="expression" priority="1286" dxfId="22">
      <formula>AV61="후보"</formula>
    </cfRule>
  </conditionalFormatting>
  <conditionalFormatting sqref="AC6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6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23">
      <formula>AV62="X"</formula>
    </cfRule>
    <cfRule type="expression" priority="1267" dxfId="22">
      <formula>AV62="후보"</formula>
    </cfRule>
  </conditionalFormatting>
  <conditionalFormatting sqref="AC6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6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23">
      <formula>AV63="X"</formula>
    </cfRule>
    <cfRule type="expression" priority="1248" dxfId="22">
      <formula>AV63="후보"</formula>
    </cfRule>
  </conditionalFormatting>
  <conditionalFormatting sqref="AC6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6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23">
      <formula>AV64="X"</formula>
    </cfRule>
    <cfRule type="expression" priority="1229" dxfId="22">
      <formula>AV64="후보"</formula>
    </cfRule>
  </conditionalFormatting>
  <conditionalFormatting sqref="AC6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6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23">
      <formula>AV65="X"</formula>
    </cfRule>
    <cfRule type="expression" priority="1210" dxfId="22">
      <formula>AV65="후보"</formula>
    </cfRule>
  </conditionalFormatting>
  <conditionalFormatting sqref="AC6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6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23">
      <formula>AV66="X"</formula>
    </cfRule>
    <cfRule type="expression" priority="1191" dxfId="22">
      <formula>AV66="후보"</formula>
    </cfRule>
  </conditionalFormatting>
  <conditionalFormatting sqref="AC66 N6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67">
    <cfRule type="expression" priority="1185" dxfId="23">
      <formula>AV67="X"</formula>
    </cfRule>
    <cfRule type="expression" priority="1186" dxfId="22">
      <formula>AV67="후보"</formula>
    </cfRule>
  </conditionalFormatting>
  <conditionalFormatting sqref="AC6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6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23">
      <formula>AV68="X"</formula>
    </cfRule>
    <cfRule type="expression" priority="1167" dxfId="22">
      <formula>AV68="후보"</formula>
    </cfRule>
  </conditionalFormatting>
  <conditionalFormatting sqref="AC68 N6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69">
    <cfRule type="expression" priority="1161" dxfId="23">
      <formula>AV69="X"</formula>
    </cfRule>
    <cfRule type="expression" priority="1162" dxfId="22">
      <formula>AV69="후보"</formula>
    </cfRule>
  </conditionalFormatting>
  <conditionalFormatting sqref="AC6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23">
      <formula>AV70="X"</formula>
    </cfRule>
    <cfRule type="expression" priority="1143" dxfId="22">
      <formula>AV70="후보"</formula>
    </cfRule>
  </conditionalFormatting>
  <conditionalFormatting sqref="AC7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7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23">
      <formula>AV71="X"</formula>
    </cfRule>
    <cfRule type="expression" priority="1124" dxfId="22">
      <formula>AV71="후보"</formula>
    </cfRule>
  </conditionalFormatting>
  <conditionalFormatting sqref="AC7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7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23">
      <formula>AV72="X"</formula>
    </cfRule>
    <cfRule type="expression" priority="1105" dxfId="22">
      <formula>AV72="후보"</formula>
    </cfRule>
  </conditionalFormatting>
  <conditionalFormatting sqref="AC7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7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23">
      <formula>AV73="X"</formula>
    </cfRule>
    <cfRule type="expression" priority="1086" dxfId="22">
      <formula>AV73="후보"</formula>
    </cfRule>
  </conditionalFormatting>
  <conditionalFormatting sqref="AC7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7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23">
      <formula>AV74="X"</formula>
    </cfRule>
    <cfRule type="expression" priority="1067" dxfId="22">
      <formula>AV74="후보"</formula>
    </cfRule>
  </conditionalFormatting>
  <conditionalFormatting sqref="AC7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4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23">
      <formula>AV75="X"</formula>
    </cfRule>
    <cfRule type="expression" priority="1048" dxfId="22">
      <formula>AV75="후보"</formula>
    </cfRule>
  </conditionalFormatting>
  <conditionalFormatting sqref="AC7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7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23">
      <formula>AV76="X"</formula>
    </cfRule>
    <cfRule type="expression" priority="1029" dxfId="22">
      <formula>AV76="후보"</formula>
    </cfRule>
  </conditionalFormatting>
  <conditionalFormatting sqref="AC7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7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23">
      <formula>AV77="X"</formula>
    </cfRule>
    <cfRule type="expression" priority="1010" dxfId="22">
      <formula>AV77="후보"</formula>
    </cfRule>
  </conditionalFormatting>
  <conditionalFormatting sqref="AC7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23">
      <formula>AV78="X"</formula>
    </cfRule>
    <cfRule type="expression" priority="991" dxfId="22">
      <formula>AV78="후보"</formula>
    </cfRule>
  </conditionalFormatting>
  <conditionalFormatting sqref="AC78 N7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79">
    <cfRule type="expression" priority="985" dxfId="23">
      <formula>AV79="X"</formula>
    </cfRule>
    <cfRule type="expression" priority="986" dxfId="22">
      <formula>AV79="후보"</formula>
    </cfRule>
  </conditionalFormatting>
  <conditionalFormatting sqref="AC7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23">
      <formula>AV80="X"</formula>
    </cfRule>
    <cfRule type="expression" priority="967" dxfId="22">
      <formula>AV80="후보"</formula>
    </cfRule>
  </conditionalFormatting>
  <conditionalFormatting sqref="AC8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23">
      <formula>AV81="X"</formula>
    </cfRule>
    <cfRule type="expression" priority="948" dxfId="22">
      <formula>AV81="후보"</formula>
    </cfRule>
  </conditionalFormatting>
  <conditionalFormatting sqref="AC81 N8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82">
    <cfRule type="expression" priority="942" dxfId="23">
      <formula>AV82="X"</formula>
    </cfRule>
    <cfRule type="expression" priority="943" dxfId="22">
      <formula>AV82="후보"</formula>
    </cfRule>
  </conditionalFormatting>
  <conditionalFormatting sqref="AC8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8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23">
      <formula>AV83="X"</formula>
    </cfRule>
    <cfRule type="expression" priority="924" dxfId="22">
      <formula>AV83="후보"</formula>
    </cfRule>
  </conditionalFormatting>
  <conditionalFormatting sqref="AC8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8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23">
      <formula>AV84="X"</formula>
    </cfRule>
    <cfRule type="expression" priority="905" dxfId="22">
      <formula>AV84="후보"</formula>
    </cfRule>
  </conditionalFormatting>
  <conditionalFormatting sqref="AC8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8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23">
      <formula>AV85="X"</formula>
    </cfRule>
    <cfRule type="expression" priority="886" dxfId="22">
      <formula>AV85="후보"</formula>
    </cfRule>
  </conditionalFormatting>
  <conditionalFormatting sqref="AC8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23">
      <formula>AV86="X"</formula>
    </cfRule>
    <cfRule type="expression" priority="867" dxfId="22">
      <formula>AV86="후보"</formula>
    </cfRule>
  </conditionalFormatting>
  <conditionalFormatting sqref="AC8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23">
      <formula>AV87="X"</formula>
    </cfRule>
    <cfRule type="expression" priority="848" dxfId="22">
      <formula>AV87="후보"</formula>
    </cfRule>
  </conditionalFormatting>
  <conditionalFormatting sqref="AC8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23">
      <formula>AV88="X"</formula>
    </cfRule>
    <cfRule type="expression" priority="829" dxfId="22">
      <formula>AV88="후보"</formula>
    </cfRule>
  </conditionalFormatting>
  <conditionalFormatting sqref="AC88 N8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9">
    <cfRule type="expression" priority="823" dxfId="23">
      <formula>AV89="X"</formula>
    </cfRule>
    <cfRule type="expression" priority="824" dxfId="22">
      <formula>AV89="후보"</formula>
    </cfRule>
  </conditionalFormatting>
  <conditionalFormatting sqref="AC8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23">
      <formula>AV90="X"</formula>
    </cfRule>
    <cfRule type="expression" priority="805" dxfId="22">
      <formula>AV90="후보"</formula>
    </cfRule>
  </conditionalFormatting>
  <conditionalFormatting sqref="AC9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9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23">
      <formula>AV91="X"</formula>
    </cfRule>
    <cfRule type="expression" priority="786" dxfId="22">
      <formula>AV91="후보"</formula>
    </cfRule>
  </conditionalFormatting>
  <conditionalFormatting sqref="AC9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9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23">
      <formula>AV92="X"</formula>
    </cfRule>
    <cfRule type="expression" priority="767" dxfId="22">
      <formula>AV92="후보"</formula>
    </cfRule>
  </conditionalFormatting>
  <conditionalFormatting sqref="AC9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23">
      <formula>AV93="X"</formula>
    </cfRule>
    <cfRule type="expression" priority="748" dxfId="22">
      <formula>AV93="후보"</formula>
    </cfRule>
  </conditionalFormatting>
  <conditionalFormatting sqref="AC93 N9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94">
    <cfRule type="expression" priority="742" dxfId="23">
      <formula>AV94="X"</formula>
    </cfRule>
    <cfRule type="expression" priority="743" dxfId="22">
      <formula>AV94="후보"</formula>
    </cfRule>
  </conditionalFormatting>
  <conditionalFormatting sqref="AC9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23">
      <formula>AV95="X"</formula>
    </cfRule>
    <cfRule type="expression" priority="724" dxfId="22">
      <formula>AV95="후보"</formula>
    </cfRule>
  </conditionalFormatting>
  <conditionalFormatting sqref="AC9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23">
      <formula>AV96="X"</formula>
    </cfRule>
    <cfRule type="expression" priority="705" dxfId="22">
      <formula>AV96="후보"</formula>
    </cfRule>
  </conditionalFormatting>
  <conditionalFormatting sqref="AC9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23">
      <formula>AV97="X"</formula>
    </cfRule>
    <cfRule type="expression" priority="686" dxfId="22">
      <formula>AV97="후보"</formula>
    </cfRule>
  </conditionalFormatting>
  <conditionalFormatting sqref="AC9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23">
      <formula>AV98="X"</formula>
    </cfRule>
    <cfRule type="expression" priority="667" dxfId="22">
      <formula>AV98="후보"</formula>
    </cfRule>
  </conditionalFormatting>
  <conditionalFormatting sqref="AC9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23">
      <formula>AV99="X"</formula>
    </cfRule>
    <cfRule type="expression" priority="648" dxfId="22">
      <formula>AV99="후보"</formula>
    </cfRule>
  </conditionalFormatting>
  <conditionalFormatting sqref="AC9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23">
      <formula>AV100="X"</formula>
    </cfRule>
    <cfRule type="expression" priority="629" dxfId="22">
      <formula>AV100="후보"</formula>
    </cfRule>
  </conditionalFormatting>
  <conditionalFormatting sqref="AC1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23">
      <formula>AV101="X"</formula>
    </cfRule>
    <cfRule type="expression" priority="610" dxfId="22">
      <formula>AV101="후보"</formula>
    </cfRule>
  </conditionalFormatting>
  <conditionalFormatting sqref="AC10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0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23">
      <formula>AV102="X"</formula>
    </cfRule>
    <cfRule type="expression" priority="591" dxfId="22">
      <formula>AV102="후보"</formula>
    </cfRule>
  </conditionalFormatting>
  <conditionalFormatting sqref="AC102 N10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103">
    <cfRule type="expression" priority="585" dxfId="23">
      <formula>AV103="X"</formula>
    </cfRule>
    <cfRule type="expression" priority="586" dxfId="22">
      <formula>AV103="후보"</formula>
    </cfRule>
  </conditionalFormatting>
  <conditionalFormatting sqref="AC10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23">
      <formula>AV104="X"</formula>
    </cfRule>
    <cfRule type="expression" priority="567" dxfId="22">
      <formula>AV104="후보"</formula>
    </cfRule>
  </conditionalFormatting>
  <conditionalFormatting sqref="AC10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0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23">
      <formula>AV105="X"</formula>
    </cfRule>
    <cfRule type="expression" priority="548" dxfId="22">
      <formula>AV105="후보"</formula>
    </cfRule>
  </conditionalFormatting>
  <conditionalFormatting sqref="AC105 N10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106">
    <cfRule type="expression" priority="542" dxfId="23">
      <formula>AV106="X"</formula>
    </cfRule>
    <cfRule type="expression" priority="543" dxfId="22">
      <formula>AV106="후보"</formula>
    </cfRule>
  </conditionalFormatting>
  <conditionalFormatting sqref="AC10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0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23">
      <formula>AV107="X"</formula>
    </cfRule>
    <cfRule type="expression" priority="524" dxfId="22">
      <formula>AV107="후보"</formula>
    </cfRule>
  </conditionalFormatting>
  <conditionalFormatting sqref="AC10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23">
      <formula>AV108="X"</formula>
    </cfRule>
    <cfRule type="expression" priority="505" dxfId="22">
      <formula>AV108="후보"</formula>
    </cfRule>
  </conditionalFormatting>
  <conditionalFormatting sqref="AC10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23">
      <formula>AV109="X"</formula>
    </cfRule>
    <cfRule type="expression" priority="486" dxfId="22">
      <formula>AV109="후보"</formula>
    </cfRule>
  </conditionalFormatting>
  <conditionalFormatting sqref="AC10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23">
      <formula>AV110="X"</formula>
    </cfRule>
    <cfRule type="expression" priority="467" dxfId="22">
      <formula>AV110="후보"</formula>
    </cfRule>
  </conditionalFormatting>
  <conditionalFormatting sqref="AC1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23">
      <formula>AV111="X"</formula>
    </cfRule>
    <cfRule type="expression" priority="448" dxfId="22">
      <formula>AV111="후보"</formula>
    </cfRule>
  </conditionalFormatting>
  <conditionalFormatting sqref="AC1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1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23">
      <formula>AV112="X"</formula>
    </cfRule>
    <cfRule type="expression" priority="429" dxfId="22">
      <formula>AV112="후보"</formula>
    </cfRule>
  </conditionalFormatting>
  <conditionalFormatting sqref="AC112 N11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13">
    <cfRule type="expression" priority="423" dxfId="23">
      <formula>AV113="X"</formula>
    </cfRule>
    <cfRule type="expression" priority="424" dxfId="22">
      <formula>AV113="후보"</formula>
    </cfRule>
  </conditionalFormatting>
  <conditionalFormatting sqref="AC1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23">
      <formula>AV114="X"</formula>
    </cfRule>
    <cfRule type="expression" priority="405" dxfId="22">
      <formula>AV114="후보"</formula>
    </cfRule>
  </conditionalFormatting>
  <conditionalFormatting sqref="AC1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23">
      <formula>AV115="X"</formula>
    </cfRule>
    <cfRule type="expression" priority="386" dxfId="22">
      <formula>AV115="후보"</formula>
    </cfRule>
  </conditionalFormatting>
  <conditionalFormatting sqref="AC1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23">
      <formula>AV116="X"</formula>
    </cfRule>
    <cfRule type="expression" priority="367" dxfId="22">
      <formula>AV116="후보"</formula>
    </cfRule>
  </conditionalFormatting>
  <conditionalFormatting sqref="AC1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23">
      <formula>AV117="X"</formula>
    </cfRule>
    <cfRule type="expression" priority="348" dxfId="22">
      <formula>AV117="후보"</formula>
    </cfRule>
  </conditionalFormatting>
  <conditionalFormatting sqref="AC117 N1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18">
    <cfRule type="expression" priority="342" dxfId="23">
      <formula>AV118="X"</formula>
    </cfRule>
    <cfRule type="expression" priority="343" dxfId="22">
      <formula>AV118="후보"</formula>
    </cfRule>
  </conditionalFormatting>
  <conditionalFormatting sqref="AC1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23">
      <formula>AV119="X"</formula>
    </cfRule>
    <cfRule type="expression" priority="324" dxfId="22">
      <formula>AV119="후보"</formula>
    </cfRule>
  </conditionalFormatting>
  <conditionalFormatting sqref="AC1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23">
      <formula>AV120="X"</formula>
    </cfRule>
    <cfRule type="expression" priority="305" dxfId="22">
      <formula>AV120="후보"</formula>
    </cfRule>
  </conditionalFormatting>
  <conditionalFormatting sqref="AC1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23">
      <formula>AV121="X"</formula>
    </cfRule>
    <cfRule type="expression" priority="286" dxfId="22">
      <formula>AV121="후보"</formula>
    </cfRule>
  </conditionalFormatting>
  <conditionalFormatting sqref="AC1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23">
      <formula>AV122="X"</formula>
    </cfRule>
    <cfRule type="expression" priority="267" dxfId="22">
      <formula>AV122="후보"</formula>
    </cfRule>
  </conditionalFormatting>
  <conditionalFormatting sqref="AC122 N1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3">
    <cfRule type="expression" priority="261" dxfId="23">
      <formula>AV123="X"</formula>
    </cfRule>
    <cfRule type="expression" priority="262" dxfId="22">
      <formula>AV123="후보"</formula>
    </cfRule>
  </conditionalFormatting>
  <conditionalFormatting sqref="AC1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23">
      <formula>AV124="X"</formula>
    </cfRule>
    <cfRule type="expression" priority="243" dxfId="22">
      <formula>AV124="후보"</formula>
    </cfRule>
  </conditionalFormatting>
  <conditionalFormatting sqref="AC124 N1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25">
    <cfRule type="expression" priority="237" dxfId="23">
      <formula>AV125="X"</formula>
    </cfRule>
    <cfRule type="expression" priority="238" dxfId="22">
      <formula>AV125="후보"</formula>
    </cfRule>
  </conditionalFormatting>
  <conditionalFormatting sqref="AC1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23">
      <formula>AV126="X"</formula>
    </cfRule>
    <cfRule type="expression" priority="219" dxfId="22">
      <formula>AV126="후보"</formula>
    </cfRule>
  </conditionalFormatting>
  <conditionalFormatting sqref="AC1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23">
      <formula>AV127="X"</formula>
    </cfRule>
    <cfRule type="expression" priority="200" dxfId="22">
      <formula>AV127="후보"</formula>
    </cfRule>
  </conditionalFormatting>
  <conditionalFormatting sqref="AC1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23">
      <formula>AV128="X"</formula>
    </cfRule>
    <cfRule type="expression" priority="181" dxfId="22">
      <formula>AV128="후보"</formula>
    </cfRule>
  </conditionalFormatting>
  <conditionalFormatting sqref="AC1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23">
      <formula>AV129="X"</formula>
    </cfRule>
    <cfRule type="expression" priority="162" dxfId="22">
      <formula>AV129="후보"</formula>
    </cfRule>
  </conditionalFormatting>
  <conditionalFormatting sqref="AC1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23">
      <formula>AV130="X"</formula>
    </cfRule>
    <cfRule type="expression" priority="143" dxfId="22">
      <formula>AV130="후보"</formula>
    </cfRule>
  </conditionalFormatting>
  <conditionalFormatting sqref="AC1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23">
      <formula>AV131="X"</formula>
    </cfRule>
    <cfRule type="expression" priority="124" dxfId="22">
      <formula>AV131="후보"</formula>
    </cfRule>
  </conditionalFormatting>
  <conditionalFormatting sqref="AC1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23">
      <formula>AV132="X"</formula>
    </cfRule>
    <cfRule type="expression" priority="105" dxfId="22">
      <formula>AV132="후보"</formula>
    </cfRule>
  </conditionalFormatting>
  <conditionalFormatting sqref="AC1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2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23">
      <formula>AV133="X"</formula>
    </cfRule>
    <cfRule type="expression" priority="86" dxfId="22">
      <formula>AV133="후보"</formula>
    </cfRule>
  </conditionalFormatting>
  <conditionalFormatting sqref="AC133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133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23">
      <formula>AV134="X"</formula>
    </cfRule>
    <cfRule type="expression" priority="67" dxfId="22">
      <formula>AV134="후보"</formula>
    </cfRule>
  </conditionalFormatting>
  <conditionalFormatting sqref="AC134 N13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35">
    <cfRule type="expression" priority="61" dxfId="23">
      <formula>AV135="X"</formula>
    </cfRule>
    <cfRule type="expression" priority="62" dxfId="22">
      <formula>AV135="후보"</formula>
    </cfRule>
  </conditionalFormatting>
  <conditionalFormatting sqref="AC1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23">
      <formula>AV136="X"</formula>
    </cfRule>
    <cfRule type="expression" priority="43" dxfId="22">
      <formula>AV136="후보"</formula>
    </cfRule>
  </conditionalFormatting>
  <conditionalFormatting sqref="AC1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23">
      <formula>AV137="X"</formula>
    </cfRule>
    <cfRule type="expression" priority="24" dxfId="22">
      <formula>AV137="후보"</formula>
    </cfRule>
  </conditionalFormatting>
  <conditionalFormatting sqref="AC137 N1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8">
    <cfRule type="expression" priority="18" dxfId="23">
      <formula>AV138="X"</formula>
    </cfRule>
    <cfRule type="expression" priority="19" dxfId="22">
      <formula>AV138="후보"</formula>
    </cfRule>
  </conditionalFormatting>
  <conditionalFormatting sqref="AC1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공영(푸른솔)</t>
        </is>
      </c>
      <c r="B6" s="10" t="inlineStr">
        <is>
          <t>'93.04.</t>
        </is>
      </c>
      <c r="C6" s="129" t="n">
        <v>500</v>
      </c>
      <c r="D6" s="127" t="n">
        <v>60.6</v>
      </c>
      <c r="E6" s="128" t="n">
        <v>18</v>
      </c>
      <c r="F6" s="127" t="n">
        <v>40.4</v>
      </c>
      <c r="G6" s="17" t="n">
        <v>12</v>
      </c>
      <c r="H6" s="129" t="n">
        <v>150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60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29" t="n">
        <v>500</v>
      </c>
      <c r="D7" s="127" t="n">
        <v>74.8</v>
      </c>
      <c r="E7" s="128" t="n">
        <v>23</v>
      </c>
      <c r="F7" s="127" t="n">
        <v>50</v>
      </c>
      <c r="G7" s="17" t="n">
        <v>15</v>
      </c>
      <c r="H7" s="129" t="n">
        <v>336</v>
      </c>
      <c r="I7" s="130" t="n">
        <v>7600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74B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29" t="n">
        <v>500</v>
      </c>
      <c r="D8" s="127" t="n">
        <v>74.8</v>
      </c>
      <c r="E8" s="128" t="n">
        <v>23</v>
      </c>
      <c r="F8" s="127" t="n">
        <v>50</v>
      </c>
      <c r="G8" s="17" t="n">
        <v>15</v>
      </c>
      <c r="H8" s="129" t="n">
        <v>14</v>
      </c>
      <c r="I8" s="130" t="n">
        <v>7600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여의영무예다음</t>
        </is>
      </c>
      <c r="B10" s="10" t="inlineStr">
        <is>
          <t>'19.01.</t>
        </is>
      </c>
      <c r="C10" s="129" t="n">
        <v>711</v>
      </c>
      <c r="D10" s="127" t="n">
        <v>97.3</v>
      </c>
      <c r="E10" s="128" t="n">
        <v>29</v>
      </c>
      <c r="F10" s="127" t="n">
        <v>73.09999999999999</v>
      </c>
      <c r="G10" s="17" t="n">
        <v>22</v>
      </c>
      <c r="H10" s="129" t="n">
        <v>251</v>
      </c>
      <c r="I10" s="130" t="n"/>
      <c r="J10" s="130" t="n"/>
      <c r="K10" s="130" t="n">
        <v>16970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97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29" t="n">
        <v>711</v>
      </c>
      <c r="D11" s="127" t="n">
        <v>112.8</v>
      </c>
      <c r="E11" s="128" t="n">
        <v>34</v>
      </c>
      <c r="F11" s="127" t="n">
        <v>85</v>
      </c>
      <c r="G11" s="17" t="n">
        <v>26</v>
      </c>
      <c r="H11" s="129" t="n">
        <v>145</v>
      </c>
      <c r="I11" s="130" t="n"/>
      <c r="J11" s="130" t="n"/>
      <c r="K11" s="130" t="n">
        <v>19970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29" t="n">
        <v>711</v>
      </c>
      <c r="D12" s="127" t="n">
        <v>113.3</v>
      </c>
      <c r="E12" s="128" t="n">
        <v>34</v>
      </c>
      <c r="F12" s="127" t="n">
        <v>85</v>
      </c>
      <c r="G12" s="17" t="n">
        <v>26</v>
      </c>
      <c r="H12" s="129" t="n">
        <v>315</v>
      </c>
      <c r="I12" s="130" t="n"/>
      <c r="J12" s="130" t="n"/>
      <c r="K12" s="130" t="n">
        <v>20490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29" t="n">
        <v>737</v>
      </c>
      <c r="D14" s="127" t="n">
        <v>77.3</v>
      </c>
      <c r="E14" s="128" t="n">
        <v>23</v>
      </c>
      <c r="F14" s="127" t="n">
        <v>59.7</v>
      </c>
      <c r="G14" s="17" t="n">
        <v>18</v>
      </c>
      <c r="H14" s="129" t="n">
        <v>47</v>
      </c>
      <c r="I14" s="130" t="n">
        <v>15500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29" t="n">
        <v>737</v>
      </c>
      <c r="D15" s="127" t="n">
        <v>102.7</v>
      </c>
      <c r="E15" s="128" t="n">
        <v>31</v>
      </c>
      <c r="F15" s="127" t="n">
        <v>85</v>
      </c>
      <c r="G15" s="17" t="n">
        <v>26</v>
      </c>
      <c r="H15" s="129" t="n">
        <v>675</v>
      </c>
      <c r="I15" s="130" t="n">
        <v>25000</v>
      </c>
      <c r="J15" s="130" t="inlineStr">
        <is>
          <t>15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102A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29" t="n">
        <v>737</v>
      </c>
      <c r="D16" s="127" t="n">
        <v>102.8</v>
      </c>
      <c r="E16" s="128" t="n">
        <v>31</v>
      </c>
      <c r="F16" s="127" t="n">
        <v>85</v>
      </c>
      <c r="G16" s="17" t="n">
        <v>26</v>
      </c>
      <c r="H16" s="129" t="n">
        <v>15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102B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동국</t>
        </is>
      </c>
      <c r="B18" s="10" t="inlineStr">
        <is>
          <t>'98.05.</t>
        </is>
      </c>
      <c r="C18" s="129" t="n">
        <v>360</v>
      </c>
      <c r="D18" s="127" t="n">
        <v>79.7</v>
      </c>
      <c r="E18" s="128" t="n">
        <v>24</v>
      </c>
      <c r="F18" s="127" t="n">
        <v>59.7</v>
      </c>
      <c r="G18" s="17" t="n">
        <v>18</v>
      </c>
      <c r="H18" s="129" t="n">
        <v>125</v>
      </c>
      <c r="I18" s="130" t="n">
        <v>13500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29" t="n">
        <v>360</v>
      </c>
      <c r="D19" s="127" t="n">
        <v>79.3</v>
      </c>
      <c r="E19" s="128" t="n">
        <v>24</v>
      </c>
      <c r="F19" s="127" t="n">
        <v>59.7</v>
      </c>
      <c r="G19" s="17" t="n">
        <v>18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29" t="n">
        <v>360</v>
      </c>
      <c r="D20" s="127" t="n">
        <v>105.4</v>
      </c>
      <c r="E20" s="128" t="n">
        <v>32</v>
      </c>
      <c r="F20" s="127" t="n">
        <v>84.90000000000001</v>
      </c>
      <c r="G20" s="17" t="n">
        <v>26</v>
      </c>
      <c r="H20" s="129" t="n">
        <v>133</v>
      </c>
      <c r="I20" s="130" t="n">
        <v>18800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29" t="n">
        <v>360</v>
      </c>
      <c r="D21" s="127" t="n">
        <v>128.6</v>
      </c>
      <c r="E21" s="128" t="n">
        <v>39</v>
      </c>
      <c r="F21" s="127" t="n">
        <v>107.6</v>
      </c>
      <c r="G21" s="17" t="n">
        <v>33</v>
      </c>
      <c r="H21" s="129" t="n">
        <v>26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128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29" t="n">
        <v>360</v>
      </c>
      <c r="D22" s="127" t="n">
        <v>150.8</v>
      </c>
      <c r="E22" s="128" t="n">
        <v>46</v>
      </c>
      <c r="F22" s="127" t="n">
        <v>128.2</v>
      </c>
      <c r="G22" s="17" t="n">
        <v>39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 N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 N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 N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8">
    <cfRule type="expression" priority="94" dxfId="23">
      <formula>AV18="X"</formula>
    </cfRule>
    <cfRule type="expression" priority="95" dxfId="22">
      <formula>AV18="후보"</formula>
    </cfRule>
  </conditionalFormatting>
  <conditionalFormatting sqref="AC1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동산골드클래스</t>
        </is>
      </c>
      <c r="B6" s="10" t="inlineStr">
        <is>
          <t>'15.12.</t>
        </is>
      </c>
      <c r="C6" s="129" t="n">
        <v>310</v>
      </c>
      <c r="D6" s="127" t="n">
        <v>112.3</v>
      </c>
      <c r="E6" s="128" t="n">
        <v>34</v>
      </c>
      <c r="F6" s="127" t="n">
        <v>84.7</v>
      </c>
      <c r="G6" s="17" t="n">
        <v>26</v>
      </c>
      <c r="H6" s="129" t="n">
        <v>310</v>
      </c>
      <c r="I6" s="130" t="n">
        <v>28000</v>
      </c>
      <c r="J6" s="130" t="inlineStr">
        <is>
          <t>13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대승</t>
        </is>
      </c>
      <c r="B8" s="10" t="inlineStr">
        <is>
          <t>'96.01.</t>
        </is>
      </c>
      <c r="C8" s="129" t="n">
        <v>283</v>
      </c>
      <c r="D8" s="127" t="n">
        <v>81.09999999999999</v>
      </c>
      <c r="E8" s="128" t="n">
        <v>25</v>
      </c>
      <c r="F8" s="127" t="n">
        <v>59.4</v>
      </c>
      <c r="G8" s="17" t="n">
        <v>18</v>
      </c>
      <c r="H8" s="129" t="n">
        <v>283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우신동산</t>
        </is>
      </c>
      <c r="B10" s="10" t="inlineStr">
        <is>
          <t>'92.04.</t>
        </is>
      </c>
      <c r="C10" s="129" t="n">
        <v>494</v>
      </c>
      <c r="D10" s="127" t="n">
        <v>79</v>
      </c>
      <c r="E10" s="128" t="n">
        <v>24</v>
      </c>
      <c r="F10" s="127" t="n">
        <v>59.6</v>
      </c>
      <c r="G10" s="17" t="n">
        <v>18</v>
      </c>
      <c r="H10" s="129" t="n">
        <v>494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대승2차</t>
        </is>
      </c>
      <c r="B12" s="10" t="inlineStr">
        <is>
          <t>'96.01.</t>
        </is>
      </c>
      <c r="C12" s="129" t="n">
        <v>299</v>
      </c>
      <c r="D12" s="127" t="n">
        <v>70.8</v>
      </c>
      <c r="E12" s="128" t="n">
        <v>21</v>
      </c>
      <c r="F12" s="127" t="n">
        <v>52.1</v>
      </c>
      <c r="G12" s="17" t="n">
        <v>16</v>
      </c>
      <c r="H12" s="129" t="n">
        <v>15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복</t>
        </is>
      </c>
      <c r="T12" s="5" t="n">
        <v>70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29" t="n">
        <v>299</v>
      </c>
      <c r="D13" s="127" t="n">
        <v>80.7</v>
      </c>
      <c r="E13" s="128" t="n">
        <v>24</v>
      </c>
      <c r="F13" s="127" t="n">
        <v>59.4</v>
      </c>
      <c r="G13" s="17" t="n">
        <v>18</v>
      </c>
      <c r="H13" s="129" t="n">
        <v>284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23">
      <formula>AV4="X"</formula>
    </cfRule>
    <cfRule type="expression" priority="112" dxfId="22">
      <formula>AV4="후보"</formula>
    </cfRule>
  </conditionalFormatting>
  <conditionalFormatting sqref="AC1:AC2 AC4:AC6 N4:N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N1:N2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N6">
    <cfRule type="cellIs" priority="104" operator="greaterThan" dxfId="17">
      <formula>0.9</formula>
    </cfRule>
    <cfRule type="cellIs" priority="105" operator="greaterThan" dxfId="16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23">
      <formula>AV7="X"</formula>
    </cfRule>
    <cfRule type="expression" priority="91" dxfId="22">
      <formula>AV7="후보"</formula>
    </cfRule>
  </conditionalFormatting>
  <conditionalFormatting sqref="AC7 N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전주아중롯데</t>
        </is>
      </c>
      <c r="B6" s="10" t="inlineStr">
        <is>
          <t>'98.11.</t>
        </is>
      </c>
      <c r="C6" s="129" t="n">
        <v>540</v>
      </c>
      <c r="D6" s="127" t="n">
        <v>93.90000000000001</v>
      </c>
      <c r="E6" s="128" t="n">
        <v>28</v>
      </c>
      <c r="F6" s="127" t="n">
        <v>74.2</v>
      </c>
      <c r="G6" s="17" t="n">
        <v>22</v>
      </c>
      <c r="H6" s="129" t="n">
        <v>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n">
        <v>93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29" t="n">
        <v>540</v>
      </c>
      <c r="D7" s="127" t="n">
        <v>104.7</v>
      </c>
      <c r="E7" s="128" t="n">
        <v>32</v>
      </c>
      <c r="F7" s="127" t="n">
        <v>84.7</v>
      </c>
      <c r="G7" s="17" t="n">
        <v>26</v>
      </c>
      <c r="H7" s="129" t="n">
        <v>180</v>
      </c>
      <c r="I7" s="130" t="n">
        <v>19300</v>
      </c>
      <c r="J7" s="130" t="inlineStr">
        <is>
          <t>14</t>
        </is>
      </c>
      <c r="K7" s="130" t="n">
        <v>21000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104A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29" t="n">
        <v>540</v>
      </c>
      <c r="D8" s="127" t="n">
        <v>107.4</v>
      </c>
      <c r="E8" s="128" t="n">
        <v>32</v>
      </c>
      <c r="F8" s="127" t="n">
        <v>84.8</v>
      </c>
      <c r="G8" s="17" t="n">
        <v>26</v>
      </c>
      <c r="H8" s="129" t="n">
        <v>351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107B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29" t="n">
        <v>450</v>
      </c>
      <c r="D10" s="127" t="n">
        <v>106.3</v>
      </c>
      <c r="E10" s="128" t="n">
        <v>32</v>
      </c>
      <c r="F10" s="127" t="n">
        <v>84.40000000000001</v>
      </c>
      <c r="G10" s="17" t="n">
        <v>26</v>
      </c>
      <c r="H10" s="129" t="n">
        <v>236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29" t="n">
        <v>450</v>
      </c>
      <c r="D11" s="127" t="n">
        <v>126.7</v>
      </c>
      <c r="E11" s="128" t="n">
        <v>38</v>
      </c>
      <c r="F11" s="127" t="n">
        <v>103.3</v>
      </c>
      <c r="G11" s="17" t="n">
        <v>31</v>
      </c>
      <c r="H11" s="129" t="n">
        <v>114</v>
      </c>
      <c r="I11" s="130" t="n">
        <v>26500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126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29" t="n">
        <v>450</v>
      </c>
      <c r="D12" s="127" t="n">
        <v>166.3</v>
      </c>
      <c r="E12" s="128" t="n">
        <v>50</v>
      </c>
      <c r="F12" s="127" t="n">
        <v>141.2</v>
      </c>
      <c r="G12" s="17" t="n">
        <v>43</v>
      </c>
      <c r="H12" s="129" t="n">
        <v>100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166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선변오지오</t>
        </is>
      </c>
      <c r="B14" s="10" t="inlineStr">
        <is>
          <t>'08.12.</t>
        </is>
      </c>
      <c r="C14" s="129" t="n">
        <v>240</v>
      </c>
      <c r="D14" s="127" t="n">
        <v>107</v>
      </c>
      <c r="E14" s="128" t="n">
        <v>32</v>
      </c>
      <c r="F14" s="127" t="n">
        <v>82.8</v>
      </c>
      <c r="G14" s="17" t="n">
        <v>25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29" t="n">
        <v>240</v>
      </c>
      <c r="D15" s="127" t="n">
        <v>109.2</v>
      </c>
      <c r="E15" s="128" t="n">
        <v>33</v>
      </c>
      <c r="F15" s="127" t="n">
        <v>84.90000000000001</v>
      </c>
      <c r="G15" s="17" t="n">
        <v>26</v>
      </c>
      <c r="H15" s="129" t="n">
        <v>120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29" t="n">
        <v>240</v>
      </c>
      <c r="D16" s="127" t="n">
        <v>109.5</v>
      </c>
      <c r="E16" s="128" t="n">
        <v>33</v>
      </c>
      <c r="F16" s="127" t="n">
        <v>84.5</v>
      </c>
      <c r="G16" s="17" t="n">
        <v>26</v>
      </c>
      <c r="H16" s="129" t="n">
        <v>58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29" t="n">
        <v>240</v>
      </c>
      <c r="D17" s="127" t="n">
        <v>110.8</v>
      </c>
      <c r="E17" s="128" t="n">
        <v>34</v>
      </c>
      <c r="F17" s="127" t="n">
        <v>84.90000000000001</v>
      </c>
      <c r="G17" s="17" t="n">
        <v>26</v>
      </c>
      <c r="H17" s="129" t="n">
        <v>60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 N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4">
    <cfRule type="expression" priority="75" dxfId="23">
      <formula>AV14="X"</formula>
    </cfRule>
    <cfRule type="expression" priority="76" dxfId="22">
      <formula>AV14="후보"</formula>
    </cfRule>
  </conditionalFormatting>
  <conditionalFormatting sqref="AC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29" t="n">
        <v>323</v>
      </c>
      <c r="D6" s="127" t="n">
        <v>80.8</v>
      </c>
      <c r="E6" s="128" t="n">
        <v>24</v>
      </c>
      <c r="F6" s="127" t="n">
        <v>59.2</v>
      </c>
      <c r="G6" s="17" t="n">
        <v>18</v>
      </c>
      <c r="H6" s="129" t="n">
        <v>27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80B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29" t="n">
        <v>323</v>
      </c>
      <c r="D7" s="127" t="n">
        <v>81.7</v>
      </c>
      <c r="E7" s="128" t="n">
        <v>25</v>
      </c>
      <c r="F7" s="127" t="n">
        <v>59.9</v>
      </c>
      <c r="G7" s="17" t="n">
        <v>18</v>
      </c>
      <c r="H7" s="129" t="n">
        <v>82</v>
      </c>
      <c r="I7" s="130" t="n">
        <v>37000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29" t="n">
        <v>323</v>
      </c>
      <c r="D8" s="127" t="n">
        <v>95.8</v>
      </c>
      <c r="E8" s="128" t="n">
        <v>29</v>
      </c>
      <c r="F8" s="127" t="n">
        <v>72</v>
      </c>
      <c r="G8" s="17" t="n">
        <v>22</v>
      </c>
      <c r="H8" s="129" t="n">
        <v>53</v>
      </c>
      <c r="I8" s="130" t="n">
        <v>40000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95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29" t="n">
        <v>323</v>
      </c>
      <c r="D9" s="127" t="n">
        <v>112</v>
      </c>
      <c r="E9" s="128" t="n">
        <v>34</v>
      </c>
      <c r="F9" s="127" t="n">
        <v>84.59999999999999</v>
      </c>
      <c r="G9" s="17" t="n">
        <v>26</v>
      </c>
      <c r="H9" s="129" t="n">
        <v>109</v>
      </c>
      <c r="I9" s="130" t="n">
        <v>53000</v>
      </c>
      <c r="J9" s="130" t="inlineStr">
        <is>
          <t>중</t>
        </is>
      </c>
      <c r="K9" s="130" t="n">
        <v>33000</v>
      </c>
      <c r="L9" s="130" t="inlineStr">
        <is>
          <t>12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111A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29" t="n">
        <v>323</v>
      </c>
      <c r="D10" s="127" t="n">
        <v>111.5</v>
      </c>
      <c r="E10" s="128" t="n">
        <v>34</v>
      </c>
      <c r="F10" s="127" t="n">
        <v>84.3</v>
      </c>
      <c r="G10" s="17" t="n">
        <v>25</v>
      </c>
      <c r="H10" s="129" t="n">
        <v>52</v>
      </c>
      <c r="I10" s="130" t="n">
        <v>50000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우아럭키</t>
        </is>
      </c>
      <c r="B12" s="10" t="inlineStr">
        <is>
          <t>'92.03.</t>
        </is>
      </c>
      <c r="C12" s="129" t="n">
        <v>480</v>
      </c>
      <c r="D12" s="127" t="n">
        <v>102.9</v>
      </c>
      <c r="E12" s="128" t="n">
        <v>31</v>
      </c>
      <c r="F12" s="127" t="n">
        <v>84.90000000000001</v>
      </c>
      <c r="G12" s="17" t="n">
        <v>26</v>
      </c>
      <c r="H12" s="129" t="n">
        <v>300</v>
      </c>
      <c r="I12" s="130" t="n">
        <v>13700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29" t="n">
        <v>480</v>
      </c>
      <c r="D13" s="127" t="n">
        <v>130.2</v>
      </c>
      <c r="E13" s="128" t="n">
        <v>39</v>
      </c>
      <c r="F13" s="127" t="n">
        <v>110.8</v>
      </c>
      <c r="G13" s="17" t="n">
        <v>34</v>
      </c>
      <c r="H13" s="129" t="n">
        <v>60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130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29" t="n">
        <v>480</v>
      </c>
      <c r="D14" s="127" t="n">
        <v>150</v>
      </c>
      <c r="E14" s="128" t="n">
        <v>45</v>
      </c>
      <c r="F14" s="127" t="n">
        <v>128.3</v>
      </c>
      <c r="G14" s="17" t="n">
        <v>39</v>
      </c>
      <c r="H14" s="129" t="n">
        <v>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29" t="n">
        <v>480</v>
      </c>
      <c r="D15" s="127" t="n">
        <v>187.6</v>
      </c>
      <c r="E15" s="128" t="n">
        <v>57</v>
      </c>
      <c r="F15" s="127" t="n">
        <v>162.9</v>
      </c>
      <c r="G15" s="17" t="n">
        <v>49</v>
      </c>
      <c r="H15" s="129" t="n">
        <v>60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187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e편한세상우아</t>
        </is>
      </c>
      <c r="B17" s="10" t="inlineStr">
        <is>
          <t>'18.12.</t>
        </is>
      </c>
      <c r="C17" s="129" t="n">
        <v>750</v>
      </c>
      <c r="D17" s="127" t="n">
        <v>82.3</v>
      </c>
      <c r="E17" s="128" t="n">
        <v>25</v>
      </c>
      <c r="F17" s="127" t="n">
        <v>59.9</v>
      </c>
      <c r="G17" s="17" t="n">
        <v>18</v>
      </c>
      <c r="H17" s="129" t="n">
        <v>162</v>
      </c>
      <c r="I17" s="130" t="n">
        <v>35500</v>
      </c>
      <c r="J17" s="130" t="inlineStr">
        <is>
          <t>13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29" t="n">
        <v>750</v>
      </c>
      <c r="D18" s="127" t="n">
        <v>98.40000000000001</v>
      </c>
      <c r="E18" s="128" t="n">
        <v>30</v>
      </c>
      <c r="F18" s="127" t="n">
        <v>74.90000000000001</v>
      </c>
      <c r="G18" s="17" t="n">
        <v>23</v>
      </c>
      <c r="H18" s="129" t="n">
        <v>189</v>
      </c>
      <c r="I18" s="130" t="n">
        <v>45000</v>
      </c>
      <c r="J18" s="130" t="inlineStr">
        <is>
          <t>15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29" t="n">
        <v>750</v>
      </c>
      <c r="D19" s="127" t="n">
        <v>109.4</v>
      </c>
      <c r="E19" s="128" t="n">
        <v>33</v>
      </c>
      <c r="F19" s="127" t="n">
        <v>84.8</v>
      </c>
      <c r="G19" s="17" t="n">
        <v>26</v>
      </c>
      <c r="H19" s="129" t="n">
        <v>154</v>
      </c>
      <c r="I19" s="130" t="n">
        <v>50500</v>
      </c>
      <c r="J19" s="130" t="inlineStr">
        <is>
          <t>16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29" t="n">
        <v>750</v>
      </c>
      <c r="D20" s="127" t="n">
        <v>111.3</v>
      </c>
      <c r="E20" s="128" t="n">
        <v>34</v>
      </c>
      <c r="F20" s="127" t="n">
        <v>85</v>
      </c>
      <c r="G20" s="17" t="n">
        <v>26</v>
      </c>
      <c r="H20" s="129" t="n">
        <v>245</v>
      </c>
      <c r="I20" s="130" t="n">
        <v>47000</v>
      </c>
      <c r="J20" s="130" t="inlineStr">
        <is>
          <t>고</t>
        </is>
      </c>
      <c r="K20" s="130" t="n">
        <v>38000</v>
      </c>
      <c r="L20" s="130" t="inlineStr">
        <is>
          <t>10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111B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진흥하이츠</t>
        </is>
      </c>
      <c r="B22" s="10" t="inlineStr">
        <is>
          <t>'95.07.</t>
        </is>
      </c>
      <c r="C22" s="129" t="n">
        <v>371</v>
      </c>
      <c r="D22" s="127" t="n">
        <v>76.8</v>
      </c>
      <c r="E22" s="128" t="n">
        <v>23</v>
      </c>
      <c r="F22" s="127" t="n">
        <v>59.9</v>
      </c>
      <c r="G22" s="17" t="n">
        <v>18</v>
      </c>
      <c r="H22" s="129" t="n">
        <v>169</v>
      </c>
      <c r="I22" s="130" t="n">
        <v>10300</v>
      </c>
      <c r="J22" s="130" t="inlineStr">
        <is>
          <t>8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29" t="n">
        <v>371</v>
      </c>
      <c r="D23" s="127" t="n">
        <v>76.7</v>
      </c>
      <c r="E23" s="128" t="n">
        <v>23</v>
      </c>
      <c r="F23" s="127" t="n">
        <v>59.8</v>
      </c>
      <c r="G23" s="17" t="n">
        <v>18</v>
      </c>
      <c r="H23" s="129" t="n">
        <v>68</v>
      </c>
      <c r="I23" s="130" t="n">
        <v>10300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76A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29" t="n">
        <v>371</v>
      </c>
      <c r="D24" s="127" t="n">
        <v>108.1</v>
      </c>
      <c r="E24" s="128" t="n">
        <v>33</v>
      </c>
      <c r="F24" s="127" t="n">
        <v>84.40000000000001</v>
      </c>
      <c r="G24" s="17" t="n">
        <v>26</v>
      </c>
      <c r="H24" s="129" t="n">
        <v>134</v>
      </c>
      <c r="I24" s="130" t="n">
        <v>13500</v>
      </c>
      <c r="J24" s="130" t="inlineStr">
        <is>
          <t>5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우신</t>
        </is>
      </c>
      <c r="B26" s="10" t="inlineStr">
        <is>
          <t>'88.01.</t>
        </is>
      </c>
      <c r="C26" s="129" t="n">
        <v>300</v>
      </c>
      <c r="D26" s="127" t="n">
        <v>68</v>
      </c>
      <c r="E26" s="128" t="n">
        <v>21</v>
      </c>
      <c r="F26" s="127" t="n">
        <v>57.8</v>
      </c>
      <c r="G26" s="17" t="n">
        <v>17</v>
      </c>
      <c r="H26" s="129" t="n">
        <v>250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68A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29" t="n">
        <v>300</v>
      </c>
      <c r="D27" s="127" t="n">
        <v>69.09999999999999</v>
      </c>
      <c r="E27" s="128" t="n">
        <v>21</v>
      </c>
      <c r="F27" s="127" t="n">
        <v>58.9</v>
      </c>
      <c r="G27" s="17" t="n">
        <v>18</v>
      </c>
      <c r="H27" s="129" t="n">
        <v>50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전주우아한시티</t>
        </is>
      </c>
      <c r="B29" s="10" t="inlineStr">
        <is>
          <t>'21.09.</t>
        </is>
      </c>
      <c r="C29" s="129" t="n">
        <v>998</v>
      </c>
      <c r="D29" s="127" t="n">
        <v>79.3</v>
      </c>
      <c r="E29" s="128" t="n">
        <v>24</v>
      </c>
      <c r="F29" s="127" t="n">
        <v>60</v>
      </c>
      <c r="G29" s="17" t="n">
        <v>18</v>
      </c>
      <c r="H29" s="129" t="n">
        <v>156</v>
      </c>
      <c r="I29" s="130" t="n">
        <v>40000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79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29" t="n">
        <v>998</v>
      </c>
      <c r="D30" s="127" t="n">
        <v>98.59999999999999</v>
      </c>
      <c r="E30" s="128" t="n">
        <v>30</v>
      </c>
      <c r="F30" s="127" t="n">
        <v>75</v>
      </c>
      <c r="G30" s="17" t="n">
        <v>23</v>
      </c>
      <c r="H30" s="129" t="n">
        <v>78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98A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29" t="n">
        <v>998</v>
      </c>
      <c r="D31" s="127" t="n">
        <v>99.2</v>
      </c>
      <c r="E31" s="128" t="n">
        <v>30</v>
      </c>
      <c r="F31" s="127" t="n">
        <v>75</v>
      </c>
      <c r="G31" s="17" t="n">
        <v>23</v>
      </c>
      <c r="H31" s="129" t="n">
        <v>79</v>
      </c>
      <c r="I31" s="130" t="n">
        <v>45000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29" t="n">
        <v>998</v>
      </c>
      <c r="D32" s="127" t="n">
        <v>107.3</v>
      </c>
      <c r="E32" s="128" t="n">
        <v>32</v>
      </c>
      <c r="F32" s="127" t="n">
        <v>84.90000000000001</v>
      </c>
      <c r="G32" s="17" t="n">
        <v>26</v>
      </c>
      <c r="H32" s="129" t="n">
        <v>355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107A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29" t="n">
        <v>998</v>
      </c>
      <c r="D33" s="127" t="n">
        <v>108</v>
      </c>
      <c r="E33" s="128" t="n">
        <v>33</v>
      </c>
      <c r="F33" s="127" t="n">
        <v>85</v>
      </c>
      <c r="G33" s="17" t="n">
        <v>26</v>
      </c>
      <c r="H33" s="129" t="n">
        <v>147</v>
      </c>
      <c r="I33" s="130" t="n">
        <v>50000</v>
      </c>
      <c r="J33" s="130" t="inlineStr">
        <is>
          <t>6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108B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29" t="n">
        <v>998</v>
      </c>
      <c r="D34" s="127" t="n">
        <v>108.3</v>
      </c>
      <c r="E34" s="128" t="n">
        <v>33</v>
      </c>
      <c r="F34" s="127" t="n">
        <v>85</v>
      </c>
      <c r="G34" s="17" t="n">
        <v>26</v>
      </c>
      <c r="H34" s="129" t="n">
        <v>142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108C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29" t="n">
        <v>998</v>
      </c>
      <c r="D35" s="127" t="n">
        <v>143.4</v>
      </c>
      <c r="E35" s="128" t="n">
        <v>43</v>
      </c>
      <c r="F35" s="127" t="n">
        <v>115.9</v>
      </c>
      <c r="G35" s="17" t="n">
        <v>35</v>
      </c>
      <c r="H35" s="129" t="n">
        <v>21</v>
      </c>
      <c r="I35" s="130" t="n"/>
      <c r="J35" s="130" t="n"/>
      <c r="K35" s="130" t="n">
        <v>50000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29" t="n">
        <v>998</v>
      </c>
      <c r="D36" s="127" t="n">
        <v>143.7</v>
      </c>
      <c r="E36" s="128" t="n">
        <v>43</v>
      </c>
      <c r="F36" s="127" t="n">
        <v>115.9</v>
      </c>
      <c r="G36" s="17" t="n">
        <v>35</v>
      </c>
      <c r="H36" s="129" t="n">
        <v>20</v>
      </c>
      <c r="I36" s="130" t="n">
        <v>80000</v>
      </c>
      <c r="J36" s="130" t="inlineStr">
        <is>
          <t>11</t>
        </is>
      </c>
      <c r="K36" s="130" t="n">
        <v>50000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우정,신세계</t>
        </is>
      </c>
      <c r="B38" s="10" t="inlineStr">
        <is>
          <t>'95.07.</t>
        </is>
      </c>
      <c r="C38" s="129" t="n">
        <v>792</v>
      </c>
      <c r="D38" s="127" t="n">
        <v>80.5</v>
      </c>
      <c r="E38" s="128" t="n">
        <v>24</v>
      </c>
      <c r="F38" s="127" t="n">
        <v>59.9</v>
      </c>
      <c r="G38" s="17" t="n">
        <v>18</v>
      </c>
      <c r="H38" s="129" t="n">
        <v>792</v>
      </c>
      <c r="I38" s="130" t="n">
        <v>7600</v>
      </c>
      <c r="J38" s="130" t="inlineStr">
        <is>
          <t>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80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23">
      <formula>AV10="X"</formula>
    </cfRule>
    <cfRule type="expression" priority="467" dxfId="22">
      <formula>AV10="후보"</formula>
    </cfRule>
  </conditionalFormatting>
  <conditionalFormatting sqref="AC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23">
      <formula>AV11="X"</formula>
    </cfRule>
    <cfRule type="expression" priority="448" dxfId="22">
      <formula>AV11="후보"</formula>
    </cfRule>
  </conditionalFormatting>
  <conditionalFormatting sqref="AC11 N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 N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23">
      <formula>AV19="X"</formula>
    </cfRule>
    <cfRule type="expression" priority="324" dxfId="22">
      <formula>AV19="후보"</formula>
    </cfRule>
  </conditionalFormatting>
  <conditionalFormatting sqref="AC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 N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23">
      <formula>AV23="X"</formula>
    </cfRule>
    <cfRule type="expression" priority="262" dxfId="22">
      <formula>AV23="후보"</formula>
    </cfRule>
  </conditionalFormatting>
  <conditionalFormatting sqref="AC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23">
      <formula>AV24="X"</formula>
    </cfRule>
    <cfRule type="expression" priority="243" dxfId="22">
      <formula>AV24="후보"</formula>
    </cfRule>
  </conditionalFormatting>
  <conditionalFormatting sqref="AC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 N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 N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23">
      <formula>AV37="X"</formula>
    </cfRule>
    <cfRule type="expression" priority="24" dxfId="22">
      <formula>AV37="후보"</formula>
    </cfRule>
  </conditionalFormatting>
  <conditionalFormatting sqref="AC37 N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궁전</t>
        </is>
      </c>
      <c r="B6" s="10" t="inlineStr">
        <is>
          <t>'88.06.</t>
        </is>
      </c>
      <c r="C6" s="129" t="n">
        <v>212</v>
      </c>
      <c r="D6" s="127" t="n">
        <v>100.4</v>
      </c>
      <c r="E6" s="128" t="n">
        <v>30</v>
      </c>
      <c r="F6" s="127" t="n">
        <v>84.5</v>
      </c>
      <c r="G6" s="17" t="n">
        <v>26</v>
      </c>
      <c r="H6" s="129" t="n">
        <v>130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29" t="n">
        <v>212</v>
      </c>
      <c r="D7" s="127" t="n">
        <v>136.8</v>
      </c>
      <c r="E7" s="128" t="n">
        <v>41</v>
      </c>
      <c r="F7" s="127" t="n">
        <v>115.1</v>
      </c>
      <c r="G7" s="17" t="n">
        <v>35</v>
      </c>
      <c r="H7" s="129" t="n">
        <v>82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136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아중마을부영6차</t>
        </is>
      </c>
      <c r="B9" s="10" t="inlineStr">
        <is>
          <t>'03.09.</t>
        </is>
      </c>
      <c r="C9" s="129" t="n">
        <v>800</v>
      </c>
      <c r="D9" s="127" t="n">
        <v>77.3</v>
      </c>
      <c r="E9" s="128" t="n">
        <v>23</v>
      </c>
      <c r="F9" s="127" t="n">
        <v>60</v>
      </c>
      <c r="G9" s="17" t="n">
        <v>18</v>
      </c>
      <c r="H9" s="129" t="n">
        <v>106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29" t="n">
        <v>800</v>
      </c>
      <c r="D10" s="127" t="n">
        <v>104</v>
      </c>
      <c r="E10" s="128" t="n">
        <v>31</v>
      </c>
      <c r="F10" s="127" t="n">
        <v>84.8</v>
      </c>
      <c r="G10" s="17" t="n">
        <v>26</v>
      </c>
      <c r="H10" s="129" t="n">
        <v>694</v>
      </c>
      <c r="I10" s="130" t="n">
        <v>24000</v>
      </c>
      <c r="J10" s="130" t="inlineStr">
        <is>
          <t>6</t>
        </is>
      </c>
      <c r="K10" s="130" t="n">
        <v>23000</v>
      </c>
      <c r="L10" s="130" t="inlineStr">
        <is>
          <t>11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아중마을부영5차</t>
        </is>
      </c>
      <c r="B12" s="10" t="inlineStr">
        <is>
          <t>'99.09.</t>
        </is>
      </c>
      <c r="C12" s="129" t="n">
        <v>618</v>
      </c>
      <c r="D12" s="127" t="n">
        <v>68.5</v>
      </c>
      <c r="E12" s="128" t="n">
        <v>21</v>
      </c>
      <c r="F12" s="127" t="n">
        <v>50</v>
      </c>
      <c r="G12" s="17" t="n">
        <v>15</v>
      </c>
      <c r="H12" s="129" t="n">
        <v>328</v>
      </c>
      <c r="I12" s="130" t="n">
        <v>12500</v>
      </c>
      <c r="J12" s="130" t="inlineStr">
        <is>
          <t>중</t>
        </is>
      </c>
      <c r="K12" s="130" t="n">
        <v>11500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68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29" t="n">
        <v>618</v>
      </c>
      <c r="D13" s="127" t="n">
        <v>81.5</v>
      </c>
      <c r="E13" s="128" t="n">
        <v>25</v>
      </c>
      <c r="F13" s="127" t="n">
        <v>59.5</v>
      </c>
      <c r="G13" s="17" t="n">
        <v>18</v>
      </c>
      <c r="H13" s="129" t="n">
        <v>290</v>
      </c>
      <c r="I13" s="130" t="n">
        <v>14500</v>
      </c>
      <c r="J13" s="130" t="inlineStr">
        <is>
          <t>5</t>
        </is>
      </c>
      <c r="K13" s="130" t="n">
        <v>13000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전주인후휴먼시아</t>
        </is>
      </c>
      <c r="B15" s="10" t="inlineStr">
        <is>
          <t>'08.02.</t>
        </is>
      </c>
      <c r="C15" s="129" t="n">
        <v>423</v>
      </c>
      <c r="D15" s="127" t="n">
        <v>82.59999999999999</v>
      </c>
      <c r="E15" s="128" t="n">
        <v>25</v>
      </c>
      <c r="F15" s="127" t="n">
        <v>59.6</v>
      </c>
      <c r="G15" s="17" t="n">
        <v>18</v>
      </c>
      <c r="H15" s="129" t="n">
        <v>273</v>
      </c>
      <c r="I15" s="130" t="n">
        <v>19500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29" t="n">
        <v>423</v>
      </c>
      <c r="D16" s="127" t="n">
        <v>99</v>
      </c>
      <c r="E16" s="128" t="n">
        <v>30</v>
      </c>
      <c r="F16" s="127" t="n">
        <v>75.90000000000001</v>
      </c>
      <c r="G16" s="17" t="n">
        <v>23</v>
      </c>
      <c r="H16" s="129" t="n">
        <v>112</v>
      </c>
      <c r="I16" s="130" t="n">
        <v>24000</v>
      </c>
      <c r="J16" s="130" t="inlineStr">
        <is>
          <t>고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99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29" t="n">
        <v>423</v>
      </c>
      <c r="D17" s="127" t="n">
        <v>109.8</v>
      </c>
      <c r="E17" s="128" t="n">
        <v>33</v>
      </c>
      <c r="F17" s="127" t="n">
        <v>84.7</v>
      </c>
      <c r="G17" s="17" t="n">
        <v>26</v>
      </c>
      <c r="H17" s="129" t="n">
        <v>38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삼호</t>
        </is>
      </c>
      <c r="B19" s="10" t="inlineStr">
        <is>
          <t>'90.12.</t>
        </is>
      </c>
      <c r="C19" s="129" t="n">
        <v>404</v>
      </c>
      <c r="D19" s="127" t="n">
        <v>87.8</v>
      </c>
      <c r="E19" s="128" t="n">
        <v>27</v>
      </c>
      <c r="F19" s="127" t="n">
        <v>75</v>
      </c>
      <c r="G19" s="17" t="n">
        <v>23</v>
      </c>
      <c r="H19" s="129" t="n">
        <v>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29" t="n">
        <v>404</v>
      </c>
      <c r="D20" s="127" t="n">
        <v>88.2</v>
      </c>
      <c r="E20" s="128" t="n">
        <v>27</v>
      </c>
      <c r="F20" s="127" t="n">
        <v>74.2</v>
      </c>
      <c r="G20" s="17" t="n">
        <v>22</v>
      </c>
      <c r="H20" s="129" t="n">
        <v>116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29" t="n">
        <v>404</v>
      </c>
      <c r="D21" s="127" t="n">
        <v>92.40000000000001</v>
      </c>
      <c r="E21" s="128" t="n">
        <v>28</v>
      </c>
      <c r="F21" s="127" t="n">
        <v>78.90000000000001</v>
      </c>
      <c r="G21" s="17" t="n">
        <v>24</v>
      </c>
      <c r="H21" s="129" t="n">
        <v>15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92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29" t="n">
        <v>404</v>
      </c>
      <c r="D22" s="127" t="n">
        <v>95.8</v>
      </c>
      <c r="E22" s="128" t="n">
        <v>29</v>
      </c>
      <c r="F22" s="127" t="n">
        <v>81.8</v>
      </c>
      <c r="G22" s="17" t="n">
        <v>25</v>
      </c>
      <c r="H22" s="129" t="n">
        <v>14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29" t="n">
        <v>404</v>
      </c>
      <c r="D23" s="127" t="n">
        <v>101</v>
      </c>
      <c r="E23" s="128" t="n">
        <v>31</v>
      </c>
      <c r="F23" s="127" t="n">
        <v>85</v>
      </c>
      <c r="G23" s="17" t="n">
        <v>26</v>
      </c>
      <c r="H23" s="129" t="n">
        <v>198</v>
      </c>
      <c r="I23" s="130" t="n">
        <v>13000</v>
      </c>
      <c r="J23" s="130" t="inlineStr">
        <is>
          <t>중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29" t="n">
        <v>404</v>
      </c>
      <c r="D24" s="127" t="n">
        <v>149</v>
      </c>
      <c r="E24" s="128" t="n">
        <v>45</v>
      </c>
      <c r="F24" s="127" t="n">
        <v>126.6</v>
      </c>
      <c r="G24" s="17" t="n">
        <v>38</v>
      </c>
      <c r="H24" s="129" t="n">
        <v>60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148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아중현대</t>
        </is>
      </c>
      <c r="B26" s="10" t="inlineStr">
        <is>
          <t>'98.01.</t>
        </is>
      </c>
      <c r="C26" s="129" t="n">
        <v>1153</v>
      </c>
      <c r="D26" s="127" t="n">
        <v>102.4</v>
      </c>
      <c r="E26" s="128" t="n">
        <v>31</v>
      </c>
      <c r="F26" s="127" t="n">
        <v>85</v>
      </c>
      <c r="G26" s="17" t="n">
        <v>26</v>
      </c>
      <c r="H26" s="129" t="n">
        <v>649</v>
      </c>
      <c r="I26" s="130" t="n">
        <v>22000</v>
      </c>
      <c r="J26" s="130" t="inlineStr">
        <is>
          <t>13</t>
        </is>
      </c>
      <c r="K26" s="130" t="n">
        <v>22000</v>
      </c>
      <c r="L26" s="130" t="inlineStr">
        <is>
          <t>고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102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29" t="n">
        <v>1153</v>
      </c>
      <c r="D27" s="127" t="n">
        <v>120.4</v>
      </c>
      <c r="E27" s="128" t="n">
        <v>36</v>
      </c>
      <c r="F27" s="127" t="n">
        <v>99.90000000000001</v>
      </c>
      <c r="G27" s="17" t="n">
        <v>30</v>
      </c>
      <c r="H27" s="129" t="n">
        <v>148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29" t="n">
        <v>1153</v>
      </c>
      <c r="D28" s="127" t="n">
        <v>120.4</v>
      </c>
      <c r="E28" s="128" t="n">
        <v>36</v>
      </c>
      <c r="F28" s="127" t="n">
        <v>99.90000000000001</v>
      </c>
      <c r="G28" s="17" t="n">
        <v>30</v>
      </c>
      <c r="H28" s="129" t="n">
        <v>30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120B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29" t="n">
        <v>1153</v>
      </c>
      <c r="D29" s="127" t="n">
        <v>138.5</v>
      </c>
      <c r="E29" s="128" t="n">
        <v>42</v>
      </c>
      <c r="F29" s="127" t="n">
        <v>114.9</v>
      </c>
      <c r="G29" s="17" t="n">
        <v>35</v>
      </c>
      <c r="H29" s="129" t="n">
        <v>148</v>
      </c>
      <c r="I29" s="130" t="n">
        <v>29000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138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29" t="n">
        <v>1153</v>
      </c>
      <c r="D30" s="127" t="n">
        <v>162.2</v>
      </c>
      <c r="E30" s="128" t="n">
        <v>49</v>
      </c>
      <c r="F30" s="127" t="n">
        <v>134.6</v>
      </c>
      <c r="G30" s="17" t="n">
        <v>41</v>
      </c>
      <c r="H30" s="129" t="n">
        <v>178</v>
      </c>
      <c r="I30" s="130" t="n">
        <v>40000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162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아중제일2차</t>
        </is>
      </c>
      <c r="B32" s="10" t="inlineStr">
        <is>
          <t>'00.10.</t>
        </is>
      </c>
      <c r="C32" s="129" t="n">
        <v>360</v>
      </c>
      <c r="D32" s="127" t="n">
        <v>81.8</v>
      </c>
      <c r="E32" s="128" t="n">
        <v>25</v>
      </c>
      <c r="F32" s="127" t="n">
        <v>59.6</v>
      </c>
      <c r="G32" s="17" t="n">
        <v>18</v>
      </c>
      <c r="H32" s="129" t="n">
        <v>360</v>
      </c>
      <c r="I32" s="130" t="n">
        <v>15000</v>
      </c>
      <c r="J32" s="130" t="inlineStr">
        <is>
          <t>중</t>
        </is>
      </c>
      <c r="K32" s="130" t="n">
        <v>15000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81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안고을우성</t>
        </is>
      </c>
      <c r="B34" s="10" t="inlineStr">
        <is>
          <t>'01.02.</t>
        </is>
      </c>
      <c r="C34" s="129" t="n">
        <v>305</v>
      </c>
      <c r="D34" s="127" t="n">
        <v>70.90000000000001</v>
      </c>
      <c r="E34" s="128" t="n">
        <v>21</v>
      </c>
      <c r="F34" s="127" t="n">
        <v>51.7</v>
      </c>
      <c r="G34" s="17" t="n">
        <v>16</v>
      </c>
      <c r="H34" s="129" t="n">
        <v>30</v>
      </c>
      <c r="I34" s="130" t="n">
        <v>10600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n">
        <v>70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29" t="n">
        <v>305</v>
      </c>
      <c r="D35" s="127" t="n">
        <v>78.3</v>
      </c>
      <c r="E35" s="128" t="n">
        <v>24</v>
      </c>
      <c r="F35" s="127" t="n">
        <v>57.1</v>
      </c>
      <c r="G35" s="17" t="n">
        <v>17</v>
      </c>
      <c r="H35" s="129" t="n">
        <v>66</v>
      </c>
      <c r="I35" s="130" t="n">
        <v>11000</v>
      </c>
      <c r="J35" s="130" t="inlineStr">
        <is>
          <t>7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29" t="n">
        <v>305</v>
      </c>
      <c r="D36" s="127" t="n">
        <v>80.8</v>
      </c>
      <c r="E36" s="128" t="n">
        <v>24</v>
      </c>
      <c r="F36" s="127" t="n">
        <v>58.9</v>
      </c>
      <c r="G36" s="17" t="n">
        <v>18</v>
      </c>
      <c r="H36" s="129" t="n">
        <v>41</v>
      </c>
      <c r="I36" s="130" t="n">
        <v>14300</v>
      </c>
      <c r="J36" s="130" t="inlineStr">
        <is>
          <t>고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80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29" t="n">
        <v>305</v>
      </c>
      <c r="D37" s="127" t="n">
        <v>108.4</v>
      </c>
      <c r="E37" s="128" t="n">
        <v>33</v>
      </c>
      <c r="F37" s="127" t="n">
        <v>79</v>
      </c>
      <c r="G37" s="17" t="n">
        <v>24</v>
      </c>
      <c r="H37" s="129" t="n">
        <v>168</v>
      </c>
      <c r="I37" s="130" t="n">
        <v>19000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108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인후한신휴플러스</t>
        </is>
      </c>
      <c r="B39" s="10" t="inlineStr">
        <is>
          <t>'06.11.</t>
        </is>
      </c>
      <c r="C39" s="129" t="n">
        <v>1236</v>
      </c>
      <c r="D39" s="127" t="n">
        <v>79.5</v>
      </c>
      <c r="E39" s="128" t="n">
        <v>24</v>
      </c>
      <c r="F39" s="127" t="n">
        <v>59.9</v>
      </c>
      <c r="G39" s="17" t="n">
        <v>18</v>
      </c>
      <c r="H39" s="129" t="n">
        <v>20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79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29" t="n">
        <v>1236</v>
      </c>
      <c r="D40" s="127" t="n">
        <v>83.7</v>
      </c>
      <c r="E40" s="128" t="n">
        <v>25</v>
      </c>
      <c r="F40" s="127" t="n">
        <v>60</v>
      </c>
      <c r="G40" s="17" t="n">
        <v>18</v>
      </c>
      <c r="H40" s="129" t="n">
        <v>198</v>
      </c>
      <c r="I40" s="130" t="n">
        <v>23500</v>
      </c>
      <c r="J40" s="130" t="inlineStr">
        <is>
          <t>중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83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29" t="n">
        <v>1236</v>
      </c>
      <c r="D41" s="127" t="n">
        <v>108.4</v>
      </c>
      <c r="E41" s="128" t="n">
        <v>33</v>
      </c>
      <c r="F41" s="127" t="n">
        <v>85</v>
      </c>
      <c r="G41" s="17" t="n">
        <v>26</v>
      </c>
      <c r="H41" s="129" t="n">
        <v>382</v>
      </c>
      <c r="I41" s="130" t="n">
        <v>35900</v>
      </c>
      <c r="J41" s="130" t="inlineStr">
        <is>
          <t>10</t>
        </is>
      </c>
      <c r="K41" s="130" t="n">
        <v>30000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108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29" t="n">
        <v>1236</v>
      </c>
      <c r="D42" s="127" t="n">
        <v>111.7</v>
      </c>
      <c r="E42" s="128" t="n">
        <v>34</v>
      </c>
      <c r="F42" s="127" t="n">
        <v>84.7</v>
      </c>
      <c r="G42" s="17" t="n">
        <v>26</v>
      </c>
      <c r="H42" s="129" t="n">
        <v>77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111A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29" t="n">
        <v>1236</v>
      </c>
      <c r="D43" s="127" t="n">
        <v>112</v>
      </c>
      <c r="E43" s="128" t="n">
        <v>34</v>
      </c>
      <c r="F43" s="127" t="n">
        <v>84.8</v>
      </c>
      <c r="G43" s="17" t="n">
        <v>26</v>
      </c>
      <c r="H43" s="129" t="n">
        <v>195</v>
      </c>
      <c r="I43" s="130" t="n">
        <v>32500</v>
      </c>
      <c r="J43" s="130" t="inlineStr">
        <is>
          <t>고</t>
        </is>
      </c>
      <c r="K43" s="130" t="n">
        <v>27500</v>
      </c>
      <c r="L43" s="130" t="inlineStr">
        <is>
          <t>13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29" t="n">
        <v>1236</v>
      </c>
      <c r="D44" s="127" t="n">
        <v>143.5</v>
      </c>
      <c r="E44" s="128" t="n">
        <v>43</v>
      </c>
      <c r="F44" s="127" t="n">
        <v>114.8</v>
      </c>
      <c r="G44" s="17" t="n">
        <v>35</v>
      </c>
      <c r="H44" s="129" t="n">
        <v>284</v>
      </c>
      <c r="I44" s="130" t="n">
        <v>45000</v>
      </c>
      <c r="J44" s="130" t="inlineStr">
        <is>
          <t>고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143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29" t="n">
        <v>1236</v>
      </c>
      <c r="D45" s="127" t="n">
        <v>191.3</v>
      </c>
      <c r="E45" s="128" t="n">
        <v>58</v>
      </c>
      <c r="F45" s="127" t="n">
        <v>157.9</v>
      </c>
      <c r="G45" s="17" t="n">
        <v>48</v>
      </c>
      <c r="H45" s="129" t="n">
        <v>80</v>
      </c>
      <c r="I45" s="130" t="n">
        <v>52000</v>
      </c>
      <c r="J45" s="130" t="inlineStr">
        <is>
          <t>12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n">
        <v>191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위브어울림</t>
        </is>
      </c>
      <c r="B47" s="10" t="inlineStr">
        <is>
          <t>'07.01.</t>
        </is>
      </c>
      <c r="C47" s="129" t="n">
        <v>1549</v>
      </c>
      <c r="D47" s="127" t="n">
        <v>80.59999999999999</v>
      </c>
      <c r="E47" s="128" t="n">
        <v>24</v>
      </c>
      <c r="F47" s="127" t="n">
        <v>59.6</v>
      </c>
      <c r="G47" s="17" t="n">
        <v>18</v>
      </c>
      <c r="H47" s="129" t="n">
        <v>238</v>
      </c>
      <c r="I47" s="130" t="n">
        <v>26000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80C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29" t="n">
        <v>1549</v>
      </c>
      <c r="D48" s="127" t="n">
        <v>80.5</v>
      </c>
      <c r="E48" s="128" t="n">
        <v>24</v>
      </c>
      <c r="F48" s="127" t="n">
        <v>59.9</v>
      </c>
      <c r="G48" s="17" t="n">
        <v>18</v>
      </c>
      <c r="H48" s="129" t="n">
        <v>43</v>
      </c>
      <c r="I48" s="130" t="n">
        <v>26000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80A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29" t="n">
        <v>1549</v>
      </c>
      <c r="D49" s="127" t="n">
        <v>80.3</v>
      </c>
      <c r="E49" s="128" t="n">
        <v>24</v>
      </c>
      <c r="F49" s="127" t="n">
        <v>59.9</v>
      </c>
      <c r="G49" s="17" t="n">
        <v>18</v>
      </c>
      <c r="H49" s="129" t="n">
        <v>38</v>
      </c>
      <c r="I49" s="130" t="n">
        <v>24500</v>
      </c>
      <c r="J49" s="130" t="inlineStr">
        <is>
          <t>20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80B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29" t="n">
        <v>1549</v>
      </c>
      <c r="D50" s="127" t="n">
        <v>109.8</v>
      </c>
      <c r="E50" s="128" t="n">
        <v>33</v>
      </c>
      <c r="F50" s="127" t="n">
        <v>84.90000000000001</v>
      </c>
      <c r="G50" s="17" t="n">
        <v>26</v>
      </c>
      <c r="H50" s="129" t="n">
        <v>524</v>
      </c>
      <c r="I50" s="130" t="n"/>
      <c r="J50" s="130" t="n"/>
      <c r="K50" s="130" t="n">
        <v>29000</v>
      </c>
      <c r="L50" s="130" t="inlineStr">
        <is>
          <t>21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29" t="n">
        <v>1549</v>
      </c>
      <c r="D51" s="127" t="n">
        <v>109.8</v>
      </c>
      <c r="E51" s="128" t="n">
        <v>33</v>
      </c>
      <c r="F51" s="127" t="n">
        <v>84.90000000000001</v>
      </c>
      <c r="G51" s="17" t="n">
        <v>26</v>
      </c>
      <c r="H51" s="129" t="n">
        <v>80</v>
      </c>
      <c r="I51" s="130" t="n"/>
      <c r="J51" s="130" t="n"/>
      <c r="K51" s="130" t="n">
        <v>29000</v>
      </c>
      <c r="L51" s="130" t="inlineStr">
        <is>
          <t>21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109B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29" t="n">
        <v>1549</v>
      </c>
      <c r="D52" s="127" t="n">
        <v>110.2</v>
      </c>
      <c r="E52" s="128" t="n">
        <v>33</v>
      </c>
      <c r="F52" s="127" t="n">
        <v>85</v>
      </c>
      <c r="G52" s="17" t="n">
        <v>26</v>
      </c>
      <c r="H52" s="129" t="n">
        <v>83</v>
      </c>
      <c r="I52" s="130" t="n"/>
      <c r="J52" s="130" t="n"/>
      <c r="K52" s="130" t="n">
        <v>29500</v>
      </c>
      <c r="L52" s="130" t="inlineStr">
        <is>
          <t>고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110A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29" t="n">
        <v>1549</v>
      </c>
      <c r="D53" s="127" t="n">
        <v>110.2</v>
      </c>
      <c r="E53" s="128" t="n">
        <v>33</v>
      </c>
      <c r="F53" s="127" t="n">
        <v>85</v>
      </c>
      <c r="G53" s="17" t="n">
        <v>26</v>
      </c>
      <c r="H53" s="129" t="n">
        <v>19</v>
      </c>
      <c r="I53" s="130" t="n"/>
      <c r="J53" s="130" t="n"/>
      <c r="K53" s="130" t="n">
        <v>29500</v>
      </c>
      <c r="L53" s="130" t="inlineStr">
        <is>
          <t>고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110D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29" t="n">
        <v>1549</v>
      </c>
      <c r="D54" s="127" t="n">
        <v>149.5</v>
      </c>
      <c r="E54" s="128" t="n">
        <v>45</v>
      </c>
      <c r="F54" s="127" t="n">
        <v>122.1</v>
      </c>
      <c r="G54" s="17" t="n">
        <v>37</v>
      </c>
      <c r="H54" s="129" t="n">
        <v>130</v>
      </c>
      <c r="I54" s="130" t="n">
        <v>38000</v>
      </c>
      <c r="J54" s="130" t="inlineStr">
        <is>
          <t>고</t>
        </is>
      </c>
      <c r="K54" s="130" t="n">
        <v>35000</v>
      </c>
      <c r="L54" s="130" t="inlineStr">
        <is>
          <t>20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149A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29" t="n">
        <v>1549</v>
      </c>
      <c r="D55" s="127" t="n">
        <v>149.2</v>
      </c>
      <c r="E55" s="128" t="n">
        <v>45</v>
      </c>
      <c r="F55" s="127" t="n">
        <v>122.1</v>
      </c>
      <c r="G55" s="17" t="n">
        <v>37</v>
      </c>
      <c r="H55" s="129" t="n">
        <v>119</v>
      </c>
      <c r="I55" s="130" t="n">
        <v>45000</v>
      </c>
      <c r="J55" s="130" t="inlineStr">
        <is>
          <t>고</t>
        </is>
      </c>
      <c r="K55" s="130" t="n">
        <v>35000</v>
      </c>
      <c r="L55" s="130" t="inlineStr">
        <is>
          <t>7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149B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29" t="n">
        <v>1549</v>
      </c>
      <c r="D56" s="127" t="n">
        <v>149</v>
      </c>
      <c r="E56" s="128" t="n">
        <v>45</v>
      </c>
      <c r="F56" s="127" t="n">
        <v>122.3</v>
      </c>
      <c r="G56" s="17" t="n">
        <v>37</v>
      </c>
      <c r="H56" s="129" t="n">
        <v>92</v>
      </c>
      <c r="I56" s="130" t="n">
        <v>39000</v>
      </c>
      <c r="J56" s="130" t="inlineStr">
        <is>
          <t>중</t>
        </is>
      </c>
      <c r="K56" s="130" t="n">
        <v>36000</v>
      </c>
      <c r="L56" s="130" t="inlineStr">
        <is>
          <t>5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inlineStr">
        <is>
          <t>149C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29" t="n">
        <v>1549</v>
      </c>
      <c r="D57" s="127" t="n">
        <v>150.5</v>
      </c>
      <c r="E57" s="128" t="n">
        <v>46</v>
      </c>
      <c r="F57" s="127" t="n">
        <v>121.8</v>
      </c>
      <c r="G57" s="17" t="n">
        <v>37</v>
      </c>
      <c r="H57" s="129" t="n">
        <v>21</v>
      </c>
      <c r="I57" s="130" t="n">
        <v>46000</v>
      </c>
      <c r="J57" s="130" t="inlineStr">
        <is>
          <t>중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150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29" t="n">
        <v>1549</v>
      </c>
      <c r="D58" s="127" t="n">
        <v>172.7</v>
      </c>
      <c r="E58" s="128" t="n">
        <v>52</v>
      </c>
      <c r="F58" s="127" t="n">
        <v>143.4</v>
      </c>
      <c r="G58" s="17" t="n">
        <v>43</v>
      </c>
      <c r="H58" s="129" t="n">
        <v>80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inlineStr">
        <is>
          <t>172C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29" t="n">
        <v>1549</v>
      </c>
      <c r="D59" s="127" t="n">
        <v>172.6</v>
      </c>
      <c r="E59" s="128" t="n">
        <v>52</v>
      </c>
      <c r="F59" s="127" t="n">
        <v>143.9</v>
      </c>
      <c r="G59" s="17" t="n">
        <v>44</v>
      </c>
      <c r="H59" s="129" t="n">
        <v>44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inlineStr">
        <is>
          <t>172A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29" t="n">
        <v>1549</v>
      </c>
      <c r="D60" s="127" t="n">
        <v>172.1</v>
      </c>
      <c r="E60" s="128" t="n">
        <v>52</v>
      </c>
      <c r="F60" s="127" t="n">
        <v>143.9</v>
      </c>
      <c r="G60" s="17" t="n">
        <v>44</v>
      </c>
      <c r="H60" s="129" t="n">
        <v>38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172B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아중1차대우</t>
        </is>
      </c>
      <c r="B62" s="10" t="inlineStr">
        <is>
          <t>'98.03.</t>
        </is>
      </c>
      <c r="C62" s="129" t="n">
        <v>870</v>
      </c>
      <c r="D62" s="127" t="n">
        <v>104.3</v>
      </c>
      <c r="E62" s="128" t="n">
        <v>32</v>
      </c>
      <c r="F62" s="127" t="n">
        <v>84.7</v>
      </c>
      <c r="G62" s="17" t="n">
        <v>26</v>
      </c>
      <c r="H62" s="129" t="n">
        <v>538</v>
      </c>
      <c r="I62" s="130" t="n">
        <v>21000</v>
      </c>
      <c r="J62" s="130" t="inlineStr">
        <is>
          <t>8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104A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29" t="n">
        <v>870</v>
      </c>
      <c r="D63" s="127" t="n">
        <v>105.2</v>
      </c>
      <c r="E63" s="128" t="n">
        <v>32</v>
      </c>
      <c r="F63" s="127" t="n">
        <v>84.8</v>
      </c>
      <c r="G63" s="17" t="n">
        <v>26</v>
      </c>
      <c r="H63" s="129" t="n">
        <v>266</v>
      </c>
      <c r="I63" s="130" t="n">
        <v>23000</v>
      </c>
      <c r="J63" s="130" t="inlineStr">
        <is>
          <t>9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105B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29" t="n">
        <v>870</v>
      </c>
      <c r="D64" s="127" t="n">
        <v>107</v>
      </c>
      <c r="E64" s="128" t="n">
        <v>32</v>
      </c>
      <c r="F64" s="127" t="n">
        <v>85</v>
      </c>
      <c r="G64" s="17" t="n">
        <v>26</v>
      </c>
      <c r="H64" s="129" t="n">
        <v>66</v>
      </c>
      <c r="I64" s="130" t="n">
        <v>23000</v>
      </c>
      <c r="J64" s="130" t="inlineStr">
        <is>
          <t>6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106C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아중제일</t>
        </is>
      </c>
      <c r="B66" s="10" t="inlineStr">
        <is>
          <t>'97.11.</t>
        </is>
      </c>
      <c r="C66" s="129" t="n">
        <v>464</v>
      </c>
      <c r="D66" s="127" t="n">
        <v>103.3</v>
      </c>
      <c r="E66" s="128" t="n">
        <v>31</v>
      </c>
      <c r="F66" s="127" t="n">
        <v>84.90000000000001</v>
      </c>
      <c r="G66" s="17" t="n">
        <v>26</v>
      </c>
      <c r="H66" s="129" t="n">
        <v>240</v>
      </c>
      <c r="I66" s="130" t="n">
        <v>21700</v>
      </c>
      <c r="J66" s="130" t="inlineStr">
        <is>
          <t>중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103A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29" t="n">
        <v>464</v>
      </c>
      <c r="D67" s="127" t="n">
        <v>103.3</v>
      </c>
      <c r="E67" s="128" t="n">
        <v>31</v>
      </c>
      <c r="F67" s="127" t="n">
        <v>84.90000000000001</v>
      </c>
      <c r="G67" s="17" t="n">
        <v>26</v>
      </c>
      <c r="H67" s="129" t="n">
        <v>224</v>
      </c>
      <c r="I67" s="130" t="n">
        <v>21700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103B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인후송정써미트</t>
        </is>
      </c>
      <c r="B69" s="10" t="inlineStr">
        <is>
          <t>'08.12.</t>
        </is>
      </c>
      <c r="C69" s="129" t="n">
        <v>228</v>
      </c>
      <c r="D69" s="127" t="n">
        <v>112.5</v>
      </c>
      <c r="E69" s="128" t="n">
        <v>34</v>
      </c>
      <c r="F69" s="127" t="n">
        <v>84.59999999999999</v>
      </c>
      <c r="G69" s="17" t="n">
        <v>26</v>
      </c>
      <c r="H69" s="129" t="n">
        <v>72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112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29" t="n">
        <v>228</v>
      </c>
      <c r="D70" s="127" t="n">
        <v>126.3</v>
      </c>
      <c r="E70" s="128" t="n">
        <v>38</v>
      </c>
      <c r="F70" s="127" t="n">
        <v>102.2</v>
      </c>
      <c r="G70" s="17" t="n">
        <v>31</v>
      </c>
      <c r="H70" s="129" t="n">
        <v>12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126A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29" t="n">
        <v>228</v>
      </c>
      <c r="D71" s="127" t="n">
        <v>128.4</v>
      </c>
      <c r="E71" s="128" t="n">
        <v>39</v>
      </c>
      <c r="F71" s="127" t="n">
        <v>103.3</v>
      </c>
      <c r="G71" s="17" t="n">
        <v>31</v>
      </c>
      <c r="H71" s="129" t="n">
        <v>24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128B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29" t="n">
        <v>228</v>
      </c>
      <c r="D72" s="127" t="n">
        <v>142.8</v>
      </c>
      <c r="E72" s="128" t="n">
        <v>43</v>
      </c>
      <c r="F72" s="127" t="n">
        <v>115.7</v>
      </c>
      <c r="G72" s="17" t="n">
        <v>35</v>
      </c>
      <c r="H72" s="129" t="n">
        <v>36</v>
      </c>
      <c r="I72" s="130" t="n"/>
      <c r="J72" s="130" t="n"/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142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29" t="n">
        <v>228</v>
      </c>
      <c r="D73" s="127" t="n">
        <v>150.5</v>
      </c>
      <c r="E73" s="128" t="n">
        <v>46</v>
      </c>
      <c r="F73" s="127" t="n">
        <v>119.1</v>
      </c>
      <c r="G73" s="17" t="n">
        <v>36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150B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29" t="n">
        <v>228</v>
      </c>
      <c r="D74" s="127" t="n">
        <v>151</v>
      </c>
      <c r="E74" s="128" t="n">
        <v>46</v>
      </c>
      <c r="F74" s="127" t="n">
        <v>121</v>
      </c>
      <c r="G74" s="17" t="n">
        <v>37</v>
      </c>
      <c r="H74" s="129" t="n">
        <v>12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150C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29" t="n">
        <v>228</v>
      </c>
      <c r="D75" s="127" t="n">
        <v>151.9</v>
      </c>
      <c r="E75" s="128" t="n">
        <v>46</v>
      </c>
      <c r="F75" s="127" t="n">
        <v>115</v>
      </c>
      <c r="G75" s="17" t="n">
        <v>35</v>
      </c>
      <c r="H75" s="129" t="n">
        <v>12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inlineStr">
        <is>
          <t>151A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29" t="n">
        <v>228</v>
      </c>
      <c r="D76" s="127" t="n">
        <v>156.1</v>
      </c>
      <c r="E76" s="128" t="n">
        <v>47</v>
      </c>
      <c r="F76" s="127" t="n">
        <v>124.6</v>
      </c>
      <c r="G76" s="17" t="n">
        <v>38</v>
      </c>
      <c r="H76" s="129" t="n">
        <v>48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156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29" t="n">
        <v>1335</v>
      </c>
      <c r="D78" s="127" t="n">
        <v>68.5</v>
      </c>
      <c r="E78" s="128" t="n">
        <v>21</v>
      </c>
      <c r="F78" s="127" t="n">
        <v>49.8</v>
      </c>
      <c r="G78" s="17" t="n">
        <v>15</v>
      </c>
      <c r="H78" s="129" t="n">
        <v>180</v>
      </c>
      <c r="I78" s="130" t="n">
        <v>11800</v>
      </c>
      <c r="J78" s="130" t="inlineStr">
        <is>
          <t>10</t>
        </is>
      </c>
      <c r="K78" s="130" t="n">
        <v>9500</v>
      </c>
      <c r="L78" s="130" t="inlineStr">
        <is>
          <t>고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n">
        <v>68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29" t="n">
        <v>1335</v>
      </c>
      <c r="D79" s="127" t="n">
        <v>82.40000000000001</v>
      </c>
      <c r="E79" s="128" t="n">
        <v>25</v>
      </c>
      <c r="F79" s="127" t="n">
        <v>59.9</v>
      </c>
      <c r="G79" s="17" t="n">
        <v>18</v>
      </c>
      <c r="H79" s="129" t="n">
        <v>1155</v>
      </c>
      <c r="I79" s="130" t="n">
        <v>14500</v>
      </c>
      <c r="J79" s="130" t="inlineStr">
        <is>
          <t>7</t>
        </is>
      </c>
      <c r="K79" s="130" t="n">
        <v>13000</v>
      </c>
      <c r="L79" s="130" t="inlineStr">
        <is>
          <t>13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29" t="n">
        <v>934</v>
      </c>
      <c r="D81" s="127" t="n">
        <v>69.59999999999999</v>
      </c>
      <c r="E81" s="128" t="n">
        <v>21</v>
      </c>
      <c r="F81" s="127" t="n">
        <v>49.8</v>
      </c>
      <c r="G81" s="17" t="n">
        <v>15</v>
      </c>
      <c r="H81" s="129" t="n">
        <v>934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2</v>
      </c>
      <c r="R81" s="117" t="n">
        <v>1</v>
      </c>
      <c r="S81" s="117" t="inlineStr">
        <is>
          <t>복</t>
        </is>
      </c>
      <c r="T81" s="5" t="n">
        <v>69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더샵인후센트럴</t>
        </is>
      </c>
      <c r="B83" s="10" t="inlineStr">
        <is>
          <t>'20.08.</t>
        </is>
      </c>
      <c r="C83" s="129" t="n">
        <v>478</v>
      </c>
      <c r="D83" s="127" t="n">
        <v>83</v>
      </c>
      <c r="E83" s="128" t="n">
        <v>25</v>
      </c>
      <c r="F83" s="127" t="n">
        <v>60</v>
      </c>
      <c r="G83" s="17" t="n">
        <v>18</v>
      </c>
      <c r="H83" s="129" t="n">
        <v>107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83A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29" t="n">
        <v>478</v>
      </c>
      <c r="D84" s="127" t="n">
        <v>105.2</v>
      </c>
      <c r="E84" s="128" t="n">
        <v>32</v>
      </c>
      <c r="F84" s="127" t="n">
        <v>77</v>
      </c>
      <c r="G84" s="17" t="n">
        <v>23</v>
      </c>
      <c r="H84" s="129" t="n">
        <v>275</v>
      </c>
      <c r="I84" s="130" t="n">
        <v>48500</v>
      </c>
      <c r="J84" s="130" t="inlineStr">
        <is>
          <t>19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105A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29" t="n">
        <v>478</v>
      </c>
      <c r="D85" s="127" t="n">
        <v>105.6</v>
      </c>
      <c r="E85" s="128" t="n">
        <v>32</v>
      </c>
      <c r="F85" s="127" t="n">
        <v>76.8</v>
      </c>
      <c r="G85" s="17" t="n">
        <v>23</v>
      </c>
      <c r="H85" s="129" t="n">
        <v>96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105B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인후선변</t>
        </is>
      </c>
      <c r="B87" s="10" t="inlineStr">
        <is>
          <t>'04.10.</t>
        </is>
      </c>
      <c r="C87" s="129" t="n">
        <v>221</v>
      </c>
      <c r="D87" s="127" t="n">
        <v>112.7</v>
      </c>
      <c r="E87" s="128" t="n">
        <v>34</v>
      </c>
      <c r="F87" s="127" t="n">
        <v>84.5</v>
      </c>
      <c r="G87" s="17" t="n">
        <v>26</v>
      </c>
      <c r="H87" s="129" t="n">
        <v>195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112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29" t="n">
        <v>221</v>
      </c>
      <c r="D88" s="127" t="n">
        <v>115.6</v>
      </c>
      <c r="E88" s="128" t="n">
        <v>35</v>
      </c>
      <c r="F88" s="127" t="n">
        <v>84.7</v>
      </c>
      <c r="G88" s="17" t="n">
        <v>26</v>
      </c>
      <c r="H88" s="129" t="n">
        <v>26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115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n"/>
      <c r="B89" s="117" t="n"/>
      <c r="C89" s="6" t="n"/>
      <c r="D89" s="9" t="n"/>
      <c r="E89" s="14" t="n"/>
      <c r="F89" s="127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2" t="n"/>
      <c r="P89" s="132" t="n"/>
      <c r="Q89" s="128" t="n"/>
      <c r="R89" s="128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0">
        <f>IF(E89="","",E89)</f>
        <v/>
      </c>
      <c r="AJ89" s="117" t="n"/>
      <c r="AK89" s="117" t="n"/>
      <c r="AL89" s="117" t="n"/>
      <c r="AM89" s="117" t="n"/>
      <c r="AN89" s="117" t="n"/>
      <c r="AO89" s="117" t="n"/>
      <c r="AP89" s="117" t="n"/>
      <c r="AQ89" s="117" t="n"/>
      <c r="AR89" s="117" t="n"/>
      <c r="AS89" s="117" t="n"/>
      <c r="AT89" s="117" t="n"/>
      <c r="AU89" s="117" t="n"/>
      <c r="AV89" s="117" t="n"/>
    </row>
    <row r="90">
      <c r="A90" s="9" t="inlineStr">
        <is>
          <t>아중마을부영3차</t>
        </is>
      </c>
      <c r="B90" s="10" t="inlineStr">
        <is>
          <t>'99.10.</t>
        </is>
      </c>
      <c r="C90" s="129" t="n">
        <v>960</v>
      </c>
      <c r="D90" s="127" t="n">
        <v>68</v>
      </c>
      <c r="E90" s="128" t="n">
        <v>21</v>
      </c>
      <c r="F90" s="127" t="n">
        <v>50</v>
      </c>
      <c r="G90" s="17" t="n">
        <v>15</v>
      </c>
      <c r="H90" s="129" t="n">
        <v>495</v>
      </c>
      <c r="I90" s="130" t="n">
        <v>9700</v>
      </c>
      <c r="J90" s="130" t="inlineStr">
        <is>
          <t>고</t>
        </is>
      </c>
      <c r="K90" s="130" t="n">
        <v>10500</v>
      </c>
      <c r="L90" s="130" t="inlineStr">
        <is>
          <t>6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29" t="n">
        <v>960</v>
      </c>
      <c r="D91" s="127" t="n">
        <v>81</v>
      </c>
      <c r="E91" s="128" t="n">
        <v>24</v>
      </c>
      <c r="F91" s="127" t="n">
        <v>59.5</v>
      </c>
      <c r="G91" s="17" t="n">
        <v>18</v>
      </c>
      <c r="H91" s="129" t="n">
        <v>465</v>
      </c>
      <c r="I91" s="130" t="n">
        <v>13500</v>
      </c>
      <c r="J91" s="130" t="inlineStr">
        <is>
          <t>11</t>
        </is>
      </c>
      <c r="K91" s="130" t="n">
        <v>12900</v>
      </c>
      <c r="L91" s="130" t="inlineStr">
        <is>
          <t>6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n"/>
      <c r="B92" s="117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0">
        <f>IF(E92="","",E92)</f>
        <v/>
      </c>
      <c r="AJ92" s="117" t="n"/>
      <c r="AK92" s="117" t="n"/>
      <c r="AL92" s="117" t="n"/>
      <c r="AM92" s="117" t="n"/>
      <c r="AN92" s="117" t="n"/>
      <c r="AO92" s="117" t="n"/>
      <c r="AP92" s="117" t="n"/>
      <c r="AQ92" s="117" t="n"/>
      <c r="AR92" s="117" t="n"/>
      <c r="AS92" s="117" t="n"/>
      <c r="AT92" s="117" t="n"/>
      <c r="AU92" s="117" t="n"/>
      <c r="AV92" s="117" t="n"/>
    </row>
    <row r="93">
      <c r="A93" s="9" t="inlineStr">
        <is>
          <t>아중마을아남</t>
        </is>
      </c>
      <c r="B93" s="10" t="inlineStr">
        <is>
          <t>'99.09.</t>
        </is>
      </c>
      <c r="C93" s="129" t="n">
        <v>240</v>
      </c>
      <c r="D93" s="127" t="n">
        <v>87.40000000000001</v>
      </c>
      <c r="E93" s="128" t="n">
        <v>26</v>
      </c>
      <c r="F93" s="127" t="n">
        <v>70.3</v>
      </c>
      <c r="G93" s="17" t="n">
        <v>21</v>
      </c>
      <c r="H93" s="129" t="n">
        <v>8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2</v>
      </c>
      <c r="R93" s="117" t="n">
        <v>2</v>
      </c>
      <c r="S93" s="117" t="inlineStr">
        <is>
          <t>계</t>
        </is>
      </c>
      <c r="T93" s="5" t="n">
        <v>87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29" t="n">
        <v>240</v>
      </c>
      <c r="D94" s="127" t="n">
        <v>98.90000000000001</v>
      </c>
      <c r="E94" s="128" t="n">
        <v>30</v>
      </c>
      <c r="F94" s="127" t="n">
        <v>79.59999999999999</v>
      </c>
      <c r="G94" s="17" t="n">
        <v>24</v>
      </c>
      <c r="H94" s="129" t="n">
        <v>30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98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29" t="n">
        <v>240</v>
      </c>
      <c r="D95" s="127" t="n">
        <v>105.5</v>
      </c>
      <c r="E95" s="128" t="n">
        <v>32</v>
      </c>
      <c r="F95" s="127" t="n">
        <v>84.90000000000001</v>
      </c>
      <c r="G95" s="17" t="n">
        <v>26</v>
      </c>
      <c r="H95" s="129" t="n">
        <v>202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105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n"/>
      <c r="B96" s="117" t="n"/>
      <c r="C96" s="6" t="n"/>
      <c r="D96" s="9" t="n"/>
      <c r="E96" s="14" t="n"/>
      <c r="F96" s="127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2" t="n"/>
      <c r="P96" s="132" t="n"/>
      <c r="Q96" s="128" t="n"/>
      <c r="R96" s="128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0">
        <f>IF(E96="","",E96)</f>
        <v/>
      </c>
      <c r="AJ96" s="117" t="n"/>
      <c r="AK96" s="117" t="n"/>
      <c r="AL96" s="117" t="n"/>
      <c r="AM96" s="117" t="n"/>
      <c r="AN96" s="117" t="n"/>
      <c r="AO96" s="117" t="n"/>
      <c r="AP96" s="117" t="n"/>
      <c r="AQ96" s="117" t="n"/>
      <c r="AR96" s="117" t="n"/>
      <c r="AS96" s="117" t="n"/>
      <c r="AT96" s="117" t="n"/>
      <c r="AU96" s="117" t="n"/>
      <c r="AV96" s="117" t="n"/>
    </row>
    <row r="97">
      <c r="A97" s="9" t="inlineStr">
        <is>
          <t>현대1단지</t>
        </is>
      </c>
      <c r="B97" s="10" t="inlineStr">
        <is>
          <t>'89.05.</t>
        </is>
      </c>
      <c r="C97" s="129" t="n">
        <v>241</v>
      </c>
      <c r="D97" s="127" t="n">
        <v>88.3</v>
      </c>
      <c r="E97" s="128" t="n">
        <v>27</v>
      </c>
      <c r="F97" s="127" t="n">
        <v>70.5</v>
      </c>
      <c r="G97" s="17" t="n">
        <v>21</v>
      </c>
      <c r="H97" s="129" t="n">
        <v>45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88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29" t="n">
        <v>241</v>
      </c>
      <c r="D98" s="127" t="n">
        <v>105.7</v>
      </c>
      <c r="E98" s="128" t="n">
        <v>32</v>
      </c>
      <c r="F98" s="127" t="n">
        <v>84.40000000000001</v>
      </c>
      <c r="G98" s="17" t="n">
        <v>26</v>
      </c>
      <c r="H98" s="129" t="n">
        <v>151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29" t="n">
        <v>241</v>
      </c>
      <c r="D99" s="127" t="n">
        <v>150.4</v>
      </c>
      <c r="E99" s="128" t="n">
        <v>46</v>
      </c>
      <c r="F99" s="127" t="n">
        <v>127.3</v>
      </c>
      <c r="G99" s="17" t="n">
        <v>38</v>
      </c>
      <c r="H99" s="129" t="n">
        <v>45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150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23">
      <formula>AV4="X"</formula>
    </cfRule>
    <cfRule type="expression" priority="1522" dxfId="22">
      <formula>AV4="후보"</formula>
    </cfRule>
  </conditionalFormatting>
  <conditionalFormatting sqref="AC1:AC2 AC4:AC6 N4:N5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:N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23">
      <formula>AV7="X"</formula>
    </cfRule>
    <cfRule type="expression" priority="1501" dxfId="22">
      <formula>AV7="후보"</formula>
    </cfRule>
  </conditionalFormatting>
  <conditionalFormatting sqref="AC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23">
      <formula>AV8="X"</formula>
    </cfRule>
    <cfRule type="expression" priority="1482" dxfId="22">
      <formula>AV8="후보"</formula>
    </cfRule>
  </conditionalFormatting>
  <conditionalFormatting sqref="AC8 N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AV9">
    <cfRule type="expression" priority="1476" dxfId="23">
      <formula>AV9="X"</formula>
    </cfRule>
    <cfRule type="expression" priority="1477" dxfId="22">
      <formula>AV9="후보"</formula>
    </cfRule>
  </conditionalFormatting>
  <conditionalFormatting sqref="AC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23">
      <formula>AV10="X"</formula>
    </cfRule>
    <cfRule type="expression" priority="1458" dxfId="22">
      <formula>AV10="후보"</formula>
    </cfRule>
  </conditionalFormatting>
  <conditionalFormatting sqref="AC10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23">
      <formula>AV11="X"</formula>
    </cfRule>
    <cfRule type="expression" priority="1439" dxfId="22">
      <formula>AV11="후보"</formula>
    </cfRule>
  </conditionalFormatting>
  <conditionalFormatting sqref="AC11 N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23">
      <formula>AV30="X"</formula>
    </cfRule>
    <cfRule type="expression" priority="1134" dxfId="22">
      <formula>AV30="후보"</formula>
    </cfRule>
  </conditionalFormatting>
  <conditionalFormatting sqref="AC3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23">
      <formula>AV31="X"</formula>
    </cfRule>
    <cfRule type="expression" priority="1115" dxfId="22">
      <formula>AV31="후보"</formula>
    </cfRule>
  </conditionalFormatting>
  <conditionalFormatting sqref="AC31 N3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32">
    <cfRule type="expression" priority="1109" dxfId="23">
      <formula>AV32="X"</formula>
    </cfRule>
    <cfRule type="expression" priority="1110" dxfId="22">
      <formula>AV32="후보"</formula>
    </cfRule>
  </conditionalFormatting>
  <conditionalFormatting sqref="AC3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23">
      <formula>AV33="X"</formula>
    </cfRule>
    <cfRule type="expression" priority="1091" dxfId="22">
      <formula>AV33="후보"</formula>
    </cfRule>
  </conditionalFormatting>
  <conditionalFormatting sqref="AC33 N3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 N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39">
    <cfRule type="expression" priority="1004" dxfId="23">
      <formula>AV39="X"</formula>
    </cfRule>
    <cfRule type="expression" priority="1005" dxfId="22">
      <formula>AV39="후보"</formula>
    </cfRule>
  </conditionalFormatting>
  <conditionalFormatting sqref="AC3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23">
      <formula>AV40="X"</formula>
    </cfRule>
    <cfRule type="expression" priority="986" dxfId="22">
      <formula>AV40="후보"</formula>
    </cfRule>
  </conditionalFormatting>
  <conditionalFormatting sqref="AC4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2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23">
      <formula>AV43="X"</formula>
    </cfRule>
    <cfRule type="expression" priority="929" dxfId="22">
      <formula>AV43="후보"</formula>
    </cfRule>
  </conditionalFormatting>
  <conditionalFormatting sqref="AC43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3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23">
      <formula>AV44="X"</formula>
    </cfRule>
    <cfRule type="expression" priority="910" dxfId="22">
      <formula>AV44="후보"</formula>
    </cfRule>
  </conditionalFormatting>
  <conditionalFormatting sqref="AC4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23">
      <formula>AV45="X"</formula>
    </cfRule>
    <cfRule type="expression" priority="891" dxfId="22">
      <formula>AV45="후보"</formula>
    </cfRule>
  </conditionalFormatting>
  <conditionalFormatting sqref="AC4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23">
      <formula>AV46="X"</formula>
    </cfRule>
    <cfRule type="expression" priority="872" dxfId="22">
      <formula>AV46="후보"</formula>
    </cfRule>
  </conditionalFormatting>
  <conditionalFormatting sqref="AC46 N4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23">
      <formula>AV48="X"</formula>
    </cfRule>
    <cfRule type="expression" priority="848" dxfId="22">
      <formula>AV48="후보"</formula>
    </cfRule>
  </conditionalFormatting>
  <conditionalFormatting sqref="AC4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48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23">
      <formula>AV49="X"</formula>
    </cfRule>
    <cfRule type="expression" priority="829" dxfId="22">
      <formula>AV49="후보"</formula>
    </cfRule>
  </conditionalFormatting>
  <conditionalFormatting sqref="AC4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23">
      <formula>AV50="X"</formula>
    </cfRule>
    <cfRule type="expression" priority="810" dxfId="22">
      <formula>AV50="후보"</formula>
    </cfRule>
  </conditionalFormatting>
  <conditionalFormatting sqref="AC5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23">
      <formula>AV51="X"</formula>
    </cfRule>
    <cfRule type="expression" priority="791" dxfId="22">
      <formula>AV51="후보"</formula>
    </cfRule>
  </conditionalFormatting>
  <conditionalFormatting sqref="AC5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23">
      <formula>AV52="X"</formula>
    </cfRule>
    <cfRule type="expression" priority="772" dxfId="22">
      <formula>AV52="후보"</formula>
    </cfRule>
  </conditionalFormatting>
  <conditionalFormatting sqref="AC5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2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23">
      <formula>AV53="X"</formula>
    </cfRule>
    <cfRule type="expression" priority="753" dxfId="22">
      <formula>AV53="후보"</formula>
    </cfRule>
  </conditionalFormatting>
  <conditionalFormatting sqref="AC53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3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23">
      <formula>AV54="X"</formula>
    </cfRule>
    <cfRule type="expression" priority="734" dxfId="22">
      <formula>AV54="후보"</formula>
    </cfRule>
  </conditionalFormatting>
  <conditionalFormatting sqref="AC5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23">
      <formula>AV55="X"</formula>
    </cfRule>
    <cfRule type="expression" priority="715" dxfId="22">
      <formula>AV55="후보"</formula>
    </cfRule>
  </conditionalFormatting>
  <conditionalFormatting sqref="AC5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23">
      <formula>AV56="X"</formula>
    </cfRule>
    <cfRule type="expression" priority="696" dxfId="22">
      <formula>AV56="후보"</formula>
    </cfRule>
  </conditionalFormatting>
  <conditionalFormatting sqref="AC5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23">
      <formula>AV57="X"</formula>
    </cfRule>
    <cfRule type="expression" priority="677" dxfId="22">
      <formula>AV57="후보"</formula>
    </cfRule>
  </conditionalFormatting>
  <conditionalFormatting sqref="AC5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5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23">
      <formula>AV58="X"</formula>
    </cfRule>
    <cfRule type="expression" priority="658" dxfId="22">
      <formula>AV58="후보"</formula>
    </cfRule>
  </conditionalFormatting>
  <conditionalFormatting sqref="AC5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5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23">
      <formula>AV59="X"</formula>
    </cfRule>
    <cfRule type="expression" priority="639" dxfId="22">
      <formula>AV59="후보"</formula>
    </cfRule>
  </conditionalFormatting>
  <conditionalFormatting sqref="AC5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59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23">
      <formula>AV60="X"</formula>
    </cfRule>
    <cfRule type="expression" priority="620" dxfId="22">
      <formula>AV60="후보"</formula>
    </cfRule>
  </conditionalFormatting>
  <conditionalFormatting sqref="AC60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60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23">
      <formula>AV61="X"</formula>
    </cfRule>
    <cfRule type="expression" priority="601" dxfId="22">
      <formula>AV61="후보"</formula>
    </cfRule>
  </conditionalFormatting>
  <conditionalFormatting sqref="AC61 N6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62">
    <cfRule type="expression" priority="595" dxfId="23">
      <formula>AV62="X"</formula>
    </cfRule>
    <cfRule type="expression" priority="596" dxfId="22">
      <formula>AV62="후보"</formula>
    </cfRule>
  </conditionalFormatting>
  <conditionalFormatting sqref="AC6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2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23">
      <formula>AV63="X"</formula>
    </cfRule>
    <cfRule type="expression" priority="577" dxfId="22">
      <formula>AV63="후보"</formula>
    </cfRule>
  </conditionalFormatting>
  <conditionalFormatting sqref="AC6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23">
      <formula>AV64="X"</formula>
    </cfRule>
    <cfRule type="expression" priority="558" dxfId="22">
      <formula>AV64="후보"</formula>
    </cfRule>
  </conditionalFormatting>
  <conditionalFormatting sqref="AC6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6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23">
      <formula>AV65="X"</formula>
    </cfRule>
    <cfRule type="expression" priority="539" dxfId="22">
      <formula>AV65="후보"</formula>
    </cfRule>
  </conditionalFormatting>
  <conditionalFormatting sqref="AC65 N6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66">
    <cfRule type="expression" priority="533" dxfId="23">
      <formula>AV66="X"</formula>
    </cfRule>
    <cfRule type="expression" priority="534" dxfId="22">
      <formula>AV66="후보"</formula>
    </cfRule>
  </conditionalFormatting>
  <conditionalFormatting sqref="AC6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66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23">
      <formula>AV67="X"</formula>
    </cfRule>
    <cfRule type="expression" priority="515" dxfId="22">
      <formula>AV67="후보"</formula>
    </cfRule>
  </conditionalFormatting>
  <conditionalFormatting sqref="AC6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6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23">
      <formula>AV68="X"</formula>
    </cfRule>
    <cfRule type="expression" priority="496" dxfId="22">
      <formula>AV68="후보"</formula>
    </cfRule>
  </conditionalFormatting>
  <conditionalFormatting sqref="AC68 N6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69">
    <cfRule type="expression" priority="490" dxfId="23">
      <formula>AV69="X"</formula>
    </cfRule>
    <cfRule type="expression" priority="491" dxfId="22">
      <formula>AV69="후보"</formula>
    </cfRule>
  </conditionalFormatting>
  <conditionalFormatting sqref="AC6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23">
      <formula>AV70="X"</formula>
    </cfRule>
    <cfRule type="expression" priority="472" dxfId="22">
      <formula>AV70="후보"</formula>
    </cfRule>
  </conditionalFormatting>
  <conditionalFormatting sqref="AC7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0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23">
      <formula>AV71="X"</formula>
    </cfRule>
    <cfRule type="expression" priority="453" dxfId="22">
      <formula>AV71="후보"</formula>
    </cfRule>
  </conditionalFormatting>
  <conditionalFormatting sqref="AC7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23">
      <formula>AV72="X"</formula>
    </cfRule>
    <cfRule type="expression" priority="434" dxfId="22">
      <formula>AV72="후보"</formula>
    </cfRule>
  </conditionalFormatting>
  <conditionalFormatting sqref="AC7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7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23">
      <formula>AV73="X"</formula>
    </cfRule>
    <cfRule type="expression" priority="415" dxfId="22">
      <formula>AV73="후보"</formula>
    </cfRule>
  </conditionalFormatting>
  <conditionalFormatting sqref="AC7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23">
      <formula>AV74="X"</formula>
    </cfRule>
    <cfRule type="expression" priority="396" dxfId="22">
      <formula>AV74="후보"</formula>
    </cfRule>
  </conditionalFormatting>
  <conditionalFormatting sqref="AC7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7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23">
      <formula>AV75="X"</formula>
    </cfRule>
    <cfRule type="expression" priority="377" dxfId="22">
      <formula>AV75="후보"</formula>
    </cfRule>
  </conditionalFormatting>
  <conditionalFormatting sqref="AC7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7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23">
      <formula>AV76="X"</formula>
    </cfRule>
    <cfRule type="expression" priority="358" dxfId="22">
      <formula>AV76="후보"</formula>
    </cfRule>
  </conditionalFormatting>
  <conditionalFormatting sqref="AC7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76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23">
      <formula>AV77="X"</formula>
    </cfRule>
    <cfRule type="expression" priority="339" dxfId="22">
      <formula>AV77="후보"</formula>
    </cfRule>
  </conditionalFormatting>
  <conditionalFormatting sqref="AC77 N77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78">
    <cfRule type="expression" priority="333" dxfId="23">
      <formula>AV78="X"</formula>
    </cfRule>
    <cfRule type="expression" priority="334" dxfId="22">
      <formula>AV78="후보"</formula>
    </cfRule>
  </conditionalFormatting>
  <conditionalFormatting sqref="AC7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7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23">
      <formula>AV79="X"</formula>
    </cfRule>
    <cfRule type="expression" priority="315" dxfId="22">
      <formula>AV79="후보"</formula>
    </cfRule>
  </conditionalFormatting>
  <conditionalFormatting sqref="AC7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7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23">
      <formula>AV80="X"</formula>
    </cfRule>
    <cfRule type="expression" priority="296" dxfId="22">
      <formula>AV80="후보"</formula>
    </cfRule>
  </conditionalFormatting>
  <conditionalFormatting sqref="AC80 N8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81">
    <cfRule type="expression" priority="290" dxfId="23">
      <formula>AV81="X"</formula>
    </cfRule>
    <cfRule type="expression" priority="291" dxfId="22">
      <formula>AV81="후보"</formula>
    </cfRule>
  </conditionalFormatting>
  <conditionalFormatting sqref="AC8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8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23">
      <formula>AV82="X"</formula>
    </cfRule>
    <cfRule type="expression" priority="272" dxfId="22">
      <formula>AV82="후보"</formula>
    </cfRule>
  </conditionalFormatting>
  <conditionalFormatting sqref="AC82 N8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83">
    <cfRule type="expression" priority="266" dxfId="23">
      <formula>AV83="X"</formula>
    </cfRule>
    <cfRule type="expression" priority="267" dxfId="22">
      <formula>AV83="후보"</formula>
    </cfRule>
  </conditionalFormatting>
  <conditionalFormatting sqref="AC8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23">
      <formula>AV84="X"</formula>
    </cfRule>
    <cfRule type="expression" priority="248" dxfId="22">
      <formula>AV84="후보"</formula>
    </cfRule>
  </conditionalFormatting>
  <conditionalFormatting sqref="AC8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23">
      <formula>AV85="X"</formula>
    </cfRule>
    <cfRule type="expression" priority="229" dxfId="22">
      <formula>AV85="후보"</formula>
    </cfRule>
  </conditionalFormatting>
  <conditionalFormatting sqref="AC8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23">
      <formula>AV86="X"</formula>
    </cfRule>
    <cfRule type="expression" priority="210" dxfId="22">
      <formula>AV86="후보"</formula>
    </cfRule>
  </conditionalFormatting>
  <conditionalFormatting sqref="AC86 N8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87">
    <cfRule type="expression" priority="204" dxfId="23">
      <formula>AV87="X"</formula>
    </cfRule>
    <cfRule type="expression" priority="205" dxfId="22">
      <formula>AV87="후보"</formula>
    </cfRule>
  </conditionalFormatting>
  <conditionalFormatting sqref="AC8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23">
      <formula>AV88="X"</formula>
    </cfRule>
    <cfRule type="expression" priority="186" dxfId="22">
      <formula>AV88="후보"</formula>
    </cfRule>
  </conditionalFormatting>
  <conditionalFormatting sqref="AC8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23">
      <formula>AV89="X"</formula>
    </cfRule>
    <cfRule type="expression" priority="167" dxfId="22">
      <formula>AV89="후보"</formula>
    </cfRule>
  </conditionalFormatting>
  <conditionalFormatting sqref="AC89 N8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0">
    <cfRule type="expression" priority="161" dxfId="23">
      <formula>AV90="X"</formula>
    </cfRule>
    <cfRule type="expression" priority="162" dxfId="22">
      <formula>AV90="후보"</formula>
    </cfRule>
  </conditionalFormatting>
  <conditionalFormatting sqref="AC9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23">
      <formula>AV91="X"</formula>
    </cfRule>
    <cfRule type="expression" priority="143" dxfId="22">
      <formula>AV91="후보"</formula>
    </cfRule>
  </conditionalFormatting>
  <conditionalFormatting sqref="AC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23">
      <formula>AV92="X"</formula>
    </cfRule>
    <cfRule type="expression" priority="124" dxfId="22">
      <formula>AV92="후보"</formula>
    </cfRule>
  </conditionalFormatting>
  <conditionalFormatting sqref="AC92 N9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3">
    <cfRule type="expression" priority="118" dxfId="23">
      <formula>AV93="X"</formula>
    </cfRule>
    <cfRule type="expression" priority="119" dxfId="22">
      <formula>AV93="후보"</formula>
    </cfRule>
  </conditionalFormatting>
  <conditionalFormatting sqref="AC9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23">
      <formula>AV94="X"</formula>
    </cfRule>
    <cfRule type="expression" priority="100" dxfId="22">
      <formula>AV94="후보"</formula>
    </cfRule>
  </conditionalFormatting>
  <conditionalFormatting sqref="AC9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23">
      <formula>AV95="X"</formula>
    </cfRule>
    <cfRule type="expression" priority="81" dxfId="22">
      <formula>AV95="후보"</formula>
    </cfRule>
  </conditionalFormatting>
  <conditionalFormatting sqref="AC9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23">
      <formula>AV96="X"</formula>
    </cfRule>
    <cfRule type="expression" priority="62" dxfId="22">
      <formula>AV96="후보"</formula>
    </cfRule>
  </conditionalFormatting>
  <conditionalFormatting sqref="AC96 N9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인후에버파크</t>
        </is>
      </c>
      <c r="B6" s="10" t="inlineStr">
        <is>
          <t>'16.07.</t>
        </is>
      </c>
      <c r="C6" s="129" t="n">
        <v>250</v>
      </c>
      <c r="D6" s="127" t="n">
        <v>77.7</v>
      </c>
      <c r="E6" s="128" t="n">
        <v>24</v>
      </c>
      <c r="F6" s="127" t="n">
        <v>55.8</v>
      </c>
      <c r="G6" s="17" t="n">
        <v>17</v>
      </c>
      <c r="H6" s="129" t="n">
        <v>70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29" t="n">
        <v>250</v>
      </c>
      <c r="D7" s="127" t="n">
        <v>83.3</v>
      </c>
      <c r="E7" s="128" t="n">
        <v>25</v>
      </c>
      <c r="F7" s="127" t="n">
        <v>57.9</v>
      </c>
      <c r="G7" s="17" t="n">
        <v>18</v>
      </c>
      <c r="H7" s="129" t="n">
        <v>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83B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29" t="n">
        <v>250</v>
      </c>
      <c r="D8" s="127" t="n">
        <v>83.09999999999999</v>
      </c>
      <c r="E8" s="128" t="n">
        <v>25</v>
      </c>
      <c r="F8" s="127" t="n">
        <v>57.8</v>
      </c>
      <c r="G8" s="17" t="n">
        <v>17</v>
      </c>
      <c r="H8" s="129" t="n">
        <v>14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29" t="n">
        <v>250</v>
      </c>
      <c r="D9" s="127" t="n">
        <v>88</v>
      </c>
      <c r="E9" s="128" t="n">
        <v>27</v>
      </c>
      <c r="F9" s="127" t="n">
        <v>63.9</v>
      </c>
      <c r="G9" s="17" t="n">
        <v>19</v>
      </c>
      <c r="H9" s="129" t="n">
        <v>115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88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29" t="n">
        <v>250</v>
      </c>
      <c r="D10" s="127" t="n">
        <v>101.4</v>
      </c>
      <c r="E10" s="128" t="n">
        <v>31</v>
      </c>
      <c r="F10" s="127" t="n">
        <v>73.3</v>
      </c>
      <c r="G10" s="17" t="n">
        <v>22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건지산이지움</t>
        </is>
      </c>
      <c r="B12" s="10" t="inlineStr">
        <is>
          <t>'16.08.</t>
        </is>
      </c>
      <c r="C12" s="129" t="n">
        <v>371</v>
      </c>
      <c r="D12" s="127" t="n">
        <v>83.7</v>
      </c>
      <c r="E12" s="128" t="n">
        <v>25</v>
      </c>
      <c r="F12" s="127" t="n">
        <v>59.9</v>
      </c>
      <c r="G12" s="17" t="n">
        <v>18</v>
      </c>
      <c r="H12" s="129" t="n">
        <v>179</v>
      </c>
      <c r="I12" s="130" t="n">
        <v>30000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29" t="n">
        <v>371</v>
      </c>
      <c r="D13" s="127" t="n">
        <v>83.8</v>
      </c>
      <c r="E13" s="128" t="n">
        <v>25</v>
      </c>
      <c r="F13" s="127" t="n">
        <v>60</v>
      </c>
      <c r="G13" s="17" t="n">
        <v>18</v>
      </c>
      <c r="H13" s="129" t="n">
        <v>20</v>
      </c>
      <c r="I13" s="130" t="n">
        <v>30000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83C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29" t="n">
        <v>371</v>
      </c>
      <c r="D14" s="127" t="n">
        <v>84.40000000000001</v>
      </c>
      <c r="E14" s="128" t="n">
        <v>26</v>
      </c>
      <c r="F14" s="127" t="n">
        <v>60</v>
      </c>
      <c r="G14" s="17" t="n">
        <v>18</v>
      </c>
      <c r="H14" s="129" t="n">
        <v>86</v>
      </c>
      <c r="I14" s="130" t="n">
        <v>30000</v>
      </c>
      <c r="J14" s="130" t="inlineStr">
        <is>
          <t>고</t>
        </is>
      </c>
      <c r="K14" s="130" t="n">
        <v>25000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84D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29" t="n">
        <v>371</v>
      </c>
      <c r="D15" s="127" t="n">
        <v>84</v>
      </c>
      <c r="E15" s="128" t="n">
        <v>25</v>
      </c>
      <c r="F15" s="127" t="n">
        <v>60</v>
      </c>
      <c r="G15" s="17" t="n">
        <v>18</v>
      </c>
      <c r="H15" s="129" t="n">
        <v>84</v>
      </c>
      <c r="I15" s="130" t="n">
        <v>31000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84B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29" t="n">
        <v>371</v>
      </c>
      <c r="D16" s="127" t="n">
        <v>84.5</v>
      </c>
      <c r="E16" s="128" t="n">
        <v>26</v>
      </c>
      <c r="F16" s="127" t="n">
        <v>60</v>
      </c>
      <c r="G16" s="17" t="n">
        <v>18</v>
      </c>
      <c r="H16" s="129" t="n">
        <v>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84E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 N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2">
    <cfRule type="expression" priority="94" dxfId="23">
      <formula>AV12="X"</formula>
    </cfRule>
    <cfRule type="expression" priority="95" dxfId="22">
      <formula>AV12="후보"</formula>
    </cfRule>
  </conditionalFormatting>
  <conditionalFormatting sqref="AC1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장동에코르</t>
        </is>
      </c>
      <c r="B6" s="10" t="inlineStr">
        <is>
          <t>'09.09.</t>
        </is>
      </c>
      <c r="C6" s="129" t="n">
        <v>470</v>
      </c>
      <c r="D6" s="127" t="n">
        <v>106.8</v>
      </c>
      <c r="E6" s="128" t="n">
        <v>32</v>
      </c>
      <c r="F6" s="127" t="n">
        <v>84.90000000000001</v>
      </c>
      <c r="G6" s="17" t="n">
        <v>26</v>
      </c>
      <c r="H6" s="129" t="n">
        <v>181</v>
      </c>
      <c r="I6" s="130" t="n">
        <v>20000</v>
      </c>
      <c r="J6" s="130" t="inlineStr">
        <is>
          <t>고</t>
        </is>
      </c>
      <c r="K6" s="130" t="n">
        <v>18500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106C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29" t="n">
        <v>470</v>
      </c>
      <c r="D7" s="127" t="n">
        <v>106.1</v>
      </c>
      <c r="E7" s="128" t="n">
        <v>32</v>
      </c>
      <c r="F7" s="127" t="n">
        <v>84.90000000000001</v>
      </c>
      <c r="G7" s="17" t="n">
        <v>26</v>
      </c>
      <c r="H7" s="129" t="n">
        <v>95</v>
      </c>
      <c r="I7" s="130" t="n">
        <v>20000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29" t="n">
        <v>470</v>
      </c>
      <c r="D8" s="127" t="n">
        <v>106.9</v>
      </c>
      <c r="E8" s="128" t="n">
        <v>32</v>
      </c>
      <c r="F8" s="127" t="n">
        <v>84.90000000000001</v>
      </c>
      <c r="G8" s="17" t="n">
        <v>26</v>
      </c>
      <c r="H8" s="129" t="n">
        <v>7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106D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29" t="n">
        <v>470</v>
      </c>
      <c r="D9" s="127" t="n">
        <v>107.6</v>
      </c>
      <c r="E9" s="128" t="n">
        <v>33</v>
      </c>
      <c r="F9" s="127" t="n">
        <v>84.90000000000001</v>
      </c>
      <c r="G9" s="17" t="n">
        <v>26</v>
      </c>
      <c r="H9" s="129" t="n">
        <v>187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107A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29" t="n">
        <v>481</v>
      </c>
      <c r="D11" s="127" t="n">
        <v>110.6</v>
      </c>
      <c r="E11" s="128" t="n">
        <v>33</v>
      </c>
      <c r="F11" s="127" t="n">
        <v>85</v>
      </c>
      <c r="G11" s="17" t="n">
        <v>26</v>
      </c>
      <c r="H11" s="129" t="n">
        <v>171</v>
      </c>
      <c r="I11" s="130" t="n">
        <v>60000</v>
      </c>
      <c r="J11" s="130" t="inlineStr">
        <is>
          <t>21</t>
        </is>
      </c>
      <c r="K11" s="130" t="n">
        <v>46000</v>
      </c>
      <c r="L11" s="130" t="inlineStr">
        <is>
          <t>10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29" t="n">
        <v>481</v>
      </c>
      <c r="D12" s="127" t="n">
        <v>124.4</v>
      </c>
      <c r="E12" s="128" t="n">
        <v>38</v>
      </c>
      <c r="F12" s="127" t="n">
        <v>98.40000000000001</v>
      </c>
      <c r="G12" s="17" t="n">
        <v>30</v>
      </c>
      <c r="H12" s="129" t="n">
        <v>184</v>
      </c>
      <c r="I12" s="130" t="n">
        <v>67000</v>
      </c>
      <c r="J12" s="130" t="inlineStr">
        <is>
          <t>14</t>
        </is>
      </c>
      <c r="K12" s="130" t="n">
        <v>47000</v>
      </c>
      <c r="L12" s="130" t="inlineStr">
        <is>
          <t>12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124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29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85000</v>
      </c>
      <c r="J13" s="130" t="inlineStr">
        <is>
          <t>6</t>
        </is>
      </c>
      <c r="K13" s="130" t="n">
        <v>60000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LH이노팰리스</t>
        </is>
      </c>
      <c r="B15" s="10" t="inlineStr">
        <is>
          <t>'13.12.</t>
        </is>
      </c>
      <c r="C15" s="129" t="n">
        <v>316</v>
      </c>
      <c r="D15" s="127" t="n">
        <v>97.59999999999999</v>
      </c>
      <c r="E15" s="128" t="n">
        <v>30</v>
      </c>
      <c r="F15" s="127" t="n">
        <v>75</v>
      </c>
      <c r="G15" s="17" t="n">
        <v>23</v>
      </c>
      <c r="H15" s="129" t="n">
        <v>60</v>
      </c>
      <c r="I15" s="130" t="n">
        <v>42000</v>
      </c>
      <c r="J15" s="130" t="inlineStr">
        <is>
          <t>11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97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29" t="n">
        <v>316</v>
      </c>
      <c r="D16" s="127" t="n">
        <v>110.7</v>
      </c>
      <c r="E16" s="128" t="n">
        <v>33</v>
      </c>
      <c r="F16" s="127" t="n">
        <v>85</v>
      </c>
      <c r="G16" s="17" t="n">
        <v>26</v>
      </c>
      <c r="H16" s="129" t="n">
        <v>181</v>
      </c>
      <c r="I16" s="130" t="n">
        <v>39000</v>
      </c>
      <c r="J16" s="130" t="inlineStr">
        <is>
          <t>5</t>
        </is>
      </c>
      <c r="K16" s="130" t="n">
        <v>33000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29" t="n">
        <v>316</v>
      </c>
      <c r="D17" s="127" t="n">
        <v>110.5</v>
      </c>
      <c r="E17" s="128" t="n">
        <v>33</v>
      </c>
      <c r="F17" s="127" t="n">
        <v>84.90000000000001</v>
      </c>
      <c r="G17" s="17" t="n">
        <v>26</v>
      </c>
      <c r="H17" s="129" t="n">
        <v>75</v>
      </c>
      <c r="I17" s="130" t="n">
        <v>41000</v>
      </c>
      <c r="J17" s="130" t="inlineStr">
        <is>
          <t>8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29" t="n">
        <v>457</v>
      </c>
      <c r="D19" s="127" t="n">
        <v>112.6</v>
      </c>
      <c r="E19" s="128" t="n">
        <v>34</v>
      </c>
      <c r="F19" s="127" t="n">
        <v>84.8</v>
      </c>
      <c r="G19" s="17" t="n">
        <v>26</v>
      </c>
      <c r="H19" s="129" t="n">
        <v>256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112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29" t="n">
        <v>457</v>
      </c>
      <c r="D20" s="127" t="n">
        <v>139.4</v>
      </c>
      <c r="E20" s="128" t="n">
        <v>42</v>
      </c>
      <c r="F20" s="127" t="n">
        <v>111</v>
      </c>
      <c r="G20" s="17" t="n">
        <v>34</v>
      </c>
      <c r="H20" s="129" t="n">
        <v>201</v>
      </c>
      <c r="I20" s="130" t="n">
        <v>80000</v>
      </c>
      <c r="J20" s="130" t="inlineStr">
        <is>
          <t>6</t>
        </is>
      </c>
      <c r="K20" s="130" t="n">
        <v>50000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139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전북혁신도시호반베르디움더클래스</t>
        </is>
      </c>
      <c r="B22" s="10" t="inlineStr">
        <is>
          <t>'14.06.</t>
        </is>
      </c>
      <c r="C22" s="129" t="n">
        <v>731</v>
      </c>
      <c r="D22" s="127" t="n">
        <v>129.6</v>
      </c>
      <c r="E22" s="128" t="n">
        <v>39</v>
      </c>
      <c r="F22" s="127" t="n">
        <v>102.6</v>
      </c>
      <c r="G22" s="17" t="n">
        <v>31</v>
      </c>
      <c r="H22" s="129" t="n">
        <v>408</v>
      </c>
      <c r="I22" s="130" t="n">
        <v>65000</v>
      </c>
      <c r="J22" s="130" t="inlineStr">
        <is>
          <t>중</t>
        </is>
      </c>
      <c r="K22" s="130" t="n">
        <v>55000</v>
      </c>
      <c r="L22" s="130" t="inlineStr">
        <is>
          <t>20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129A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전북혁신도시호반베르디움더클래스</t>
        </is>
      </c>
      <c r="B23" s="10" t="inlineStr">
        <is>
          <t>'14.06.</t>
        </is>
      </c>
      <c r="C23" s="129" t="n">
        <v>731</v>
      </c>
      <c r="D23" s="127" t="n">
        <v>131.5</v>
      </c>
      <c r="E23" s="128" t="n">
        <v>40</v>
      </c>
      <c r="F23" s="127" t="n">
        <v>102.2</v>
      </c>
      <c r="G23" s="17" t="n">
        <v>31</v>
      </c>
      <c r="H23" s="129" t="n">
        <v>99</v>
      </c>
      <c r="I23" s="130" t="n">
        <v>66000</v>
      </c>
      <c r="J23" s="130" t="inlineStr">
        <is>
          <t>8</t>
        </is>
      </c>
      <c r="K23" s="130" t="n">
        <v>53000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inlineStr">
        <is>
          <t>131B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전북혁신도시호반베르디움더클래스</t>
        </is>
      </c>
      <c r="B24" s="10" t="inlineStr">
        <is>
          <t>'14.06.</t>
        </is>
      </c>
      <c r="C24" s="129" t="n">
        <v>731</v>
      </c>
      <c r="D24" s="127" t="n">
        <v>143.8</v>
      </c>
      <c r="E24" s="128" t="n">
        <v>44</v>
      </c>
      <c r="F24" s="127" t="n">
        <v>118.2</v>
      </c>
      <c r="G24" s="17" t="n">
        <v>36</v>
      </c>
      <c r="H24" s="129" t="n">
        <v>224</v>
      </c>
      <c r="I24" s="130" t="n">
        <v>72000</v>
      </c>
      <c r="J24" s="130" t="inlineStr">
        <is>
          <t>6</t>
        </is>
      </c>
      <c r="K24" s="130" t="n">
        <v>48000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inlineStr">
        <is>
          <t>143C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29" t="n">
        <v>462</v>
      </c>
      <c r="D26" s="127" t="n">
        <v>110.8</v>
      </c>
      <c r="E26" s="128" t="n">
        <v>34</v>
      </c>
      <c r="F26" s="127" t="n">
        <v>85</v>
      </c>
      <c r="G26" s="17" t="n">
        <v>26</v>
      </c>
      <c r="H26" s="129" t="n">
        <v>462</v>
      </c>
      <c r="I26" s="130" t="n">
        <v>47500</v>
      </c>
      <c r="J26" s="130" t="inlineStr">
        <is>
          <t>5</t>
        </is>
      </c>
      <c r="K26" s="130" t="n">
        <v>40000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110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29" t="n">
        <v>634</v>
      </c>
      <c r="D28" s="127" t="n">
        <v>112.9</v>
      </c>
      <c r="E28" s="128" t="n">
        <v>34</v>
      </c>
      <c r="F28" s="127" t="n">
        <v>84.8</v>
      </c>
      <c r="G28" s="17" t="n">
        <v>26</v>
      </c>
      <c r="H28" s="129" t="n">
        <v>267</v>
      </c>
      <c r="I28" s="130" t="n">
        <v>52000</v>
      </c>
      <c r="J28" s="130" t="inlineStr">
        <is>
          <t>중</t>
        </is>
      </c>
      <c r="K28" s="130" t="n">
        <v>40000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29" t="n">
        <v>634</v>
      </c>
      <c r="D29" s="127" t="n">
        <v>114.4</v>
      </c>
      <c r="E29" s="128" t="n">
        <v>35</v>
      </c>
      <c r="F29" s="127" t="n">
        <v>84.90000000000001</v>
      </c>
      <c r="G29" s="17" t="n">
        <v>26</v>
      </c>
      <c r="H29" s="129" t="n">
        <v>62</v>
      </c>
      <c r="I29" s="130" t="n">
        <v>57000</v>
      </c>
      <c r="J29" s="130" t="inlineStr">
        <is>
          <t>13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29" t="n">
        <v>634</v>
      </c>
      <c r="D30" s="127" t="n">
        <v>129</v>
      </c>
      <c r="E30" s="128" t="n">
        <v>39</v>
      </c>
      <c r="F30" s="127" t="n">
        <v>102</v>
      </c>
      <c r="G30" s="17" t="n">
        <v>31</v>
      </c>
      <c r="H30" s="129" t="n">
        <v>104</v>
      </c>
      <c r="I30" s="130" t="n">
        <v>69500</v>
      </c>
      <c r="J30" s="130" t="inlineStr">
        <is>
          <t>고</t>
        </is>
      </c>
      <c r="K30" s="130" t="n">
        <v>45000</v>
      </c>
      <c r="L30" s="130" t="inlineStr">
        <is>
          <t>17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128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29" t="n">
        <v>634</v>
      </c>
      <c r="D31" s="127" t="n">
        <v>139.2</v>
      </c>
      <c r="E31" s="128" t="n">
        <v>42</v>
      </c>
      <c r="F31" s="127" t="n">
        <v>111</v>
      </c>
      <c r="G31" s="17" t="n">
        <v>34</v>
      </c>
      <c r="H31" s="129" t="n">
        <v>201</v>
      </c>
      <c r="I31" s="130" t="n">
        <v>79000</v>
      </c>
      <c r="J31" s="130" t="inlineStr">
        <is>
          <t>13</t>
        </is>
      </c>
      <c r="K31" s="130" t="n">
        <v>48000</v>
      </c>
      <c r="L31" s="130" t="inlineStr">
        <is>
          <t>16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139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0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대방디엠시티</t>
        </is>
      </c>
      <c r="B33" s="10" t="inlineStr">
        <is>
          <t>'20.08.</t>
        </is>
      </c>
      <c r="C33" s="129" t="n">
        <v>494</v>
      </c>
      <c r="D33" s="127" t="n">
        <v>129.6</v>
      </c>
      <c r="E33" s="128" t="n">
        <v>39</v>
      </c>
      <c r="F33" s="127" t="n">
        <v>106</v>
      </c>
      <c r="G33" s="17" t="n">
        <v>32</v>
      </c>
      <c r="H33" s="129" t="n">
        <v>83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129A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29" t="n">
        <v>494</v>
      </c>
      <c r="D34" s="127" t="n">
        <v>129.7</v>
      </c>
      <c r="E34" s="128" t="n">
        <v>39</v>
      </c>
      <c r="F34" s="127" t="n">
        <v>106.2</v>
      </c>
      <c r="G34" s="17" t="n">
        <v>32</v>
      </c>
      <c r="H34" s="129" t="n">
        <v>83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129B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29" t="n">
        <v>494</v>
      </c>
      <c r="D35" s="127" t="n">
        <v>143.6</v>
      </c>
      <c r="E35" s="128" t="n">
        <v>43</v>
      </c>
      <c r="F35" s="127" t="n">
        <v>119.5</v>
      </c>
      <c r="G35" s="17" t="n">
        <v>36</v>
      </c>
      <c r="H35" s="129" t="n">
        <v>165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29" t="n">
        <v>494</v>
      </c>
      <c r="D36" s="127" t="n">
        <v>143.1</v>
      </c>
      <c r="E36" s="128" t="n">
        <v>43</v>
      </c>
      <c r="F36" s="127" t="n">
        <v>118.6</v>
      </c>
      <c r="G36" s="17" t="n">
        <v>36</v>
      </c>
      <c r="H36" s="129" t="n">
        <v>163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23">
      <formula>AV4="X"</formula>
    </cfRule>
    <cfRule type="expression" priority="493" dxfId="22">
      <formula>AV4="후보"</formula>
    </cfRule>
  </conditionalFormatting>
  <conditionalFormatting sqref="AC1:AC2 AC4:AC6 N4:N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N1:N2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23">
      <formula>AV7="X"</formula>
    </cfRule>
    <cfRule type="expression" priority="472" dxfId="22">
      <formula>AV7="후보"</formula>
    </cfRule>
  </conditionalFormatting>
  <conditionalFormatting sqref="AC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23">
      <formula>AV8="X"</formula>
    </cfRule>
    <cfRule type="expression" priority="453" dxfId="22">
      <formula>AV8="후보"</formula>
    </cfRule>
  </conditionalFormatting>
  <conditionalFormatting sqref="AC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23">
      <formula>AV9="X"</formula>
    </cfRule>
    <cfRule type="expression" priority="434" dxfId="22">
      <formula>AV9="후보"</formula>
    </cfRule>
  </conditionalFormatting>
  <conditionalFormatting sqref="AC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9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23">
      <formula>AV10="X"</formula>
    </cfRule>
    <cfRule type="expression" priority="415" dxfId="22">
      <formula>AV10="후보"</formula>
    </cfRule>
  </conditionalFormatting>
  <conditionalFormatting sqref="AC10 N1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1">
    <cfRule type="expression" priority="409" dxfId="23">
      <formula>AV11="X"</formula>
    </cfRule>
    <cfRule type="expression" priority="410" dxfId="22">
      <formula>AV11="후보"</formula>
    </cfRule>
  </conditionalFormatting>
  <conditionalFormatting sqref="AC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23">
      <formula>AV12="X"</formula>
    </cfRule>
    <cfRule type="expression" priority="391" dxfId="22">
      <formula>AV12="후보"</formula>
    </cfRule>
  </conditionalFormatting>
  <conditionalFormatting sqref="AC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23">
      <formula>AV13="X"</formula>
    </cfRule>
    <cfRule type="expression" priority="372" dxfId="22">
      <formula>AV13="후보"</formula>
    </cfRule>
  </conditionalFormatting>
  <conditionalFormatting sqref="AC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23">
      <formula>AV14="X"</formula>
    </cfRule>
    <cfRule type="expression" priority="353" dxfId="22">
      <formula>AV14="후보"</formula>
    </cfRule>
  </conditionalFormatting>
  <conditionalFormatting sqref="AC14 N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5">
    <cfRule type="expression" priority="347" dxfId="23">
      <formula>AV15="X"</formula>
    </cfRule>
    <cfRule type="expression" priority="348" dxfId="22">
      <formula>AV15="후보"</formula>
    </cfRule>
  </conditionalFormatting>
  <conditionalFormatting sqref="AC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23">
      <formula>AV16="X"</formula>
    </cfRule>
    <cfRule type="expression" priority="329" dxfId="22">
      <formula>AV16="후보"</formula>
    </cfRule>
  </conditionalFormatting>
  <conditionalFormatting sqref="AC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23">
      <formula>AV17="X"</formula>
    </cfRule>
    <cfRule type="expression" priority="310" dxfId="22">
      <formula>AV17="후보"</formula>
    </cfRule>
  </conditionalFormatting>
  <conditionalFormatting sqref="AC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23">
      <formula>AV18="X"</formula>
    </cfRule>
    <cfRule type="expression" priority="291" dxfId="22">
      <formula>AV18="후보"</formula>
    </cfRule>
  </conditionalFormatting>
  <conditionalFormatting sqref="AC18 N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9">
    <cfRule type="expression" priority="285" dxfId="23">
      <formula>AV19="X"</formula>
    </cfRule>
    <cfRule type="expression" priority="286" dxfId="22">
      <formula>AV19="후보"</formula>
    </cfRule>
  </conditionalFormatting>
  <conditionalFormatting sqref="AC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23">
      <formula>AV20="X"</formula>
    </cfRule>
    <cfRule type="expression" priority="267" dxfId="22">
      <formula>AV20="후보"</formula>
    </cfRule>
  </conditionalFormatting>
  <conditionalFormatting sqref="AC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23">
      <formula>AV21="X"</formula>
    </cfRule>
    <cfRule type="expression" priority="248" dxfId="22">
      <formula>AV21="후보"</formula>
    </cfRule>
  </conditionalFormatting>
  <conditionalFormatting sqref="AC21 N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2">
    <cfRule type="expression" priority="242" dxfId="23">
      <formula>AV22="X"</formula>
    </cfRule>
    <cfRule type="expression" priority="243" dxfId="22">
      <formula>AV22="후보"</formula>
    </cfRule>
  </conditionalFormatting>
  <conditionalFormatting sqref="AC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23">
      <formula>AV23="X"</formula>
    </cfRule>
    <cfRule type="expression" priority="224" dxfId="22">
      <formula>AV23="후보"</formula>
    </cfRule>
  </conditionalFormatting>
  <conditionalFormatting sqref="AC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23">
      <formula>AV24="X"</formula>
    </cfRule>
    <cfRule type="expression" priority="205" dxfId="22">
      <formula>AV24="후보"</formula>
    </cfRule>
  </conditionalFormatting>
  <conditionalFormatting sqref="AC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23">
      <formula>AV25="X"</formula>
    </cfRule>
    <cfRule type="expression" priority="186" dxfId="22">
      <formula>AV25="후보"</formula>
    </cfRule>
  </conditionalFormatting>
  <conditionalFormatting sqref="AC25 N2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6">
    <cfRule type="expression" priority="180" dxfId="23">
      <formula>AV26="X"</formula>
    </cfRule>
    <cfRule type="expression" priority="181" dxfId="22">
      <formula>AV26="후보"</formula>
    </cfRule>
  </conditionalFormatting>
  <conditionalFormatting sqref="AC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23">
      <formula>AV27="X"</formula>
    </cfRule>
    <cfRule type="expression" priority="162" dxfId="22">
      <formula>AV27="후보"</formula>
    </cfRule>
  </conditionalFormatting>
  <conditionalFormatting sqref="AC27 N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8">
    <cfRule type="expression" priority="156" dxfId="23">
      <formula>AV28="X"</formula>
    </cfRule>
    <cfRule type="expression" priority="157" dxfId="22">
      <formula>AV28="후보"</formula>
    </cfRule>
  </conditionalFormatting>
  <conditionalFormatting sqref="AC2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23">
      <formula>AV29="X"</formula>
    </cfRule>
    <cfRule type="expression" priority="138" dxfId="22">
      <formula>AV29="후보"</formula>
    </cfRule>
  </conditionalFormatting>
  <conditionalFormatting sqref="AC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23">
      <formula>AV30="X"</formula>
    </cfRule>
    <cfRule type="expression" priority="119" dxfId="22">
      <formula>AV30="후보"</formula>
    </cfRule>
  </conditionalFormatting>
  <conditionalFormatting sqref="AC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23">
      <formula>AV31="X"</formula>
    </cfRule>
    <cfRule type="expression" priority="100" dxfId="22">
      <formula>AV31="후보"</formula>
    </cfRule>
  </conditionalFormatting>
  <conditionalFormatting sqref="AC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23">
      <formula>AV32="X"</formula>
    </cfRule>
    <cfRule type="expression" priority="81" dxfId="22">
      <formula>AV32="후보"</formula>
    </cfRule>
  </conditionalFormatting>
  <conditionalFormatting sqref="AC32 N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전북혁신도시호반베르디움(B-11BL)</t>
        </is>
      </c>
      <c r="B6" s="10" t="inlineStr">
        <is>
          <t>'13.12.</t>
        </is>
      </c>
      <c r="C6" s="129" t="n">
        <v>808</v>
      </c>
      <c r="D6" s="127" t="n">
        <v>110.3</v>
      </c>
      <c r="E6" s="128" t="n">
        <v>33</v>
      </c>
      <c r="F6" s="127" t="n">
        <v>84.90000000000001</v>
      </c>
      <c r="G6" s="17" t="n">
        <v>26</v>
      </c>
      <c r="H6" s="129" t="n">
        <v>472</v>
      </c>
      <c r="I6" s="130" t="n">
        <v>53000</v>
      </c>
      <c r="J6" s="130" t="inlineStr">
        <is>
          <t>10</t>
        </is>
      </c>
      <c r="K6" s="130" t="n">
        <v>43000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110A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전북혁신도시호반베르디움(B-11BL)</t>
        </is>
      </c>
      <c r="B7" s="10" t="inlineStr">
        <is>
          <t>'13.12.</t>
        </is>
      </c>
      <c r="C7" s="129" t="n">
        <v>808</v>
      </c>
      <c r="D7" s="127" t="n">
        <v>111.6</v>
      </c>
      <c r="E7" s="128" t="n">
        <v>34</v>
      </c>
      <c r="F7" s="127" t="n">
        <v>85</v>
      </c>
      <c r="G7" s="17" t="n">
        <v>26</v>
      </c>
      <c r="H7" s="129" t="n">
        <v>60</v>
      </c>
      <c r="I7" s="130" t="n">
        <v>75000</v>
      </c>
      <c r="J7" s="130" t="inlineStr">
        <is>
          <t>20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전북혁신도시호반베르디움(B-11BL)</t>
        </is>
      </c>
      <c r="B8" s="10" t="inlineStr">
        <is>
          <t>'13.12.</t>
        </is>
      </c>
      <c r="C8" s="129" t="n">
        <v>808</v>
      </c>
      <c r="D8" s="127" t="n">
        <v>112.3</v>
      </c>
      <c r="E8" s="128" t="n">
        <v>34</v>
      </c>
      <c r="F8" s="127" t="n">
        <v>84.90000000000001</v>
      </c>
      <c r="G8" s="17" t="n">
        <v>26</v>
      </c>
      <c r="H8" s="129" t="n">
        <v>276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29" t="n">
        <v>680</v>
      </c>
      <c r="D10" s="127" t="n">
        <v>108.9</v>
      </c>
      <c r="E10" s="128" t="n">
        <v>33</v>
      </c>
      <c r="F10" s="127" t="n">
        <v>83.8</v>
      </c>
      <c r="G10" s="17" t="n">
        <v>25</v>
      </c>
      <c r="H10" s="129" t="n">
        <v>188</v>
      </c>
      <c r="I10" s="130" t="n">
        <v>50000</v>
      </c>
      <c r="J10" s="130" t="inlineStr">
        <is>
          <t>7</t>
        </is>
      </c>
      <c r="K10" s="130" t="n">
        <v>38000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29" t="n">
        <v>680</v>
      </c>
      <c r="D11" s="127" t="n">
        <v>111.9</v>
      </c>
      <c r="E11" s="128" t="n">
        <v>34</v>
      </c>
      <c r="F11" s="127" t="n">
        <v>85</v>
      </c>
      <c r="G11" s="17" t="n">
        <v>26</v>
      </c>
      <c r="H11" s="129" t="n">
        <v>100</v>
      </c>
      <c r="I11" s="130" t="n">
        <v>52000</v>
      </c>
      <c r="J11" s="130" t="inlineStr">
        <is>
          <t>22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111E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29" t="n">
        <v>680</v>
      </c>
      <c r="D12" s="127" t="n">
        <v>111.1</v>
      </c>
      <c r="E12" s="128" t="n">
        <v>34</v>
      </c>
      <c r="F12" s="127" t="n">
        <v>85</v>
      </c>
      <c r="G12" s="17" t="n">
        <v>26</v>
      </c>
      <c r="H12" s="129" t="n">
        <v>98</v>
      </c>
      <c r="I12" s="130" t="n">
        <v>52000</v>
      </c>
      <c r="J12" s="130" t="inlineStr">
        <is>
          <t>19</t>
        </is>
      </c>
      <c r="K12" s="130" t="n">
        <v>40000</v>
      </c>
      <c r="L12" s="130" t="inlineStr">
        <is>
          <t>25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29" t="n">
        <v>680</v>
      </c>
      <c r="D13" s="127" t="n">
        <v>111.3</v>
      </c>
      <c r="E13" s="128" t="n">
        <v>34</v>
      </c>
      <c r="F13" s="127" t="n">
        <v>85</v>
      </c>
      <c r="G13" s="17" t="n">
        <v>26</v>
      </c>
      <c r="H13" s="129" t="n">
        <v>98</v>
      </c>
      <c r="I13" s="130" t="n">
        <v>51000</v>
      </c>
      <c r="J13" s="130" t="inlineStr">
        <is>
          <t>12</t>
        </is>
      </c>
      <c r="K13" s="130" t="n">
        <v>40000</v>
      </c>
      <c r="L13" s="130" t="inlineStr">
        <is>
          <t>21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111C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29" t="n">
        <v>680</v>
      </c>
      <c r="D14" s="127" t="n">
        <v>111.4</v>
      </c>
      <c r="E14" s="128" t="n">
        <v>34</v>
      </c>
      <c r="F14" s="127" t="n">
        <v>85</v>
      </c>
      <c r="G14" s="17" t="n">
        <v>26</v>
      </c>
      <c r="H14" s="129" t="n">
        <v>96</v>
      </c>
      <c r="I14" s="130" t="n">
        <v>52000</v>
      </c>
      <c r="J14" s="130" t="inlineStr">
        <is>
          <t>10</t>
        </is>
      </c>
      <c r="K14" s="130" t="n">
        <v>38000</v>
      </c>
      <c r="L14" s="130" t="inlineStr">
        <is>
          <t>17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29" t="n">
        <v>680</v>
      </c>
      <c r="D15" s="127" t="n">
        <v>112.3</v>
      </c>
      <c r="E15" s="128" t="n">
        <v>34</v>
      </c>
      <c r="F15" s="127" t="n">
        <v>85</v>
      </c>
      <c r="G15" s="17" t="n">
        <v>26</v>
      </c>
      <c r="H15" s="129" t="n">
        <v>100</v>
      </c>
      <c r="I15" s="130" t="n">
        <v>50000</v>
      </c>
      <c r="J15" s="130" t="inlineStr">
        <is>
          <t>6</t>
        </is>
      </c>
      <c r="K15" s="130" t="n">
        <v>40000</v>
      </c>
      <c r="L15" s="130" t="inlineStr">
        <is>
          <t>15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112B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29" t="n">
        <v>455</v>
      </c>
      <c r="D17" s="127" t="n">
        <v>131.7</v>
      </c>
      <c r="E17" s="128" t="n">
        <v>40</v>
      </c>
      <c r="F17" s="127" t="n">
        <v>102</v>
      </c>
      <c r="G17" s="17" t="n">
        <v>31</v>
      </c>
      <c r="H17" s="129" t="n">
        <v>304</v>
      </c>
      <c r="I17" s="130" t="n">
        <v>74000</v>
      </c>
      <c r="J17" s="130" t="inlineStr">
        <is>
          <t>11</t>
        </is>
      </c>
      <c r="K17" s="130" t="n">
        <v>46000</v>
      </c>
      <c r="L17" s="130" t="inlineStr">
        <is>
          <t>23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131A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29" t="n">
        <v>455</v>
      </c>
      <c r="D18" s="127" t="n">
        <v>133.4</v>
      </c>
      <c r="E18" s="128" t="n">
        <v>40</v>
      </c>
      <c r="F18" s="127" t="n">
        <v>101.9</v>
      </c>
      <c r="G18" s="17" t="n">
        <v>31</v>
      </c>
      <c r="H18" s="129" t="n">
        <v>64</v>
      </c>
      <c r="I18" s="130" t="n">
        <v>74000</v>
      </c>
      <c r="J18" s="130" t="inlineStr">
        <is>
          <t>6</t>
        </is>
      </c>
      <c r="K18" s="130" t="n">
        <v>45000</v>
      </c>
      <c r="L18" s="130" t="inlineStr">
        <is>
          <t>11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133B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29" t="n">
        <v>455</v>
      </c>
      <c r="D19" s="127" t="n">
        <v>146.6</v>
      </c>
      <c r="E19" s="128" t="n">
        <v>44</v>
      </c>
      <c r="F19" s="127" t="n">
        <v>118.2</v>
      </c>
      <c r="G19" s="17" t="n">
        <v>36</v>
      </c>
      <c r="H19" s="129" t="n">
        <v>87</v>
      </c>
      <c r="I19" s="130" t="n">
        <v>100000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146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 N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동국해성</t>
        </is>
      </c>
      <c r="B6" s="10" t="inlineStr">
        <is>
          <t>'95.10.</t>
        </is>
      </c>
      <c r="C6" s="129" t="n">
        <v>643</v>
      </c>
      <c r="D6" s="127" t="n">
        <v>80.09999999999999</v>
      </c>
      <c r="E6" s="128" t="n">
        <v>24</v>
      </c>
      <c r="F6" s="127" t="n">
        <v>59.5</v>
      </c>
      <c r="G6" s="17" t="n">
        <v>18</v>
      </c>
      <c r="H6" s="129" t="n">
        <v>264</v>
      </c>
      <c r="I6" s="130" t="n">
        <v>11500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inlineStr">
        <is>
          <t>80A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29" t="n">
        <v>643</v>
      </c>
      <c r="D7" s="127" t="n">
        <v>80.3</v>
      </c>
      <c r="E7" s="128" t="n">
        <v>24</v>
      </c>
      <c r="F7" s="127" t="n">
        <v>59.9</v>
      </c>
      <c r="G7" s="17" t="n">
        <v>18</v>
      </c>
      <c r="H7" s="129" t="n">
        <v>7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29" t="n">
        <v>643</v>
      </c>
      <c r="D8" s="127" t="n">
        <v>86.2</v>
      </c>
      <c r="E8" s="128" t="n">
        <v>26</v>
      </c>
      <c r="F8" s="127" t="n">
        <v>64.3</v>
      </c>
      <c r="G8" s="17" t="n">
        <v>19</v>
      </c>
      <c r="H8" s="129" t="n">
        <v>12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86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29" t="n">
        <v>643</v>
      </c>
      <c r="D9" s="127" t="n">
        <v>104.4</v>
      </c>
      <c r="E9" s="128" t="n">
        <v>32</v>
      </c>
      <c r="F9" s="127" t="n">
        <v>85</v>
      </c>
      <c r="G9" s="17" t="n">
        <v>26</v>
      </c>
      <c r="H9" s="129" t="n">
        <v>264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104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29" t="n">
        <v>643</v>
      </c>
      <c r="D10" s="127" t="n">
        <v>123.8</v>
      </c>
      <c r="E10" s="128" t="n">
        <v>37</v>
      </c>
      <c r="F10" s="127" t="n">
        <v>101.9</v>
      </c>
      <c r="G10" s="17" t="n">
        <v>31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123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29" t="n">
        <v>643</v>
      </c>
      <c r="D11" s="127" t="n">
        <v>158.8</v>
      </c>
      <c r="E11" s="128" t="n">
        <v>48</v>
      </c>
      <c r="F11" s="127" t="n">
        <v>134.9</v>
      </c>
      <c r="G11" s="17" t="n">
        <v>41</v>
      </c>
      <c r="H11" s="129" t="n">
        <v>60</v>
      </c>
      <c r="I11" s="130" t="n">
        <v>27000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우성</t>
        </is>
      </c>
      <c r="B13" s="10" t="inlineStr">
        <is>
          <t>'95.10.</t>
        </is>
      </c>
      <c r="C13" s="129" t="n">
        <v>2102</v>
      </c>
      <c r="D13" s="127" t="n">
        <v>79.2</v>
      </c>
      <c r="E13" s="128" t="n">
        <v>24</v>
      </c>
      <c r="F13" s="127" t="n">
        <v>59.8</v>
      </c>
      <c r="G13" s="17" t="n">
        <v>18</v>
      </c>
      <c r="H13" s="129" t="n">
        <v>884</v>
      </c>
      <c r="I13" s="130" t="n">
        <v>11700</v>
      </c>
      <c r="J13" s="130" t="inlineStr">
        <is>
          <t>15</t>
        </is>
      </c>
      <c r="K13" s="130" t="n">
        <v>10500</v>
      </c>
      <c r="L13" s="130" t="inlineStr">
        <is>
          <t>11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n">
        <v>79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29" t="n">
        <v>2102</v>
      </c>
      <c r="D14" s="127" t="n">
        <v>105</v>
      </c>
      <c r="E14" s="128" t="n">
        <v>32</v>
      </c>
      <c r="F14" s="127" t="n">
        <v>85</v>
      </c>
      <c r="G14" s="17" t="n">
        <v>26</v>
      </c>
      <c r="H14" s="129" t="n">
        <v>750</v>
      </c>
      <c r="I14" s="130" t="n">
        <v>20300</v>
      </c>
      <c r="J14" s="130" t="inlineStr">
        <is>
          <t>9</t>
        </is>
      </c>
      <c r="K14" s="130" t="n">
        <v>17000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29" t="n">
        <v>2102</v>
      </c>
      <c r="D15" s="127" t="n">
        <v>122.8</v>
      </c>
      <c r="E15" s="128" t="n">
        <v>37</v>
      </c>
      <c r="F15" s="127" t="n">
        <v>101.9</v>
      </c>
      <c r="G15" s="17" t="n">
        <v>31</v>
      </c>
      <c r="H15" s="129" t="n">
        <v>80</v>
      </c>
      <c r="I15" s="130" t="n">
        <v>27000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122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29" t="n">
        <v>2102</v>
      </c>
      <c r="D16" s="127" t="n">
        <v>157.3</v>
      </c>
      <c r="E16" s="128" t="n">
        <v>48</v>
      </c>
      <c r="F16" s="127" t="n">
        <v>134.3</v>
      </c>
      <c r="G16" s="17" t="n">
        <v>41</v>
      </c>
      <c r="H16" s="129" t="n">
        <v>240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29" t="n">
        <v>2102</v>
      </c>
      <c r="D17" s="127" t="n">
        <v>192.5</v>
      </c>
      <c r="E17" s="128" t="n">
        <v>58</v>
      </c>
      <c r="F17" s="127" t="n">
        <v>165.5</v>
      </c>
      <c r="G17" s="17" t="n">
        <v>50</v>
      </c>
      <c r="H17" s="129" t="n">
        <v>80</v>
      </c>
      <c r="I17" s="130" t="n">
        <v>28000</v>
      </c>
      <c r="J17" s="130" t="inlineStr">
        <is>
          <t>20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192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29" t="n">
        <v>2102</v>
      </c>
      <c r="D18" s="127" t="n">
        <v>216.9</v>
      </c>
      <c r="E18" s="128" t="n">
        <v>66</v>
      </c>
      <c r="F18" s="127" t="n">
        <v>188</v>
      </c>
      <c r="G18" s="17" t="n">
        <v>57</v>
      </c>
      <c r="H18" s="129" t="n">
        <v>68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216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 N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팔복남양</t>
        </is>
      </c>
      <c r="B6" s="10" t="inlineStr">
        <is>
          <t>'99.05.</t>
        </is>
      </c>
      <c r="C6" s="129" t="n">
        <v>659</v>
      </c>
      <c r="D6" s="127" t="n">
        <v>56.6</v>
      </c>
      <c r="E6" s="128" t="n">
        <v>17</v>
      </c>
      <c r="F6" s="127" t="n">
        <v>37.8</v>
      </c>
      <c r="G6" s="17" t="n">
        <v>11</v>
      </c>
      <c r="H6" s="129" t="n">
        <v>95</v>
      </c>
      <c r="I6" s="130" t="n">
        <v>5200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56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29" t="n">
        <v>659</v>
      </c>
      <c r="D7" s="127" t="n">
        <v>70.90000000000001</v>
      </c>
      <c r="E7" s="128" t="n">
        <v>21</v>
      </c>
      <c r="F7" s="127" t="n">
        <v>49.5</v>
      </c>
      <c r="G7" s="17" t="n">
        <v>15</v>
      </c>
      <c r="H7" s="129" t="n">
        <v>122</v>
      </c>
      <c r="I7" s="130" t="n">
        <v>6000</v>
      </c>
      <c r="J7" s="130" t="inlineStr">
        <is>
          <t>17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2</v>
      </c>
      <c r="R7" s="117" t="n">
        <v>1</v>
      </c>
      <c r="S7" s="117" t="inlineStr">
        <is>
          <t>복</t>
        </is>
      </c>
      <c r="T7" s="5" t="n">
        <v>70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29" t="n">
        <v>659</v>
      </c>
      <c r="D8" s="127" t="n">
        <v>77.5</v>
      </c>
      <c r="E8" s="128" t="n">
        <v>23</v>
      </c>
      <c r="F8" s="127" t="n">
        <v>60</v>
      </c>
      <c r="G8" s="17" t="n">
        <v>18</v>
      </c>
      <c r="H8" s="129" t="n">
        <v>281</v>
      </c>
      <c r="I8" s="130" t="n">
        <v>9000</v>
      </c>
      <c r="J8" s="130" t="inlineStr">
        <is>
          <t>10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77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신동아1차</t>
        </is>
      </c>
      <c r="B6" s="10" t="inlineStr">
        <is>
          <t>'89.08.</t>
        </is>
      </c>
      <c r="C6" s="129" t="n">
        <v>320</v>
      </c>
      <c r="D6" s="127" t="n">
        <v>70</v>
      </c>
      <c r="E6" s="128" t="n">
        <v>21</v>
      </c>
      <c r="F6" s="127" t="n">
        <v>59.4</v>
      </c>
      <c r="G6" s="17" t="n">
        <v>18</v>
      </c>
      <c r="H6" s="129" t="n">
        <v>100</v>
      </c>
      <c r="I6" s="130" t="n"/>
      <c r="J6" s="130" t="n"/>
      <c r="K6" s="130" t="n">
        <v>7500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69A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29" t="n">
        <v>320</v>
      </c>
      <c r="D7" s="127" t="n">
        <v>70</v>
      </c>
      <c r="E7" s="128" t="n">
        <v>21</v>
      </c>
      <c r="F7" s="127" t="n">
        <v>59.5</v>
      </c>
      <c r="G7" s="17" t="n">
        <v>18</v>
      </c>
      <c r="H7" s="129" t="n">
        <v>95</v>
      </c>
      <c r="I7" s="130" t="n">
        <v>11700</v>
      </c>
      <c r="J7" s="130" t="inlineStr">
        <is>
          <t>5</t>
        </is>
      </c>
      <c r="K7" s="130" t="n">
        <v>5000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70B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29" t="n">
        <v>320</v>
      </c>
      <c r="D8" s="127" t="n">
        <v>76.2</v>
      </c>
      <c r="E8" s="128" t="n">
        <v>23</v>
      </c>
      <c r="F8" s="127" t="n">
        <v>59.5</v>
      </c>
      <c r="G8" s="17" t="n">
        <v>18</v>
      </c>
      <c r="H8" s="129" t="n">
        <v>125</v>
      </c>
      <c r="I8" s="130" t="n">
        <v>11800</v>
      </c>
      <c r="J8" s="130" t="inlineStr">
        <is>
          <t>고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동아</t>
        </is>
      </c>
      <c r="B10" s="10" t="inlineStr">
        <is>
          <t>'94.12.</t>
        </is>
      </c>
      <c r="C10" s="129" t="n">
        <v>684</v>
      </c>
      <c r="D10" s="127" t="n">
        <v>84.8</v>
      </c>
      <c r="E10" s="128" t="n">
        <v>26</v>
      </c>
      <c r="F10" s="127" t="n">
        <v>60</v>
      </c>
      <c r="G10" s="17" t="n">
        <v>18</v>
      </c>
      <c r="H10" s="129" t="n">
        <v>240</v>
      </c>
      <c r="I10" s="130" t="n">
        <v>9300</v>
      </c>
      <c r="J10" s="130" t="inlineStr">
        <is>
          <t>중</t>
        </is>
      </c>
      <c r="K10" s="130" t="n">
        <v>9000</v>
      </c>
      <c r="L10" s="130" t="inlineStr">
        <is>
          <t>13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84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29" t="n">
        <v>684</v>
      </c>
      <c r="D11" s="127" t="n">
        <v>103.4</v>
      </c>
      <c r="E11" s="128" t="n">
        <v>31</v>
      </c>
      <c r="F11" s="127" t="n">
        <v>84.90000000000001</v>
      </c>
      <c r="G11" s="17" t="n">
        <v>26</v>
      </c>
      <c r="H11" s="129" t="n">
        <v>160</v>
      </c>
      <c r="I11" s="130" t="n"/>
      <c r="J11" s="130" t="n"/>
      <c r="K11" s="130" t="n">
        <v>18000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29" t="n">
        <v>684</v>
      </c>
      <c r="D12" s="127" t="n">
        <v>105.5</v>
      </c>
      <c r="E12" s="128" t="n">
        <v>32</v>
      </c>
      <c r="F12" s="127" t="n">
        <v>84.90000000000001</v>
      </c>
      <c r="G12" s="17" t="n">
        <v>26</v>
      </c>
      <c r="H12" s="129" t="n">
        <v>224</v>
      </c>
      <c r="I12" s="130" t="n">
        <v>17500</v>
      </c>
      <c r="J12" s="130" t="inlineStr">
        <is>
          <t>11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29" t="n">
        <v>684</v>
      </c>
      <c r="D13" s="127" t="n">
        <v>149.1</v>
      </c>
      <c r="E13" s="128" t="n">
        <v>45</v>
      </c>
      <c r="F13" s="127" t="n">
        <v>128</v>
      </c>
      <c r="G13" s="17" t="n">
        <v>39</v>
      </c>
      <c r="H13" s="129" t="n">
        <v>60</v>
      </c>
      <c r="I13" s="130" t="n">
        <v>22000</v>
      </c>
      <c r="J13" s="130" t="inlineStr">
        <is>
          <t>9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29" t="n">
        <v>720</v>
      </c>
      <c r="D15" s="127" t="n">
        <v>110.4</v>
      </c>
      <c r="E15" s="128" t="n">
        <v>33</v>
      </c>
      <c r="F15" s="127" t="n">
        <v>84.8</v>
      </c>
      <c r="G15" s="17" t="n">
        <v>26</v>
      </c>
      <c r="H15" s="129" t="n">
        <v>352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110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29" t="n">
        <v>720</v>
      </c>
      <c r="D16" s="127" t="n">
        <v>111.7</v>
      </c>
      <c r="E16" s="128" t="n">
        <v>34</v>
      </c>
      <c r="F16" s="127" t="n">
        <v>84.59999999999999</v>
      </c>
      <c r="G16" s="17" t="n">
        <v>26</v>
      </c>
      <c r="H16" s="129" t="n">
        <v>80</v>
      </c>
      <c r="I16" s="130" t="n">
        <v>30000</v>
      </c>
      <c r="J16" s="130" t="inlineStr">
        <is>
          <t>7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2</v>
      </c>
      <c r="S16" s="117" t="inlineStr">
        <is>
          <t>계</t>
        </is>
      </c>
      <c r="T16" s="5" t="n">
        <v>111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29" t="n">
        <v>720</v>
      </c>
      <c r="D17" s="127" t="n">
        <v>157.7</v>
      </c>
      <c r="E17" s="128" t="n">
        <v>48</v>
      </c>
      <c r="F17" s="127" t="n">
        <v>126.1</v>
      </c>
      <c r="G17" s="17" t="n">
        <v>38</v>
      </c>
      <c r="H17" s="129" t="n">
        <v>288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유원파크맨션</t>
        </is>
      </c>
      <c r="B19" s="10" t="inlineStr">
        <is>
          <t>'91.07.</t>
        </is>
      </c>
      <c r="C19" s="129" t="n">
        <v>220</v>
      </c>
      <c r="D19" s="127" t="n">
        <v>101.8</v>
      </c>
      <c r="E19" s="128" t="n">
        <v>31</v>
      </c>
      <c r="F19" s="127" t="n">
        <v>84.5</v>
      </c>
      <c r="G19" s="17" t="n">
        <v>26</v>
      </c>
      <c r="H19" s="129" t="n">
        <v>54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101A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29" t="n">
        <v>220</v>
      </c>
      <c r="D20" s="127" t="n">
        <v>102.4</v>
      </c>
      <c r="E20" s="128" t="n">
        <v>31</v>
      </c>
      <c r="F20" s="127" t="n">
        <v>85</v>
      </c>
      <c r="G20" s="17" t="n">
        <v>26</v>
      </c>
      <c r="H20" s="129" t="n">
        <v>111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102B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29" t="n">
        <v>220</v>
      </c>
      <c r="D21" s="127" t="n">
        <v>148.6</v>
      </c>
      <c r="E21" s="128" t="n">
        <v>45</v>
      </c>
      <c r="F21" s="127" t="n">
        <v>127.9</v>
      </c>
      <c r="G21" s="17" t="n">
        <v>39</v>
      </c>
      <c r="H21" s="129" t="n">
        <v>55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148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27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2" t="n"/>
      <c r="P22" s="132" t="n"/>
      <c r="Q22" s="128" t="n"/>
      <c r="R22" s="128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0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LG동아</t>
        </is>
      </c>
      <c r="B23" s="10" t="inlineStr">
        <is>
          <t>'95.04.</t>
        </is>
      </c>
      <c r="C23" s="129" t="n">
        <v>796</v>
      </c>
      <c r="D23" s="127" t="n">
        <v>79.2</v>
      </c>
      <c r="E23" s="128" t="n">
        <v>24</v>
      </c>
      <c r="F23" s="127" t="n">
        <v>60</v>
      </c>
      <c r="G23" s="17" t="n">
        <v>18</v>
      </c>
      <c r="H23" s="129" t="n">
        <v>288</v>
      </c>
      <c r="I23" s="130" t="n">
        <v>14500</v>
      </c>
      <c r="J23" s="130" t="inlineStr">
        <is>
          <t>고</t>
        </is>
      </c>
      <c r="K23" s="130" t="n">
        <v>15000</v>
      </c>
      <c r="L23" s="130" t="inlineStr">
        <is>
          <t>중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29" t="n">
        <v>796</v>
      </c>
      <c r="D24" s="127" t="n">
        <v>106.1</v>
      </c>
      <c r="E24" s="128" t="n">
        <v>32</v>
      </c>
      <c r="F24" s="127" t="n">
        <v>84.90000000000001</v>
      </c>
      <c r="G24" s="17" t="n">
        <v>26</v>
      </c>
      <c r="H24" s="129" t="n">
        <v>336</v>
      </c>
      <c r="I24" s="130" t="n">
        <v>19500</v>
      </c>
      <c r="J24" s="130" t="inlineStr">
        <is>
          <t>10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29" t="n">
        <v>796</v>
      </c>
      <c r="D25" s="127" t="n">
        <v>150.6</v>
      </c>
      <c r="E25" s="128" t="n">
        <v>46</v>
      </c>
      <c r="F25" s="127" t="n">
        <v>126.3</v>
      </c>
      <c r="G25" s="17" t="n">
        <v>38</v>
      </c>
      <c r="H25" s="129" t="n">
        <v>172</v>
      </c>
      <c r="I25" s="130" t="n">
        <v>26000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150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우신호성</t>
        </is>
      </c>
      <c r="B27" s="10" t="inlineStr">
        <is>
          <t>'89.07.</t>
        </is>
      </c>
      <c r="C27" s="129" t="n">
        <v>244</v>
      </c>
      <c r="D27" s="127" t="n">
        <v>71.40000000000001</v>
      </c>
      <c r="E27" s="128" t="n">
        <v>22</v>
      </c>
      <c r="F27" s="127" t="n">
        <v>59.3</v>
      </c>
      <c r="G27" s="17" t="n">
        <v>18</v>
      </c>
      <c r="H27" s="129" t="n">
        <v>105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2</v>
      </c>
      <c r="R27" s="117" t="n">
        <v>1</v>
      </c>
      <c r="S27" s="117" t="inlineStr">
        <is>
          <t>복</t>
        </is>
      </c>
      <c r="T27" s="5" t="n">
        <v>71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29" t="n">
        <v>244</v>
      </c>
      <c r="D28" s="127" t="n">
        <v>76.09999999999999</v>
      </c>
      <c r="E28" s="128" t="n">
        <v>23</v>
      </c>
      <c r="F28" s="127" t="n">
        <v>58.3</v>
      </c>
      <c r="G28" s="17" t="n">
        <v>18</v>
      </c>
      <c r="H28" s="129" t="n">
        <v>139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27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2" t="n"/>
      <c r="P29" s="132" t="n"/>
      <c r="Q29" s="128" t="n"/>
      <c r="R29" s="128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0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29" t="n">
        <v>644</v>
      </c>
      <c r="D30" s="127" t="n">
        <v>149</v>
      </c>
      <c r="E30" s="128" t="n">
        <v>45</v>
      </c>
      <c r="F30" s="127" t="n">
        <v>117.9</v>
      </c>
      <c r="G30" s="17" t="n">
        <v>36</v>
      </c>
      <c r="H30" s="129" t="n">
        <v>192</v>
      </c>
      <c r="I30" s="130" t="n">
        <v>53000</v>
      </c>
      <c r="J30" s="130" t="inlineStr">
        <is>
          <t>12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29" t="n">
        <v>644</v>
      </c>
      <c r="D31" s="127" t="n">
        <v>157.6</v>
      </c>
      <c r="E31" s="128" t="n">
        <v>48</v>
      </c>
      <c r="F31" s="127" t="n">
        <v>126.1</v>
      </c>
      <c r="G31" s="17" t="n">
        <v>38</v>
      </c>
      <c r="H31" s="129" t="n">
        <v>192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29" t="n">
        <v>644</v>
      </c>
      <c r="D32" s="127" t="n">
        <v>175.3</v>
      </c>
      <c r="E32" s="128" t="n">
        <v>53</v>
      </c>
      <c r="F32" s="127" t="n">
        <v>144.6</v>
      </c>
      <c r="G32" s="17" t="n">
        <v>44</v>
      </c>
      <c r="H32" s="129" t="n">
        <v>166</v>
      </c>
      <c r="I32" s="130" t="n">
        <v>50000</v>
      </c>
      <c r="J32" s="130" t="inlineStr">
        <is>
          <t>6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175A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29" t="n">
        <v>644</v>
      </c>
      <c r="D33" s="127" t="n">
        <v>176.7</v>
      </c>
      <c r="E33" s="128" t="n">
        <v>53</v>
      </c>
      <c r="F33" s="127" t="n">
        <v>145.8</v>
      </c>
      <c r="G33" s="17" t="n">
        <v>44</v>
      </c>
      <c r="H33" s="129" t="n">
        <v>94</v>
      </c>
      <c r="I33" s="130" t="n">
        <v>50000</v>
      </c>
      <c r="J33" s="130" t="inlineStr">
        <is>
          <t>중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176B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동신3차</t>
        </is>
      </c>
      <c r="B35" s="10" t="inlineStr">
        <is>
          <t>'94.05.</t>
        </is>
      </c>
      <c r="C35" s="129" t="n">
        <v>248</v>
      </c>
      <c r="D35" s="127" t="n">
        <v>51.4</v>
      </c>
      <c r="E35" s="128" t="n">
        <v>16</v>
      </c>
      <c r="F35" s="127" t="n">
        <v>37.9</v>
      </c>
      <c r="G35" s="17" t="n">
        <v>11</v>
      </c>
      <c r="H35" s="129" t="n">
        <v>34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복</t>
        </is>
      </c>
      <c r="T35" s="5" t="n">
        <v>51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29" t="n">
        <v>248</v>
      </c>
      <c r="D36" s="127" t="n">
        <v>79.8</v>
      </c>
      <c r="E36" s="128" t="n">
        <v>24</v>
      </c>
      <c r="F36" s="127" t="n">
        <v>58.5</v>
      </c>
      <c r="G36" s="17" t="n">
        <v>18</v>
      </c>
      <c r="H36" s="129" t="n">
        <v>68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79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29" t="n">
        <v>248</v>
      </c>
      <c r="D37" s="127" t="n">
        <v>97.5</v>
      </c>
      <c r="E37" s="128" t="n">
        <v>29</v>
      </c>
      <c r="F37" s="127" t="n">
        <v>74.59999999999999</v>
      </c>
      <c r="G37" s="17" t="n">
        <v>23</v>
      </c>
      <c r="H37" s="129" t="n">
        <v>60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복</t>
        </is>
      </c>
      <c r="T37" s="5" t="n">
        <v>97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29" t="n">
        <v>248</v>
      </c>
      <c r="D38" s="127" t="n">
        <v>106.5</v>
      </c>
      <c r="E38" s="128" t="n">
        <v>32</v>
      </c>
      <c r="F38" s="127" t="n">
        <v>84.7</v>
      </c>
      <c r="G38" s="17" t="n">
        <v>26</v>
      </c>
      <c r="H38" s="129" t="n">
        <v>38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106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29" t="n">
        <v>248</v>
      </c>
      <c r="D39" s="127" t="n">
        <v>143.5</v>
      </c>
      <c r="E39" s="128" t="n">
        <v>43</v>
      </c>
      <c r="F39" s="127" t="n">
        <v>120</v>
      </c>
      <c r="G39" s="17" t="n">
        <v>36</v>
      </c>
      <c r="H39" s="129" t="n">
        <v>48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143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호성동신</t>
        </is>
      </c>
      <c r="B41" s="10" t="inlineStr">
        <is>
          <t>'91.09.</t>
        </is>
      </c>
      <c r="C41" s="129" t="n">
        <v>530</v>
      </c>
      <c r="D41" s="127" t="n">
        <v>85.8</v>
      </c>
      <c r="E41" s="128" t="n">
        <v>26</v>
      </c>
      <c r="F41" s="127" t="n">
        <v>70.3</v>
      </c>
      <c r="G41" s="17" t="n">
        <v>21</v>
      </c>
      <c r="H41" s="129" t="n">
        <v>118</v>
      </c>
      <c r="I41" s="130" t="n">
        <v>10000</v>
      </c>
      <c r="J41" s="130" t="inlineStr">
        <is>
          <t>11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복</t>
        </is>
      </c>
      <c r="T41" s="5" t="n">
        <v>85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29" t="n">
        <v>530</v>
      </c>
      <c r="D42" s="127" t="n">
        <v>96.40000000000001</v>
      </c>
      <c r="E42" s="128" t="n">
        <v>29</v>
      </c>
      <c r="F42" s="127" t="n">
        <v>78.5</v>
      </c>
      <c r="G42" s="17" t="n">
        <v>24</v>
      </c>
      <c r="H42" s="129" t="n">
        <v>150</v>
      </c>
      <c r="I42" s="130" t="n">
        <v>13000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96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29" t="n">
        <v>530</v>
      </c>
      <c r="D43" s="127" t="n">
        <v>103.5</v>
      </c>
      <c r="E43" s="128" t="n">
        <v>31</v>
      </c>
      <c r="F43" s="127" t="n">
        <v>84.7</v>
      </c>
      <c r="G43" s="17" t="n">
        <v>26</v>
      </c>
      <c r="H43" s="129" t="n">
        <v>262</v>
      </c>
      <c r="I43" s="130" t="n">
        <v>16200</v>
      </c>
      <c r="J43" s="130" t="inlineStr">
        <is>
          <t>고</t>
        </is>
      </c>
      <c r="K43" s="130" t="n">
        <v>15000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호성주공</t>
        </is>
      </c>
      <c r="B45" s="10" t="inlineStr">
        <is>
          <t>'97.06.</t>
        </is>
      </c>
      <c r="C45" s="129" t="n">
        <v>1911</v>
      </c>
      <c r="D45" s="127" t="n">
        <v>55.2</v>
      </c>
      <c r="E45" s="128" t="n">
        <v>17</v>
      </c>
      <c r="F45" s="127" t="n">
        <v>39.7</v>
      </c>
      <c r="G45" s="17" t="n">
        <v>12</v>
      </c>
      <c r="H45" s="129" t="n">
        <v>312</v>
      </c>
      <c r="I45" s="130" t="n">
        <v>7700</v>
      </c>
      <c r="J45" s="130" t="inlineStr">
        <is>
          <t>13</t>
        </is>
      </c>
      <c r="K45" s="130" t="n">
        <v>7500</v>
      </c>
      <c r="L45" s="130" t="inlineStr">
        <is>
          <t>13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2</v>
      </c>
      <c r="R45" s="117" t="n">
        <v>1</v>
      </c>
      <c r="S45" s="117" t="inlineStr">
        <is>
          <t>계</t>
        </is>
      </c>
      <c r="T45" s="5" t="n">
        <v>55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29" t="n">
        <v>1911</v>
      </c>
      <c r="D46" s="127" t="n">
        <v>68.3</v>
      </c>
      <c r="E46" s="128" t="n">
        <v>21</v>
      </c>
      <c r="F46" s="127" t="n">
        <v>49.7</v>
      </c>
      <c r="G46" s="17" t="n">
        <v>15</v>
      </c>
      <c r="H46" s="129" t="n">
        <v>427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68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29" t="n">
        <v>1911</v>
      </c>
      <c r="D47" s="127" t="n">
        <v>77.09999999999999</v>
      </c>
      <c r="E47" s="128" t="n">
        <v>23</v>
      </c>
      <c r="F47" s="127" t="n">
        <v>60</v>
      </c>
      <c r="G47" s="17" t="n">
        <v>18</v>
      </c>
      <c r="H47" s="129" t="n">
        <v>272</v>
      </c>
      <c r="I47" s="130" t="n">
        <v>14700</v>
      </c>
      <c r="J47" s="130" t="inlineStr">
        <is>
          <t>8</t>
        </is>
      </c>
      <c r="K47" s="130" t="n">
        <v>13500</v>
      </c>
      <c r="L47" s="130" t="inlineStr">
        <is>
          <t>11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29" t="n">
        <v>1911</v>
      </c>
      <c r="D48" s="127" t="n">
        <v>79.90000000000001</v>
      </c>
      <c r="E48" s="128" t="n">
        <v>24</v>
      </c>
      <c r="F48" s="127" t="n">
        <v>60</v>
      </c>
      <c r="G48" s="17" t="n">
        <v>18</v>
      </c>
      <c r="H48" s="129" t="n">
        <v>900</v>
      </c>
      <c r="I48" s="130" t="n">
        <v>15000</v>
      </c>
      <c r="J48" s="130" t="inlineStr">
        <is>
          <t>21</t>
        </is>
      </c>
      <c r="K48" s="130" t="n">
        <v>14000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79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23">
      <formula>AV4="X"</formula>
    </cfRule>
    <cfRule type="expression" priority="693" dxfId="22">
      <formula>AV4="후보"</formula>
    </cfRule>
  </conditionalFormatting>
  <conditionalFormatting sqref="AC1:AC2 AC4:AC6 N4:N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N1:N2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6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23">
      <formula>AV7="X"</formula>
    </cfRule>
    <cfRule type="expression" priority="672" dxfId="22">
      <formula>AV7="후보"</formula>
    </cfRule>
  </conditionalFormatting>
  <conditionalFormatting sqref="AC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23">
      <formula>AV8="X"</formula>
    </cfRule>
    <cfRule type="expression" priority="653" dxfId="22">
      <formula>AV8="후보"</formula>
    </cfRule>
  </conditionalFormatting>
  <conditionalFormatting sqref="AC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23">
      <formula>AV9="X"</formula>
    </cfRule>
    <cfRule type="expression" priority="634" dxfId="22">
      <formula>AV9="후보"</formula>
    </cfRule>
  </conditionalFormatting>
  <conditionalFormatting sqref="AC9 N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0">
    <cfRule type="expression" priority="628" dxfId="23">
      <formula>AV10="X"</formula>
    </cfRule>
    <cfRule type="expression" priority="629" dxfId="22">
      <formula>AV10="후보"</formula>
    </cfRule>
  </conditionalFormatting>
  <conditionalFormatting sqref="AC1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23">
      <formula>AV11="X"</formula>
    </cfRule>
    <cfRule type="expression" priority="610" dxfId="22">
      <formula>AV11="후보"</formula>
    </cfRule>
  </conditionalFormatting>
  <conditionalFormatting sqref="AC1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23">
      <formula>AV12="X"</formula>
    </cfRule>
    <cfRule type="expression" priority="591" dxfId="22">
      <formula>AV12="후보"</formula>
    </cfRule>
  </conditionalFormatting>
  <conditionalFormatting sqref="AC1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2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23">
      <formula>AV13="X"</formula>
    </cfRule>
    <cfRule type="expression" priority="572" dxfId="22">
      <formula>AV13="후보"</formula>
    </cfRule>
  </conditionalFormatting>
  <conditionalFormatting sqref="AC13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23">
      <formula>AV14="X"</formula>
    </cfRule>
    <cfRule type="expression" priority="553" dxfId="22">
      <formula>AV14="후보"</formula>
    </cfRule>
  </conditionalFormatting>
  <conditionalFormatting sqref="AC14 N14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5">
    <cfRule type="expression" priority="547" dxfId="23">
      <formula>AV15="X"</formula>
    </cfRule>
    <cfRule type="expression" priority="548" dxfId="22">
      <formula>AV15="후보"</formula>
    </cfRule>
  </conditionalFormatting>
  <conditionalFormatting sqref="AC1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23">
      <formula>AV16="X"</formula>
    </cfRule>
    <cfRule type="expression" priority="529" dxfId="22">
      <formula>AV16="후보"</formula>
    </cfRule>
  </conditionalFormatting>
  <conditionalFormatting sqref="AC1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23">
      <formula>AV17="X"</formula>
    </cfRule>
    <cfRule type="expression" priority="510" dxfId="22">
      <formula>AV17="후보"</formula>
    </cfRule>
  </conditionalFormatting>
  <conditionalFormatting sqref="AC1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23">
      <formula>AV18="X"</formula>
    </cfRule>
    <cfRule type="expression" priority="491" dxfId="22">
      <formula>AV18="후보"</formula>
    </cfRule>
  </conditionalFormatting>
  <conditionalFormatting sqref="AC18 N1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 N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 N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5">
    <cfRule type="expression" priority="237" dxfId="23">
      <formula>AV35="X"</formula>
    </cfRule>
    <cfRule type="expression" priority="238" dxfId="22">
      <formula>AV35="후보"</formula>
    </cfRule>
  </conditionalFormatting>
  <conditionalFormatting sqref="AC3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23">
      <formula>AV36="X"</formula>
    </cfRule>
    <cfRule type="expression" priority="219" dxfId="22">
      <formula>AV36="후보"</formula>
    </cfRule>
  </conditionalFormatting>
  <conditionalFormatting sqref="AC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 N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5">
    <cfRule type="expression" priority="75" dxfId="23">
      <formula>AV45="X"</formula>
    </cfRule>
    <cfRule type="expression" priority="76" dxfId="22">
      <formula>AV45="후보"</formula>
    </cfRule>
  </conditionalFormatting>
  <conditionalFormatting sqref="AC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진흥더블유파크3단지</t>
        </is>
      </c>
      <c r="B6" s="10" t="inlineStr">
        <is>
          <t>'08.09.</t>
        </is>
      </c>
      <c r="C6" s="129" t="n">
        <v>791</v>
      </c>
      <c r="D6" s="127" t="n">
        <v>112.5</v>
      </c>
      <c r="E6" s="128" t="n">
        <v>34</v>
      </c>
      <c r="F6" s="127" t="n">
        <v>84.7</v>
      </c>
      <c r="G6" s="17" t="n">
        <v>26</v>
      </c>
      <c r="H6" s="129" t="n">
        <v>46</v>
      </c>
      <c r="I6" s="130" t="n">
        <v>35500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29" t="n">
        <v>791</v>
      </c>
      <c r="D7" s="127" t="n">
        <v>130</v>
      </c>
      <c r="E7" s="128" t="n">
        <v>39</v>
      </c>
      <c r="F7" s="127" t="n">
        <v>103.9</v>
      </c>
      <c r="G7" s="17" t="n">
        <v>31</v>
      </c>
      <c r="H7" s="129" t="n">
        <v>24</v>
      </c>
      <c r="I7" s="130" t="n">
        <v>36000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129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29" t="n">
        <v>791</v>
      </c>
      <c r="D8" s="127" t="n">
        <v>132.2</v>
      </c>
      <c r="E8" s="128" t="n">
        <v>40</v>
      </c>
      <c r="F8" s="127" t="n">
        <v>103.2</v>
      </c>
      <c r="G8" s="17" t="n">
        <v>31</v>
      </c>
      <c r="H8" s="129" t="n">
        <v>534</v>
      </c>
      <c r="I8" s="130" t="n">
        <v>38000</v>
      </c>
      <c r="J8" s="130" t="inlineStr">
        <is>
          <t>고</t>
        </is>
      </c>
      <c r="K8" s="130" t="n">
        <v>30000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29" t="n">
        <v>791</v>
      </c>
      <c r="D9" s="127" t="n">
        <v>162.9</v>
      </c>
      <c r="E9" s="128" t="n">
        <v>49</v>
      </c>
      <c r="F9" s="127" t="n">
        <v>128.4</v>
      </c>
      <c r="G9" s="17" t="n">
        <v>39</v>
      </c>
      <c r="H9" s="129" t="n">
        <v>69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29" t="n">
        <v>791</v>
      </c>
      <c r="D10" s="127" t="n">
        <v>192.8</v>
      </c>
      <c r="E10" s="128" t="n">
        <v>58</v>
      </c>
      <c r="F10" s="127" t="n">
        <v>157.6</v>
      </c>
      <c r="G10" s="17" t="n">
        <v>48</v>
      </c>
      <c r="H10" s="129" t="n">
        <v>118</v>
      </c>
      <c r="I10" s="130" t="n">
        <v>55000</v>
      </c>
      <c r="J10" s="130" t="inlineStr">
        <is>
          <t>10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192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2022-04-04T09:56:37Z</dcterms:modified>
  <cp:lastModifiedBy>MinsuKwon</cp:lastModifiedBy>
  <cp:lastPrinted>2018-04-28T10:52:41Z</cp:lastPrinted>
</cp:coreProperties>
</file>